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8.xml" ContentType="application/vnd.openxmlformats-officedocument.spreadsheetml.table+xml"/>
  <Override PartName="/xl/drawings/drawing4.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timelines/timeline1.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xl/slicers/slicer5.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Data Analysis Bootcamp\Course\Excel\"/>
    </mc:Choice>
  </mc:AlternateContent>
  <xr:revisionPtr revIDLastSave="0" documentId="13_ncr:2001_{C15E63ED-E68A-470B-8AA2-2F9B2B28AD0A}" xr6:coauthVersionLast="47" xr6:coauthVersionMax="47" xr10:uidLastSave="{00000000-0000-0000-0000-000000000000}"/>
  <bookViews>
    <workbookView xWindow="-108" yWindow="-108" windowWidth="23256" windowHeight="12456" firstSheet="15" activeTab="17" xr2:uid="{00000000-000D-0000-FFFF-FFFF00000000}"/>
  </bookViews>
  <sheets>
    <sheet name="Meta-data" sheetId="3" r:id="rId1"/>
    <sheet name="KPIS" sheetId="12" r:id="rId2"/>
    <sheet name="Detail1" sheetId="25" state="hidden" r:id="rId3"/>
    <sheet name="Detail2" sheetId="26" state="hidden" r:id="rId4"/>
    <sheet name="Detail3" sheetId="27" state="hidden" r:id="rId5"/>
    <sheet name="Detail4" sheetId="28" state="hidden" r:id="rId6"/>
    <sheet name="Detail5" sheetId="29" state="hidden" r:id="rId7"/>
    <sheet name="Detail6" sheetId="33" state="hidden" r:id="rId8"/>
    <sheet name="Raw-data" sheetId="1" state="hidden" r:id="rId9"/>
    <sheet name="Sheet2" sheetId="14" state="hidden" r:id="rId10"/>
    <sheet name="new dash" sheetId="17" state="hidden" r:id="rId11"/>
    <sheet name="Questions" sheetId="6" r:id="rId12"/>
    <sheet name="data cleaning" sheetId="31" r:id="rId13"/>
    <sheet name="Pivot Tables in Excel" sheetId="18" r:id="rId14"/>
    <sheet name="Pivot tables" sheetId="7" state="hidden" r:id="rId15"/>
    <sheet name="Dashboard" sheetId="10" r:id="rId16"/>
    <sheet name="KPIs &amp; question answers with PT" sheetId="36" r:id="rId17"/>
    <sheet name="town team dashboard" sheetId="41" r:id="rId18"/>
  </sheets>
  <definedNames>
    <definedName name="NativeTimeline_Date">#N/A</definedName>
    <definedName name="Slicer_Day_Name">#N/A</definedName>
    <definedName name="Slicer_Months__Date">#N/A</definedName>
    <definedName name="Slicer_Ordertype_name">#N/A</definedName>
    <definedName name="Slicer_Year">#N/A</definedName>
    <definedName name="Slicer_year1">#N/A</definedName>
    <definedName name="Slicer_Years__Date1">#N/A</definedName>
  </definedNames>
  <calcPr calcId="191029"/>
  <pivotCaches>
    <pivotCache cacheId="0" r:id="rId19"/>
    <pivotCache cacheId="1" r:id="rId20"/>
    <pivotCache cacheId="73" r:id="rId21"/>
  </pivotCaches>
  <fileRecoveryPr repairLoad="1"/>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36" l="1"/>
  <c r="K6" i="31"/>
  <c r="K7" i="31"/>
  <c r="K8" i="31"/>
  <c r="K9" i="31"/>
  <c r="K10" i="31"/>
  <c r="K11" i="31"/>
  <c r="K12" i="31"/>
  <c r="K13" i="31"/>
  <c r="K14" i="31"/>
  <c r="K15" i="31"/>
  <c r="K16" i="31"/>
  <c r="K17" i="31"/>
  <c r="K18" i="31"/>
  <c r="K19" i="31"/>
  <c r="K20" i="31"/>
  <c r="K21" i="31"/>
  <c r="K22" i="31"/>
  <c r="K23" i="31"/>
  <c r="K24" i="31"/>
  <c r="K25" i="31"/>
  <c r="K26" i="31"/>
  <c r="K27" i="31"/>
  <c r="K28" i="31"/>
  <c r="K29" i="31"/>
  <c r="K30" i="31"/>
  <c r="K31" i="31"/>
  <c r="K32" i="31"/>
  <c r="K33" i="31"/>
  <c r="K34" i="31"/>
  <c r="K35" i="31"/>
  <c r="K36" i="31"/>
  <c r="K37" i="31"/>
  <c r="K38" i="31"/>
  <c r="K39" i="31"/>
  <c r="K40" i="31"/>
  <c r="K41" i="31"/>
  <c r="K42" i="31"/>
  <c r="K43" i="31"/>
  <c r="K44" i="31"/>
  <c r="K45" i="31"/>
  <c r="K46" i="31"/>
  <c r="K47" i="31"/>
  <c r="K48" i="31"/>
  <c r="K49" i="31"/>
  <c r="K50" i="31"/>
  <c r="K51" i="31"/>
  <c r="K52" i="31"/>
  <c r="K53" i="31"/>
  <c r="K54" i="31"/>
  <c r="K55" i="31"/>
  <c r="K56" i="31"/>
  <c r="K57" i="31"/>
  <c r="K58" i="31"/>
  <c r="K59" i="31"/>
  <c r="K60" i="31"/>
  <c r="K61" i="31"/>
  <c r="K62" i="31"/>
  <c r="K63" i="31"/>
  <c r="K64" i="31"/>
  <c r="K65" i="31"/>
  <c r="K66" i="31"/>
  <c r="K67" i="31"/>
  <c r="K68" i="31"/>
  <c r="K69" i="31"/>
  <c r="K70" i="31"/>
  <c r="K71" i="31"/>
  <c r="K72" i="31"/>
  <c r="K73" i="31"/>
  <c r="K74" i="31"/>
  <c r="K75" i="31"/>
  <c r="K76" i="31"/>
  <c r="K77" i="31"/>
  <c r="K78" i="31"/>
  <c r="K79" i="31"/>
  <c r="K80" i="31"/>
  <c r="K81" i="31"/>
  <c r="K82" i="31"/>
  <c r="K83" i="31"/>
  <c r="K84" i="31"/>
  <c r="K85" i="31"/>
  <c r="K86" i="31"/>
  <c r="K87" i="31"/>
  <c r="K88" i="31"/>
  <c r="K89" i="31"/>
  <c r="K90" i="31"/>
  <c r="K91" i="31"/>
  <c r="K92" i="31"/>
  <c r="K93" i="31"/>
  <c r="K94" i="31"/>
  <c r="K95" i="31"/>
  <c r="K96" i="31"/>
  <c r="K97" i="31"/>
  <c r="K98" i="31"/>
  <c r="K99" i="31"/>
  <c r="K100" i="31"/>
  <c r="K101" i="31"/>
  <c r="K102" i="31"/>
  <c r="K103" i="31"/>
  <c r="K104" i="31"/>
  <c r="K105" i="31"/>
  <c r="K106" i="31"/>
  <c r="K107" i="31"/>
  <c r="K108" i="31"/>
  <c r="K109" i="31"/>
  <c r="K110" i="31"/>
  <c r="K111" i="31"/>
  <c r="K112" i="31"/>
  <c r="K113" i="31"/>
  <c r="K114" i="31"/>
  <c r="K115" i="31"/>
  <c r="K116" i="31"/>
  <c r="K117" i="31"/>
  <c r="K118" i="31"/>
  <c r="K119" i="31"/>
  <c r="K120" i="31"/>
  <c r="K121" i="31"/>
  <c r="K122" i="31"/>
  <c r="K123" i="31"/>
  <c r="K124" i="31"/>
  <c r="K125" i="31"/>
  <c r="K126" i="31"/>
  <c r="K127" i="31"/>
  <c r="K128" i="31"/>
  <c r="K129" i="31"/>
  <c r="K130" i="31"/>
  <c r="K131" i="31"/>
  <c r="K132" i="31"/>
  <c r="K133" i="31"/>
  <c r="K134" i="31"/>
  <c r="K135" i="31"/>
  <c r="K136" i="31"/>
  <c r="K137" i="31"/>
  <c r="K138" i="31"/>
  <c r="K139" i="31"/>
  <c r="K140" i="31"/>
  <c r="K141" i="31"/>
  <c r="K142" i="31"/>
  <c r="K143" i="31"/>
  <c r="K144" i="31"/>
  <c r="K145" i="31"/>
  <c r="K146" i="31"/>
  <c r="K147" i="31"/>
  <c r="K148" i="31"/>
  <c r="K149" i="31"/>
  <c r="K150" i="31"/>
  <c r="K151" i="31"/>
  <c r="K152" i="31"/>
  <c r="K153" i="31"/>
  <c r="K154" i="31"/>
  <c r="K155" i="31"/>
  <c r="K156" i="31"/>
  <c r="K157" i="31"/>
  <c r="K158" i="31"/>
  <c r="K159" i="31"/>
  <c r="K160" i="31"/>
  <c r="K161" i="31"/>
  <c r="K162" i="31"/>
  <c r="K163" i="31"/>
  <c r="K164" i="31"/>
  <c r="K165" i="31"/>
  <c r="K166" i="31"/>
  <c r="K167" i="31"/>
  <c r="K168" i="31"/>
  <c r="K169" i="31"/>
  <c r="K170" i="31"/>
  <c r="K171" i="31"/>
  <c r="K172" i="31"/>
  <c r="K173" i="31"/>
  <c r="K174" i="31"/>
  <c r="K175" i="31"/>
  <c r="K176" i="31"/>
  <c r="K177" i="31"/>
  <c r="K178" i="31"/>
  <c r="K179" i="31"/>
  <c r="K180" i="31"/>
  <c r="K181" i="31"/>
  <c r="K182" i="31"/>
  <c r="K183" i="31"/>
  <c r="K184" i="31"/>
  <c r="K185" i="31"/>
  <c r="K186" i="31"/>
  <c r="K187" i="31"/>
  <c r="K188" i="31"/>
  <c r="K189" i="31"/>
  <c r="K190" i="31"/>
  <c r="K191" i="31"/>
  <c r="K192" i="31"/>
  <c r="K193" i="31"/>
  <c r="K194" i="31"/>
  <c r="K195" i="31"/>
  <c r="K196" i="31"/>
  <c r="K197" i="31"/>
  <c r="K198" i="31"/>
  <c r="K199" i="31"/>
  <c r="K200" i="31"/>
  <c r="K201" i="31"/>
  <c r="K202" i="31"/>
  <c r="K203" i="31"/>
  <c r="K204" i="31"/>
  <c r="K205" i="31"/>
  <c r="K206" i="31"/>
  <c r="K207" i="31"/>
  <c r="K208" i="31"/>
  <c r="K209" i="31"/>
  <c r="K210" i="31"/>
  <c r="K211" i="31"/>
  <c r="K212" i="31"/>
  <c r="K213" i="31"/>
  <c r="K214" i="31"/>
  <c r="K215" i="31"/>
  <c r="K216" i="31"/>
  <c r="K217" i="31"/>
  <c r="K218" i="31"/>
  <c r="K219" i="31"/>
  <c r="K220" i="31"/>
  <c r="K221" i="31"/>
  <c r="K222" i="31"/>
  <c r="K223" i="31"/>
  <c r="K224" i="31"/>
  <c r="K225" i="31"/>
  <c r="K226" i="31"/>
  <c r="K227" i="31"/>
  <c r="K228" i="31"/>
  <c r="K229" i="31"/>
  <c r="K230" i="31"/>
  <c r="K231" i="31"/>
  <c r="K232" i="31"/>
  <c r="K233" i="31"/>
  <c r="K234" i="31"/>
  <c r="K235" i="31"/>
  <c r="K236" i="31"/>
  <c r="K237" i="31"/>
  <c r="K238" i="31"/>
  <c r="K239" i="31"/>
  <c r="K240" i="31"/>
  <c r="K241" i="31"/>
  <c r="K242" i="31"/>
  <c r="K243" i="31"/>
  <c r="K244" i="31"/>
  <c r="K245" i="31"/>
  <c r="K246" i="31"/>
  <c r="K247" i="31"/>
  <c r="K248" i="31"/>
  <c r="K249" i="31"/>
  <c r="K250" i="31"/>
  <c r="K251" i="31"/>
  <c r="K252" i="31"/>
  <c r="K253" i="31"/>
  <c r="K254" i="31"/>
  <c r="K255" i="31"/>
  <c r="K256" i="31"/>
  <c r="K257" i="31"/>
  <c r="K258" i="31"/>
  <c r="K259" i="31"/>
  <c r="K260" i="31"/>
  <c r="K261" i="31"/>
  <c r="K262" i="31"/>
  <c r="K263" i="31"/>
  <c r="K264" i="31"/>
  <c r="K265" i="31"/>
  <c r="K266" i="31"/>
  <c r="K267" i="31"/>
  <c r="K268" i="31"/>
  <c r="K269" i="31"/>
  <c r="K270" i="31"/>
  <c r="K271" i="31"/>
  <c r="K272" i="31"/>
  <c r="K273" i="31"/>
  <c r="K274" i="31"/>
  <c r="K275" i="31"/>
  <c r="K276" i="31"/>
  <c r="K277" i="31"/>
  <c r="K278" i="31"/>
  <c r="K279" i="31"/>
  <c r="K280" i="31"/>
  <c r="K281" i="31"/>
  <c r="K282" i="31"/>
  <c r="K283" i="31"/>
  <c r="K284" i="31"/>
  <c r="K285" i="31"/>
  <c r="K286" i="31"/>
  <c r="K287" i="31"/>
  <c r="K288" i="31"/>
  <c r="K289" i="31"/>
  <c r="K290" i="31"/>
  <c r="K291" i="31"/>
  <c r="K292" i="31"/>
  <c r="K293" i="31"/>
  <c r="K294" i="31"/>
  <c r="K295" i="31"/>
  <c r="K296" i="31"/>
  <c r="K297" i="31"/>
  <c r="K298" i="31"/>
  <c r="K299" i="31"/>
  <c r="K300" i="31"/>
  <c r="K301" i="31"/>
  <c r="K302" i="31"/>
  <c r="K303" i="31"/>
  <c r="K304" i="31"/>
  <c r="K305" i="31"/>
  <c r="K306" i="31"/>
  <c r="K307" i="31"/>
  <c r="K308" i="31"/>
  <c r="K309" i="31"/>
  <c r="K310" i="31"/>
  <c r="K311" i="31"/>
  <c r="K312" i="31"/>
  <c r="K313" i="31"/>
  <c r="K314" i="31"/>
  <c r="K315" i="31"/>
  <c r="K316" i="31"/>
  <c r="K317" i="31"/>
  <c r="K318" i="31"/>
  <c r="K319" i="31"/>
  <c r="K320" i="31"/>
  <c r="K321" i="31"/>
  <c r="K322" i="31"/>
  <c r="K323" i="31"/>
  <c r="K324" i="31"/>
  <c r="K325" i="31"/>
  <c r="K326" i="31"/>
  <c r="K327" i="31"/>
  <c r="K328" i="31"/>
  <c r="K329" i="31"/>
  <c r="K330" i="31"/>
  <c r="K331" i="31"/>
  <c r="K332" i="31"/>
  <c r="K333" i="31"/>
  <c r="K334" i="31"/>
  <c r="K335" i="31"/>
  <c r="K336" i="31"/>
  <c r="K337" i="31"/>
  <c r="K338" i="31"/>
  <c r="K339" i="31"/>
  <c r="K340" i="31"/>
  <c r="K341" i="31"/>
  <c r="K342" i="31"/>
  <c r="K343" i="31"/>
  <c r="K344" i="31"/>
  <c r="K345" i="31"/>
  <c r="K346" i="31"/>
  <c r="K347" i="31"/>
  <c r="K348" i="31"/>
  <c r="K349" i="31"/>
  <c r="K350" i="31"/>
  <c r="K351" i="31"/>
  <c r="K352" i="31"/>
  <c r="K353" i="31"/>
  <c r="K354" i="31"/>
  <c r="K355" i="31"/>
  <c r="K356" i="31"/>
  <c r="K357" i="31"/>
  <c r="K358" i="31"/>
  <c r="K359" i="31"/>
  <c r="K360" i="31"/>
  <c r="K361" i="31"/>
  <c r="K362" i="31"/>
  <c r="K363" i="31"/>
  <c r="K364" i="31"/>
  <c r="K365" i="31"/>
  <c r="K366" i="31"/>
  <c r="K367" i="31"/>
  <c r="K368" i="31"/>
  <c r="K369" i="31"/>
  <c r="K370" i="31"/>
  <c r="K371" i="31"/>
  <c r="K372" i="31"/>
  <c r="K373" i="31"/>
  <c r="K374" i="31"/>
  <c r="K375" i="31"/>
  <c r="K376" i="31"/>
  <c r="K377" i="31"/>
  <c r="K378" i="31"/>
  <c r="K379" i="31"/>
  <c r="K380" i="31"/>
  <c r="K381" i="31"/>
  <c r="K382" i="31"/>
  <c r="K383" i="31"/>
  <c r="K384" i="31"/>
  <c r="K385" i="31"/>
  <c r="K386" i="31"/>
  <c r="K387" i="31"/>
  <c r="K388" i="31"/>
  <c r="K389" i="31"/>
  <c r="K390" i="31"/>
  <c r="K391" i="31"/>
  <c r="K392" i="31"/>
  <c r="K393" i="31"/>
  <c r="K394" i="31"/>
  <c r="K395" i="31"/>
  <c r="K396" i="31"/>
  <c r="K397" i="31"/>
  <c r="K398" i="31"/>
  <c r="K399" i="31"/>
  <c r="K400" i="31"/>
  <c r="K401" i="31"/>
  <c r="K402" i="31"/>
  <c r="K403" i="31"/>
  <c r="K404" i="31"/>
  <c r="K405" i="31"/>
  <c r="K406" i="31"/>
  <c r="K407" i="31"/>
  <c r="K408" i="31"/>
  <c r="K409" i="31"/>
  <c r="K410" i="31"/>
  <c r="K411" i="31"/>
  <c r="K412" i="31"/>
  <c r="K413" i="31"/>
  <c r="K414" i="31"/>
  <c r="K415" i="31"/>
  <c r="K416" i="31"/>
  <c r="K417" i="31"/>
  <c r="K418" i="31"/>
  <c r="K419" i="31"/>
  <c r="K420" i="31"/>
  <c r="K421" i="31"/>
  <c r="K422" i="31"/>
  <c r="K423" i="31"/>
  <c r="K424" i="31"/>
  <c r="K425" i="31"/>
  <c r="K426" i="31"/>
  <c r="K427" i="31"/>
  <c r="K428" i="31"/>
  <c r="K429" i="31"/>
  <c r="K430" i="31"/>
  <c r="K431" i="31"/>
  <c r="K432" i="31"/>
  <c r="K433" i="31"/>
  <c r="K434" i="31"/>
  <c r="K435" i="31"/>
  <c r="K436" i="31"/>
  <c r="K437" i="31"/>
  <c r="K438" i="31"/>
  <c r="K439" i="31"/>
  <c r="K440" i="31"/>
  <c r="K441" i="31"/>
  <c r="K442" i="31"/>
  <c r="K443" i="31"/>
  <c r="K444" i="31"/>
  <c r="K445" i="31"/>
  <c r="K446" i="31"/>
  <c r="K447" i="31"/>
  <c r="K448" i="31"/>
  <c r="K449" i="31"/>
  <c r="K450" i="31"/>
  <c r="K451" i="31"/>
  <c r="K452" i="31"/>
  <c r="K453" i="31"/>
  <c r="K454" i="31"/>
  <c r="K455" i="31"/>
  <c r="K456" i="31"/>
  <c r="K457" i="31"/>
  <c r="K458" i="31"/>
  <c r="K459" i="31"/>
  <c r="K460" i="31"/>
  <c r="K461" i="31"/>
  <c r="K462" i="31"/>
  <c r="K463" i="31"/>
  <c r="K464" i="31"/>
  <c r="K465" i="31"/>
  <c r="K466" i="31"/>
  <c r="K467" i="31"/>
  <c r="K468" i="31"/>
  <c r="K469" i="31"/>
  <c r="K470" i="31"/>
  <c r="K471" i="31"/>
  <c r="K472" i="31"/>
  <c r="K473" i="31"/>
  <c r="K474" i="31"/>
  <c r="K475" i="31"/>
  <c r="K476" i="31"/>
  <c r="K477" i="31"/>
  <c r="K478" i="31"/>
  <c r="K479" i="31"/>
  <c r="K480" i="31"/>
  <c r="K481" i="31"/>
  <c r="K482" i="31"/>
  <c r="K483" i="31"/>
  <c r="K484" i="31"/>
  <c r="K485" i="31"/>
  <c r="K486" i="31"/>
  <c r="K487" i="31"/>
  <c r="K488" i="31"/>
  <c r="K489" i="31"/>
  <c r="K490" i="31"/>
  <c r="K491" i="31"/>
  <c r="K492" i="31"/>
  <c r="K493" i="31"/>
  <c r="K494" i="31"/>
  <c r="K495" i="31"/>
  <c r="K496" i="31"/>
  <c r="K497" i="31"/>
  <c r="K498" i="31"/>
  <c r="K499" i="31"/>
  <c r="K500" i="31"/>
  <c r="K501" i="31"/>
  <c r="K502" i="31"/>
  <c r="K503" i="31"/>
  <c r="K504" i="31"/>
  <c r="K505" i="31"/>
  <c r="K506" i="31"/>
  <c r="K507" i="31"/>
  <c r="K508" i="31"/>
  <c r="K509" i="31"/>
  <c r="K510" i="31"/>
  <c r="K511" i="31"/>
  <c r="K512" i="31"/>
  <c r="K513" i="31"/>
  <c r="K514" i="31"/>
  <c r="K515" i="31"/>
  <c r="K516" i="31"/>
  <c r="K517" i="31"/>
  <c r="K518" i="31"/>
  <c r="K519" i="31"/>
  <c r="K520" i="31"/>
  <c r="K521" i="31"/>
  <c r="K522" i="31"/>
  <c r="K523" i="31"/>
  <c r="K524" i="31"/>
  <c r="K525" i="31"/>
  <c r="K526" i="31"/>
  <c r="K527" i="31"/>
  <c r="K528" i="31"/>
  <c r="K529" i="31"/>
  <c r="K530" i="31"/>
  <c r="K531" i="31"/>
  <c r="K532" i="31"/>
  <c r="K533" i="31"/>
  <c r="K534" i="31"/>
  <c r="K535" i="31"/>
  <c r="K536" i="31"/>
  <c r="K537" i="31"/>
  <c r="K538" i="31"/>
  <c r="K539" i="31"/>
  <c r="K540" i="31"/>
  <c r="K541" i="31"/>
  <c r="K542" i="31"/>
  <c r="K543" i="31"/>
  <c r="K544" i="31"/>
  <c r="K545" i="31"/>
  <c r="K546" i="31"/>
  <c r="K547" i="31"/>
  <c r="K548" i="31"/>
  <c r="K549" i="31"/>
  <c r="K550" i="31"/>
  <c r="K551" i="31"/>
  <c r="K552" i="31"/>
  <c r="K553" i="31"/>
  <c r="K554" i="31"/>
  <c r="K555" i="31"/>
  <c r="K556" i="31"/>
  <c r="K557" i="31"/>
  <c r="K558" i="31"/>
  <c r="K559" i="31"/>
  <c r="K560" i="31"/>
  <c r="K561" i="31"/>
  <c r="K562" i="31"/>
  <c r="K563" i="31"/>
  <c r="K564" i="31"/>
  <c r="K565" i="31"/>
  <c r="K566" i="31"/>
  <c r="K567" i="31"/>
  <c r="K568" i="31"/>
  <c r="K569" i="31"/>
  <c r="K570" i="31"/>
  <c r="K571" i="31"/>
  <c r="K572" i="31"/>
  <c r="K573" i="31"/>
  <c r="K574" i="31"/>
  <c r="K575" i="31"/>
  <c r="K576" i="31"/>
  <c r="K577" i="31"/>
  <c r="K578" i="31"/>
  <c r="K579" i="31"/>
  <c r="K580" i="31"/>
  <c r="K581" i="31"/>
  <c r="K582" i="31"/>
  <c r="K583" i="31"/>
  <c r="K584" i="31"/>
  <c r="K585" i="31"/>
  <c r="K586" i="31"/>
  <c r="K587" i="31"/>
  <c r="K588" i="31"/>
  <c r="K589" i="31"/>
  <c r="K590" i="31"/>
  <c r="K591" i="31"/>
  <c r="K592" i="31"/>
  <c r="K593" i="31"/>
  <c r="K594" i="31"/>
  <c r="K595" i="31"/>
  <c r="K596" i="31"/>
  <c r="K597" i="31"/>
  <c r="K598" i="31"/>
  <c r="K599" i="31"/>
  <c r="K600" i="31"/>
  <c r="K601" i="31"/>
  <c r="K602" i="31"/>
  <c r="K603" i="31"/>
  <c r="K604" i="31"/>
  <c r="K605" i="31"/>
  <c r="K606" i="31"/>
  <c r="K607" i="31"/>
  <c r="K608" i="31"/>
  <c r="K609" i="31"/>
  <c r="K610" i="31"/>
  <c r="K611" i="31"/>
  <c r="K612" i="31"/>
  <c r="K613" i="31"/>
  <c r="K614" i="31"/>
  <c r="K615" i="31"/>
  <c r="K616" i="31"/>
  <c r="K617" i="31"/>
  <c r="K618" i="31"/>
  <c r="K619" i="31"/>
  <c r="K620" i="31"/>
  <c r="K621" i="31"/>
  <c r="K622" i="31"/>
  <c r="K623" i="31"/>
  <c r="K624" i="31"/>
  <c r="K625" i="31"/>
  <c r="K626" i="31"/>
  <c r="K627" i="31"/>
  <c r="K628" i="31"/>
  <c r="K629" i="31"/>
  <c r="K630" i="31"/>
  <c r="K631" i="31"/>
  <c r="K632" i="31"/>
  <c r="K633" i="31"/>
  <c r="K634" i="31"/>
  <c r="K635" i="31"/>
  <c r="K636" i="31"/>
  <c r="K637" i="31"/>
  <c r="K638" i="31"/>
  <c r="K639" i="31"/>
  <c r="K640" i="31"/>
  <c r="K641" i="31"/>
  <c r="K642" i="31"/>
  <c r="K643" i="31"/>
  <c r="K644" i="31"/>
  <c r="K645" i="31"/>
  <c r="K646" i="31"/>
  <c r="K647" i="31"/>
  <c r="K648" i="31"/>
  <c r="K649" i="31"/>
  <c r="K650" i="31"/>
  <c r="K651" i="31"/>
  <c r="K652" i="31"/>
  <c r="K653" i="31"/>
  <c r="K654" i="31"/>
  <c r="K655" i="31"/>
  <c r="K656" i="31"/>
  <c r="K657" i="31"/>
  <c r="K658" i="31"/>
  <c r="K659" i="31"/>
  <c r="K660" i="31"/>
  <c r="K661" i="31"/>
  <c r="K662" i="31"/>
  <c r="K663" i="31"/>
  <c r="K664" i="31"/>
  <c r="K665" i="31"/>
  <c r="K666" i="31"/>
  <c r="K667" i="31"/>
  <c r="K668" i="31"/>
  <c r="K669" i="31"/>
  <c r="K670" i="31"/>
  <c r="K671" i="31"/>
  <c r="K672" i="31"/>
  <c r="K673" i="31"/>
  <c r="K674" i="31"/>
  <c r="K675" i="31"/>
  <c r="K676" i="31"/>
  <c r="K677" i="31"/>
  <c r="K678" i="31"/>
  <c r="K679" i="31"/>
  <c r="K680" i="31"/>
  <c r="K681" i="31"/>
  <c r="K682" i="31"/>
  <c r="K683" i="31"/>
  <c r="K684" i="31"/>
  <c r="K685" i="31"/>
  <c r="K686" i="31"/>
  <c r="K687" i="31"/>
  <c r="K688" i="31"/>
  <c r="K689" i="31"/>
  <c r="K690" i="31"/>
  <c r="K691" i="31"/>
  <c r="K692" i="31"/>
  <c r="K693" i="31"/>
  <c r="K694" i="31"/>
  <c r="K695" i="31"/>
  <c r="K696" i="31"/>
  <c r="K697" i="31"/>
  <c r="K698" i="31"/>
  <c r="K699" i="31"/>
  <c r="K700" i="31"/>
  <c r="K701" i="31"/>
  <c r="K702" i="31"/>
  <c r="K703" i="31"/>
  <c r="K704" i="31"/>
  <c r="K705" i="31"/>
  <c r="K706" i="31"/>
  <c r="K707" i="31"/>
  <c r="K708" i="31"/>
  <c r="K709" i="31"/>
  <c r="K710" i="31"/>
  <c r="K711" i="31"/>
  <c r="K712" i="31"/>
  <c r="K713" i="31"/>
  <c r="K714" i="31"/>
  <c r="K715" i="31"/>
  <c r="K716" i="31"/>
  <c r="K717" i="31"/>
  <c r="K718" i="31"/>
  <c r="K719" i="31"/>
  <c r="K720" i="31"/>
  <c r="K721" i="31"/>
  <c r="K722" i="31"/>
  <c r="K723" i="31"/>
  <c r="K724" i="31"/>
  <c r="K725" i="31"/>
  <c r="K726" i="31"/>
  <c r="K727" i="31"/>
  <c r="K728" i="31"/>
  <c r="K729" i="31"/>
  <c r="K730" i="31"/>
  <c r="K731" i="31"/>
  <c r="K732" i="31"/>
  <c r="K733" i="31"/>
  <c r="K734" i="31"/>
  <c r="K735" i="31"/>
  <c r="K736" i="31"/>
  <c r="K737" i="31"/>
  <c r="K738" i="31"/>
  <c r="K739" i="31"/>
  <c r="K740" i="31"/>
  <c r="K741" i="31"/>
  <c r="K742" i="31"/>
  <c r="K743" i="31"/>
  <c r="K744" i="31"/>
  <c r="K745" i="31"/>
  <c r="K746" i="31"/>
  <c r="K747" i="31"/>
  <c r="K748" i="31"/>
  <c r="K749" i="31"/>
  <c r="K750" i="31"/>
  <c r="K751" i="31"/>
  <c r="K752" i="31"/>
  <c r="K753" i="31"/>
  <c r="K754" i="31"/>
  <c r="K755" i="31"/>
  <c r="K756" i="31"/>
  <c r="K757" i="31"/>
  <c r="K758" i="31"/>
  <c r="K759" i="31"/>
  <c r="K760" i="31"/>
  <c r="K761" i="31"/>
  <c r="K762" i="31"/>
  <c r="K763" i="31"/>
  <c r="K764" i="31"/>
  <c r="K765" i="31"/>
  <c r="K766" i="31"/>
  <c r="K767" i="31"/>
  <c r="K768" i="31"/>
  <c r="K769" i="31"/>
  <c r="K770" i="31"/>
  <c r="K771" i="31"/>
  <c r="K772" i="31"/>
  <c r="K773" i="31"/>
  <c r="K774" i="31"/>
  <c r="K775" i="31"/>
  <c r="K776" i="31"/>
  <c r="K777" i="31"/>
  <c r="K778" i="31"/>
  <c r="K779" i="31"/>
  <c r="K780" i="31"/>
  <c r="K781" i="31"/>
  <c r="K782" i="31"/>
  <c r="K783" i="31"/>
  <c r="K784" i="31"/>
  <c r="K785" i="31"/>
  <c r="K786" i="31"/>
  <c r="K787" i="31"/>
  <c r="K788" i="31"/>
  <c r="K789" i="31"/>
  <c r="K790" i="31"/>
  <c r="K791" i="31"/>
  <c r="K792" i="31"/>
  <c r="K793" i="31"/>
  <c r="K794" i="31"/>
  <c r="K795" i="31"/>
  <c r="K796" i="31"/>
  <c r="K797" i="31"/>
  <c r="K798" i="31"/>
  <c r="K799" i="31"/>
  <c r="K800" i="31"/>
  <c r="K801" i="31"/>
  <c r="K802" i="31"/>
  <c r="K803" i="31"/>
  <c r="K804" i="31"/>
  <c r="K805" i="31"/>
  <c r="K806" i="31"/>
  <c r="K807" i="31"/>
  <c r="K808" i="31"/>
  <c r="K809" i="31"/>
  <c r="K810" i="31"/>
  <c r="K811" i="31"/>
  <c r="K812" i="31"/>
  <c r="K813" i="31"/>
  <c r="K814" i="31"/>
  <c r="K815" i="31"/>
  <c r="K816" i="31"/>
  <c r="K817" i="31"/>
  <c r="K818" i="31"/>
  <c r="K819" i="31"/>
  <c r="K820" i="31"/>
  <c r="K821" i="31"/>
  <c r="K822" i="31"/>
  <c r="K823" i="31"/>
  <c r="K824" i="31"/>
  <c r="K825" i="31"/>
  <c r="K826" i="31"/>
  <c r="K827" i="31"/>
  <c r="K828" i="31"/>
  <c r="K829" i="31"/>
  <c r="K830" i="31"/>
  <c r="K831" i="31"/>
  <c r="K832" i="31"/>
  <c r="K833" i="31"/>
  <c r="K834" i="31"/>
  <c r="K835" i="31"/>
  <c r="K836" i="31"/>
  <c r="K837" i="31"/>
  <c r="K838" i="31"/>
  <c r="K839" i="31"/>
  <c r="K840" i="31"/>
  <c r="K841" i="31"/>
  <c r="K842" i="31"/>
  <c r="K843" i="31"/>
  <c r="K844" i="31"/>
  <c r="K845" i="31"/>
  <c r="K846" i="31"/>
  <c r="K847" i="31"/>
  <c r="K848" i="31"/>
  <c r="K849" i="31"/>
  <c r="K850" i="31"/>
  <c r="K851" i="31"/>
  <c r="K852" i="31"/>
  <c r="K853" i="31"/>
  <c r="K854" i="31"/>
  <c r="K855" i="31"/>
  <c r="K856" i="31"/>
  <c r="K857" i="31"/>
  <c r="K858" i="31"/>
  <c r="K859" i="31"/>
  <c r="K860" i="31"/>
  <c r="K861" i="31"/>
  <c r="K862" i="31"/>
  <c r="K863" i="31"/>
  <c r="K864" i="31"/>
  <c r="K865" i="31"/>
  <c r="K866" i="31"/>
  <c r="K867" i="31"/>
  <c r="K868" i="31"/>
  <c r="K869" i="31"/>
  <c r="K870" i="31"/>
  <c r="K871" i="31"/>
  <c r="K872" i="31"/>
  <c r="K873" i="31"/>
  <c r="K874" i="31"/>
  <c r="K875" i="31"/>
  <c r="K876" i="31"/>
  <c r="K877" i="31"/>
  <c r="K878" i="31"/>
  <c r="K879" i="31"/>
  <c r="K880" i="31"/>
  <c r="K881" i="31"/>
  <c r="K882" i="31"/>
  <c r="K883" i="31"/>
  <c r="K884" i="31"/>
  <c r="K885" i="31"/>
  <c r="K886" i="31"/>
  <c r="K887" i="31"/>
  <c r="K888" i="31"/>
  <c r="K889" i="31"/>
  <c r="K890" i="31"/>
  <c r="K891" i="31"/>
  <c r="K892" i="31"/>
  <c r="K893" i="31"/>
  <c r="K894" i="31"/>
  <c r="K895" i="31"/>
  <c r="K896" i="31"/>
  <c r="K897" i="31"/>
  <c r="K898" i="31"/>
  <c r="K899" i="31"/>
  <c r="K900" i="31"/>
  <c r="K901" i="31"/>
  <c r="K902" i="31"/>
  <c r="K903" i="31"/>
  <c r="K904" i="31"/>
  <c r="K905" i="31"/>
  <c r="K906" i="31"/>
  <c r="K907" i="31"/>
  <c r="K908" i="31"/>
  <c r="K909" i="31"/>
  <c r="K910" i="31"/>
  <c r="K911" i="31"/>
  <c r="K912" i="31"/>
  <c r="K913" i="31"/>
  <c r="K914" i="31"/>
  <c r="K915" i="31"/>
  <c r="K916" i="31"/>
  <c r="K917" i="31"/>
  <c r="K918" i="31"/>
  <c r="K919" i="31"/>
  <c r="K920" i="31"/>
  <c r="K921" i="31"/>
  <c r="K922" i="31"/>
  <c r="K923" i="31"/>
  <c r="K924" i="31"/>
  <c r="K925" i="31"/>
  <c r="K926" i="31"/>
  <c r="K927" i="31"/>
  <c r="K928" i="31"/>
  <c r="K929" i="31"/>
  <c r="K930" i="31"/>
  <c r="K931" i="31"/>
  <c r="K932" i="31"/>
  <c r="K933" i="31"/>
  <c r="K934" i="31"/>
  <c r="K935" i="31"/>
  <c r="K936" i="31"/>
  <c r="K937" i="31"/>
  <c r="K938" i="31"/>
  <c r="K939" i="31"/>
  <c r="K940" i="31"/>
  <c r="K941" i="31"/>
  <c r="K942" i="31"/>
  <c r="K943" i="31"/>
  <c r="K944" i="31"/>
  <c r="K945" i="31"/>
  <c r="K946" i="31"/>
  <c r="K947" i="31"/>
  <c r="K948" i="31"/>
  <c r="K949" i="31"/>
  <c r="K950" i="31"/>
  <c r="K951" i="31"/>
  <c r="K952" i="31"/>
  <c r="K953" i="31"/>
  <c r="K954" i="31"/>
  <c r="K955" i="31"/>
  <c r="K956" i="31"/>
  <c r="K957" i="31"/>
  <c r="K958" i="31"/>
  <c r="K959" i="31"/>
  <c r="K960" i="31"/>
  <c r="K961" i="31"/>
  <c r="K962" i="31"/>
  <c r="K963" i="31"/>
  <c r="K964" i="31"/>
  <c r="K965" i="31"/>
  <c r="K966" i="31"/>
  <c r="K967" i="31"/>
  <c r="K968" i="31"/>
  <c r="K969" i="31"/>
  <c r="K970" i="31"/>
  <c r="K971" i="31"/>
  <c r="K972" i="31"/>
  <c r="K973" i="31"/>
  <c r="K974" i="31"/>
  <c r="K975" i="31"/>
  <c r="K976" i="31"/>
  <c r="K977" i="31"/>
  <c r="K978" i="31"/>
  <c r="K979" i="31"/>
  <c r="K980" i="31"/>
  <c r="K981" i="31"/>
  <c r="K982" i="31"/>
  <c r="K983" i="31"/>
  <c r="K984" i="31"/>
  <c r="K985" i="31"/>
  <c r="K986" i="31"/>
  <c r="K987" i="31"/>
  <c r="K988" i="31"/>
  <c r="K989" i="31"/>
  <c r="K990" i="31"/>
  <c r="K991" i="31"/>
  <c r="K992" i="31"/>
  <c r="K993" i="31"/>
  <c r="K994" i="31"/>
  <c r="K995" i="31"/>
  <c r="K996" i="31"/>
  <c r="K997" i="31"/>
  <c r="K998" i="31"/>
  <c r="K999" i="31"/>
  <c r="K1000" i="31"/>
  <c r="K1001" i="31"/>
  <c r="K1002" i="31"/>
  <c r="K1003" i="31"/>
  <c r="K1004" i="31"/>
  <c r="K1005" i="31"/>
  <c r="K1006" i="31"/>
  <c r="K1007" i="31"/>
  <c r="K1008" i="31"/>
  <c r="K1009" i="31"/>
  <c r="K1010" i="31"/>
  <c r="K1011" i="31"/>
  <c r="K1012" i="31"/>
  <c r="K1013" i="31"/>
  <c r="K1014" i="31"/>
  <c r="K1015" i="31"/>
  <c r="K1016" i="31"/>
  <c r="K1017" i="31"/>
  <c r="K1018" i="31"/>
  <c r="K1019" i="31"/>
  <c r="K1020" i="31"/>
  <c r="K1021" i="31"/>
  <c r="K1022" i="31"/>
  <c r="K1023" i="31"/>
  <c r="K1024" i="31"/>
  <c r="K1025" i="31"/>
  <c r="K1026" i="31"/>
  <c r="K1027" i="31"/>
  <c r="K1028" i="31"/>
  <c r="K1029" i="31"/>
  <c r="K1030" i="31"/>
  <c r="K1031" i="31"/>
  <c r="K1032" i="31"/>
  <c r="K1033" i="31"/>
  <c r="K1034" i="31"/>
  <c r="K1035" i="31"/>
  <c r="K1036" i="31"/>
  <c r="K1037" i="31"/>
  <c r="K1038" i="31"/>
  <c r="K1039" i="31"/>
  <c r="K1040" i="31"/>
  <c r="K5" i="31"/>
  <c r="I6" i="31"/>
  <c r="J6" i="31" s="1"/>
  <c r="I7" i="31"/>
  <c r="J7" i="31" s="1"/>
  <c r="I8" i="31"/>
  <c r="J8" i="31" s="1"/>
  <c r="I9" i="31"/>
  <c r="J9" i="31" s="1"/>
  <c r="I10" i="31"/>
  <c r="J10" i="31" s="1"/>
  <c r="I11" i="31"/>
  <c r="J11" i="31" s="1"/>
  <c r="I12" i="31"/>
  <c r="J12" i="31" s="1"/>
  <c r="I13" i="31"/>
  <c r="J13" i="31" s="1"/>
  <c r="I14" i="31"/>
  <c r="J14" i="31" s="1"/>
  <c r="I15" i="31"/>
  <c r="J15" i="31" s="1"/>
  <c r="I16" i="31"/>
  <c r="J16" i="31" s="1"/>
  <c r="I17" i="31"/>
  <c r="J17" i="31" s="1"/>
  <c r="I18" i="31"/>
  <c r="J18" i="31" s="1"/>
  <c r="I19" i="31"/>
  <c r="J19" i="31" s="1"/>
  <c r="I20" i="31"/>
  <c r="J20" i="31" s="1"/>
  <c r="I21" i="31"/>
  <c r="J21" i="31" s="1"/>
  <c r="I22" i="31"/>
  <c r="J22" i="31" s="1"/>
  <c r="I23" i="31"/>
  <c r="J23" i="31" s="1"/>
  <c r="I24" i="31"/>
  <c r="J24" i="31" s="1"/>
  <c r="I25" i="31"/>
  <c r="J25" i="31" s="1"/>
  <c r="I26" i="31"/>
  <c r="J26" i="31" s="1"/>
  <c r="I27" i="31"/>
  <c r="J27" i="31" s="1"/>
  <c r="I28" i="31"/>
  <c r="J28" i="31" s="1"/>
  <c r="I29" i="31"/>
  <c r="J29" i="31" s="1"/>
  <c r="I30" i="31"/>
  <c r="J30" i="31" s="1"/>
  <c r="I31" i="31"/>
  <c r="J31" i="31" s="1"/>
  <c r="I32" i="31"/>
  <c r="J32" i="31" s="1"/>
  <c r="I33" i="31"/>
  <c r="J33" i="31" s="1"/>
  <c r="I34" i="31"/>
  <c r="J34" i="31" s="1"/>
  <c r="I35" i="31"/>
  <c r="J35" i="31" s="1"/>
  <c r="I36" i="31"/>
  <c r="J36" i="31" s="1"/>
  <c r="I37" i="31"/>
  <c r="J37" i="31" s="1"/>
  <c r="I38" i="31"/>
  <c r="J38" i="31" s="1"/>
  <c r="I39" i="31"/>
  <c r="J39" i="31" s="1"/>
  <c r="I40" i="31"/>
  <c r="J40" i="31" s="1"/>
  <c r="I41" i="31"/>
  <c r="J41" i="31" s="1"/>
  <c r="I42" i="31"/>
  <c r="J42" i="31" s="1"/>
  <c r="I43" i="31"/>
  <c r="J43" i="31" s="1"/>
  <c r="I44" i="31"/>
  <c r="J44" i="31" s="1"/>
  <c r="I45" i="31"/>
  <c r="J45" i="31" s="1"/>
  <c r="I46" i="31"/>
  <c r="J46" i="31" s="1"/>
  <c r="I47" i="31"/>
  <c r="J47" i="31" s="1"/>
  <c r="I48" i="31"/>
  <c r="J48" i="31" s="1"/>
  <c r="I49" i="31"/>
  <c r="J49" i="31" s="1"/>
  <c r="I50" i="31"/>
  <c r="J50" i="31" s="1"/>
  <c r="I51" i="31"/>
  <c r="J51" i="31" s="1"/>
  <c r="I52" i="31"/>
  <c r="J52" i="31" s="1"/>
  <c r="I53" i="31"/>
  <c r="J53" i="31" s="1"/>
  <c r="I54" i="31"/>
  <c r="J54" i="31" s="1"/>
  <c r="I55" i="31"/>
  <c r="J55" i="31" s="1"/>
  <c r="I56" i="31"/>
  <c r="J56" i="31" s="1"/>
  <c r="I57" i="31"/>
  <c r="J57" i="31" s="1"/>
  <c r="I58" i="31"/>
  <c r="J58" i="31" s="1"/>
  <c r="I59" i="31"/>
  <c r="J59" i="31" s="1"/>
  <c r="I60" i="31"/>
  <c r="J60" i="31" s="1"/>
  <c r="I61" i="31"/>
  <c r="J61" i="31" s="1"/>
  <c r="I62" i="31"/>
  <c r="J62" i="31" s="1"/>
  <c r="I63" i="31"/>
  <c r="J63" i="31" s="1"/>
  <c r="I64" i="31"/>
  <c r="J64" i="31" s="1"/>
  <c r="I65" i="31"/>
  <c r="J65" i="31" s="1"/>
  <c r="I66" i="31"/>
  <c r="J66" i="31" s="1"/>
  <c r="I67" i="31"/>
  <c r="J67" i="31" s="1"/>
  <c r="I68" i="31"/>
  <c r="J68" i="31" s="1"/>
  <c r="I69" i="31"/>
  <c r="J69" i="31" s="1"/>
  <c r="I70" i="31"/>
  <c r="J70" i="31" s="1"/>
  <c r="I71" i="31"/>
  <c r="J71" i="31" s="1"/>
  <c r="I72" i="31"/>
  <c r="J72" i="31" s="1"/>
  <c r="I73" i="31"/>
  <c r="J73" i="31" s="1"/>
  <c r="I74" i="31"/>
  <c r="J74" i="31" s="1"/>
  <c r="I75" i="31"/>
  <c r="J75" i="31" s="1"/>
  <c r="I76" i="31"/>
  <c r="J76" i="31" s="1"/>
  <c r="I77" i="31"/>
  <c r="J77" i="31" s="1"/>
  <c r="I78" i="31"/>
  <c r="J78" i="31" s="1"/>
  <c r="I79" i="31"/>
  <c r="J79" i="31" s="1"/>
  <c r="I80" i="31"/>
  <c r="J80" i="31" s="1"/>
  <c r="I81" i="31"/>
  <c r="J81" i="31" s="1"/>
  <c r="I82" i="31"/>
  <c r="J82" i="31" s="1"/>
  <c r="I83" i="31"/>
  <c r="J83" i="31" s="1"/>
  <c r="I84" i="31"/>
  <c r="J84" i="31" s="1"/>
  <c r="I85" i="31"/>
  <c r="J85" i="31" s="1"/>
  <c r="I86" i="31"/>
  <c r="J86" i="31" s="1"/>
  <c r="I87" i="31"/>
  <c r="J87" i="31" s="1"/>
  <c r="I88" i="31"/>
  <c r="J88" i="31" s="1"/>
  <c r="I89" i="31"/>
  <c r="J89" i="31" s="1"/>
  <c r="I90" i="31"/>
  <c r="J90" i="31" s="1"/>
  <c r="I91" i="31"/>
  <c r="J91" i="31" s="1"/>
  <c r="I92" i="31"/>
  <c r="J92" i="31" s="1"/>
  <c r="I93" i="31"/>
  <c r="J93" i="31" s="1"/>
  <c r="I94" i="31"/>
  <c r="J94" i="31" s="1"/>
  <c r="I95" i="31"/>
  <c r="J95" i="31" s="1"/>
  <c r="I96" i="31"/>
  <c r="J96" i="31" s="1"/>
  <c r="I97" i="31"/>
  <c r="J97" i="31" s="1"/>
  <c r="I98" i="31"/>
  <c r="J98" i="31" s="1"/>
  <c r="I99" i="31"/>
  <c r="J99" i="31" s="1"/>
  <c r="I100" i="31"/>
  <c r="J100" i="31" s="1"/>
  <c r="I101" i="31"/>
  <c r="J101" i="31" s="1"/>
  <c r="I102" i="31"/>
  <c r="J102" i="31" s="1"/>
  <c r="I103" i="31"/>
  <c r="J103" i="31" s="1"/>
  <c r="I104" i="31"/>
  <c r="J104" i="31" s="1"/>
  <c r="I105" i="31"/>
  <c r="J105" i="31" s="1"/>
  <c r="I106" i="31"/>
  <c r="J106" i="31" s="1"/>
  <c r="I107" i="31"/>
  <c r="J107" i="31" s="1"/>
  <c r="I108" i="31"/>
  <c r="J108" i="31" s="1"/>
  <c r="I109" i="31"/>
  <c r="J109" i="31" s="1"/>
  <c r="I110" i="31"/>
  <c r="J110" i="31" s="1"/>
  <c r="I111" i="31"/>
  <c r="J111" i="31" s="1"/>
  <c r="I112" i="31"/>
  <c r="J112" i="31" s="1"/>
  <c r="I113" i="31"/>
  <c r="J113" i="31" s="1"/>
  <c r="I114" i="31"/>
  <c r="J114" i="31" s="1"/>
  <c r="I115" i="31"/>
  <c r="J115" i="31" s="1"/>
  <c r="I116" i="31"/>
  <c r="J116" i="31" s="1"/>
  <c r="I117" i="31"/>
  <c r="J117" i="31" s="1"/>
  <c r="I118" i="31"/>
  <c r="J118" i="31" s="1"/>
  <c r="I119" i="31"/>
  <c r="J119" i="31" s="1"/>
  <c r="I120" i="31"/>
  <c r="J120" i="31" s="1"/>
  <c r="I121" i="31"/>
  <c r="J121" i="31" s="1"/>
  <c r="I122" i="31"/>
  <c r="J122" i="31" s="1"/>
  <c r="I123" i="31"/>
  <c r="J123" i="31" s="1"/>
  <c r="I124" i="31"/>
  <c r="J124" i="31" s="1"/>
  <c r="I125" i="31"/>
  <c r="J125" i="31" s="1"/>
  <c r="I126" i="31"/>
  <c r="J126" i="31" s="1"/>
  <c r="I127" i="31"/>
  <c r="J127" i="31" s="1"/>
  <c r="I128" i="31"/>
  <c r="J128" i="31" s="1"/>
  <c r="I129" i="31"/>
  <c r="J129" i="31" s="1"/>
  <c r="I130" i="31"/>
  <c r="J130" i="31" s="1"/>
  <c r="I131" i="31"/>
  <c r="J131" i="31" s="1"/>
  <c r="I132" i="31"/>
  <c r="J132" i="31" s="1"/>
  <c r="I133" i="31"/>
  <c r="J133" i="31" s="1"/>
  <c r="I134" i="31"/>
  <c r="J134" i="31" s="1"/>
  <c r="I135" i="31"/>
  <c r="J135" i="31" s="1"/>
  <c r="I136" i="31"/>
  <c r="J136" i="31" s="1"/>
  <c r="I137" i="31"/>
  <c r="J137" i="31" s="1"/>
  <c r="I138" i="31"/>
  <c r="J138" i="31" s="1"/>
  <c r="I139" i="31"/>
  <c r="J139" i="31" s="1"/>
  <c r="I140" i="31"/>
  <c r="J140" i="31" s="1"/>
  <c r="I141" i="31"/>
  <c r="J141" i="31" s="1"/>
  <c r="I142" i="31"/>
  <c r="J142" i="31" s="1"/>
  <c r="I143" i="31"/>
  <c r="J143" i="31" s="1"/>
  <c r="I144" i="31"/>
  <c r="J144" i="31" s="1"/>
  <c r="I145" i="31"/>
  <c r="J145" i="31" s="1"/>
  <c r="I146" i="31"/>
  <c r="J146" i="31" s="1"/>
  <c r="I147" i="31"/>
  <c r="J147" i="31" s="1"/>
  <c r="I148" i="31"/>
  <c r="J148" i="31" s="1"/>
  <c r="I149" i="31"/>
  <c r="J149" i="31" s="1"/>
  <c r="I150" i="31"/>
  <c r="J150" i="31" s="1"/>
  <c r="I151" i="31"/>
  <c r="J151" i="31" s="1"/>
  <c r="I152" i="31"/>
  <c r="J152" i="31" s="1"/>
  <c r="I153" i="31"/>
  <c r="J153" i="31" s="1"/>
  <c r="I154" i="31"/>
  <c r="J154" i="31" s="1"/>
  <c r="I155" i="31"/>
  <c r="J155" i="31" s="1"/>
  <c r="I156" i="31"/>
  <c r="J156" i="31" s="1"/>
  <c r="I157" i="31"/>
  <c r="J157" i="31" s="1"/>
  <c r="I158" i="31"/>
  <c r="J158" i="31" s="1"/>
  <c r="I159" i="31"/>
  <c r="J159" i="31" s="1"/>
  <c r="I160" i="31"/>
  <c r="J160" i="31" s="1"/>
  <c r="I161" i="31"/>
  <c r="J161" i="31" s="1"/>
  <c r="I162" i="31"/>
  <c r="J162" i="31" s="1"/>
  <c r="I163" i="31"/>
  <c r="J163" i="31" s="1"/>
  <c r="I164" i="31"/>
  <c r="J164" i="31" s="1"/>
  <c r="I165" i="31"/>
  <c r="J165" i="31" s="1"/>
  <c r="I166" i="31"/>
  <c r="J166" i="31" s="1"/>
  <c r="I167" i="31"/>
  <c r="J167" i="31" s="1"/>
  <c r="I168" i="31"/>
  <c r="J168" i="31" s="1"/>
  <c r="I169" i="31"/>
  <c r="J169" i="31" s="1"/>
  <c r="I170" i="31"/>
  <c r="J170" i="31" s="1"/>
  <c r="I171" i="31"/>
  <c r="J171" i="31" s="1"/>
  <c r="I172" i="31"/>
  <c r="J172" i="31" s="1"/>
  <c r="I173" i="31"/>
  <c r="J173" i="31" s="1"/>
  <c r="I174" i="31"/>
  <c r="J174" i="31" s="1"/>
  <c r="I175" i="31"/>
  <c r="J175" i="31" s="1"/>
  <c r="I176" i="31"/>
  <c r="J176" i="31" s="1"/>
  <c r="I177" i="31"/>
  <c r="J177" i="31" s="1"/>
  <c r="I178" i="31"/>
  <c r="J178" i="31" s="1"/>
  <c r="I179" i="31"/>
  <c r="J179" i="31" s="1"/>
  <c r="I180" i="31"/>
  <c r="J180" i="31" s="1"/>
  <c r="I181" i="31"/>
  <c r="J181" i="31" s="1"/>
  <c r="I182" i="31"/>
  <c r="J182" i="31" s="1"/>
  <c r="I183" i="31"/>
  <c r="J183" i="31" s="1"/>
  <c r="I184" i="31"/>
  <c r="J184" i="31" s="1"/>
  <c r="I185" i="31"/>
  <c r="J185" i="31" s="1"/>
  <c r="I186" i="31"/>
  <c r="J186" i="31" s="1"/>
  <c r="I187" i="31"/>
  <c r="J187" i="31" s="1"/>
  <c r="I188" i="31"/>
  <c r="J188" i="31" s="1"/>
  <c r="I189" i="31"/>
  <c r="J189" i="31" s="1"/>
  <c r="I190" i="31"/>
  <c r="J190" i="31" s="1"/>
  <c r="I191" i="31"/>
  <c r="J191" i="31" s="1"/>
  <c r="I192" i="31"/>
  <c r="J192" i="31" s="1"/>
  <c r="I193" i="31"/>
  <c r="J193" i="31" s="1"/>
  <c r="I194" i="31"/>
  <c r="J194" i="31" s="1"/>
  <c r="I195" i="31"/>
  <c r="J195" i="31" s="1"/>
  <c r="I196" i="31"/>
  <c r="J196" i="31" s="1"/>
  <c r="I197" i="31"/>
  <c r="J197" i="31" s="1"/>
  <c r="I198" i="31"/>
  <c r="J198" i="31" s="1"/>
  <c r="I199" i="31"/>
  <c r="J199" i="31" s="1"/>
  <c r="I200" i="31"/>
  <c r="J200" i="31" s="1"/>
  <c r="I201" i="31"/>
  <c r="J201" i="31" s="1"/>
  <c r="I202" i="31"/>
  <c r="J202" i="31" s="1"/>
  <c r="I203" i="31"/>
  <c r="J203" i="31" s="1"/>
  <c r="I204" i="31"/>
  <c r="J204" i="31" s="1"/>
  <c r="I205" i="31"/>
  <c r="J205" i="31" s="1"/>
  <c r="I206" i="31"/>
  <c r="J206" i="31" s="1"/>
  <c r="I207" i="31"/>
  <c r="J207" i="31" s="1"/>
  <c r="I208" i="31"/>
  <c r="J208" i="31" s="1"/>
  <c r="I209" i="31"/>
  <c r="J209" i="31" s="1"/>
  <c r="I210" i="31"/>
  <c r="J210" i="31" s="1"/>
  <c r="I211" i="31"/>
  <c r="J211" i="31" s="1"/>
  <c r="I212" i="31"/>
  <c r="J212" i="31" s="1"/>
  <c r="I213" i="31"/>
  <c r="J213" i="31" s="1"/>
  <c r="I214" i="31"/>
  <c r="J214" i="31" s="1"/>
  <c r="I215" i="31"/>
  <c r="J215" i="31" s="1"/>
  <c r="I216" i="31"/>
  <c r="J216" i="31" s="1"/>
  <c r="I217" i="31"/>
  <c r="J217" i="31" s="1"/>
  <c r="I218" i="31"/>
  <c r="J218" i="31" s="1"/>
  <c r="I219" i="31"/>
  <c r="J219" i="31" s="1"/>
  <c r="I220" i="31"/>
  <c r="J220" i="31" s="1"/>
  <c r="I221" i="31"/>
  <c r="J221" i="31" s="1"/>
  <c r="I222" i="31"/>
  <c r="J222" i="31" s="1"/>
  <c r="I223" i="31"/>
  <c r="J223" i="31" s="1"/>
  <c r="I224" i="31"/>
  <c r="J224" i="31" s="1"/>
  <c r="I225" i="31"/>
  <c r="J225" i="31" s="1"/>
  <c r="I226" i="31"/>
  <c r="J226" i="31" s="1"/>
  <c r="I227" i="31"/>
  <c r="J227" i="31" s="1"/>
  <c r="I228" i="31"/>
  <c r="J228" i="31" s="1"/>
  <c r="I229" i="31"/>
  <c r="J229" i="31" s="1"/>
  <c r="I230" i="31"/>
  <c r="J230" i="31" s="1"/>
  <c r="I231" i="31"/>
  <c r="J231" i="31" s="1"/>
  <c r="I232" i="31"/>
  <c r="J232" i="31" s="1"/>
  <c r="I233" i="31"/>
  <c r="J233" i="31" s="1"/>
  <c r="I234" i="31"/>
  <c r="J234" i="31" s="1"/>
  <c r="I235" i="31"/>
  <c r="J235" i="31" s="1"/>
  <c r="I236" i="31"/>
  <c r="J236" i="31" s="1"/>
  <c r="I237" i="31"/>
  <c r="J237" i="31" s="1"/>
  <c r="I238" i="31"/>
  <c r="J238" i="31" s="1"/>
  <c r="I239" i="31"/>
  <c r="J239" i="31" s="1"/>
  <c r="I240" i="31"/>
  <c r="J240" i="31" s="1"/>
  <c r="I241" i="31"/>
  <c r="J241" i="31" s="1"/>
  <c r="I242" i="31"/>
  <c r="J242" i="31" s="1"/>
  <c r="I243" i="31"/>
  <c r="J243" i="31" s="1"/>
  <c r="I244" i="31"/>
  <c r="J244" i="31" s="1"/>
  <c r="I245" i="31"/>
  <c r="J245" i="31" s="1"/>
  <c r="I246" i="31"/>
  <c r="J246" i="31" s="1"/>
  <c r="I247" i="31"/>
  <c r="J247" i="31" s="1"/>
  <c r="I248" i="31"/>
  <c r="J248" i="31" s="1"/>
  <c r="I249" i="31"/>
  <c r="J249" i="31" s="1"/>
  <c r="I250" i="31"/>
  <c r="J250" i="31" s="1"/>
  <c r="I251" i="31"/>
  <c r="J251" i="31" s="1"/>
  <c r="I252" i="31"/>
  <c r="J252" i="31" s="1"/>
  <c r="I253" i="31"/>
  <c r="J253" i="31" s="1"/>
  <c r="I254" i="31"/>
  <c r="J254" i="31" s="1"/>
  <c r="I255" i="31"/>
  <c r="J255" i="31" s="1"/>
  <c r="I256" i="31"/>
  <c r="J256" i="31" s="1"/>
  <c r="I257" i="31"/>
  <c r="J257" i="31" s="1"/>
  <c r="I258" i="31"/>
  <c r="J258" i="31" s="1"/>
  <c r="I259" i="31"/>
  <c r="J259" i="31" s="1"/>
  <c r="I260" i="31"/>
  <c r="J260" i="31" s="1"/>
  <c r="I261" i="31"/>
  <c r="J261" i="31" s="1"/>
  <c r="I262" i="31"/>
  <c r="J262" i="31" s="1"/>
  <c r="I263" i="31"/>
  <c r="J263" i="31" s="1"/>
  <c r="I264" i="31"/>
  <c r="J264" i="31" s="1"/>
  <c r="I265" i="31"/>
  <c r="J265" i="31" s="1"/>
  <c r="I266" i="31"/>
  <c r="J266" i="31" s="1"/>
  <c r="I267" i="31"/>
  <c r="J267" i="31" s="1"/>
  <c r="I268" i="31"/>
  <c r="J268" i="31" s="1"/>
  <c r="I269" i="31"/>
  <c r="J269" i="31" s="1"/>
  <c r="I270" i="31"/>
  <c r="J270" i="31" s="1"/>
  <c r="I271" i="31"/>
  <c r="J271" i="31" s="1"/>
  <c r="I272" i="31"/>
  <c r="J272" i="31" s="1"/>
  <c r="I273" i="31"/>
  <c r="J273" i="31" s="1"/>
  <c r="I274" i="31"/>
  <c r="J274" i="31" s="1"/>
  <c r="I275" i="31"/>
  <c r="J275" i="31" s="1"/>
  <c r="I276" i="31"/>
  <c r="J276" i="31" s="1"/>
  <c r="I277" i="31"/>
  <c r="J277" i="31" s="1"/>
  <c r="I278" i="31"/>
  <c r="J278" i="31" s="1"/>
  <c r="I279" i="31"/>
  <c r="J279" i="31" s="1"/>
  <c r="I280" i="31"/>
  <c r="J280" i="31" s="1"/>
  <c r="I281" i="31"/>
  <c r="J281" i="31" s="1"/>
  <c r="I282" i="31"/>
  <c r="J282" i="31" s="1"/>
  <c r="I283" i="31"/>
  <c r="J283" i="31" s="1"/>
  <c r="I284" i="31"/>
  <c r="J284" i="31" s="1"/>
  <c r="I285" i="31"/>
  <c r="J285" i="31" s="1"/>
  <c r="I286" i="31"/>
  <c r="J286" i="31" s="1"/>
  <c r="I287" i="31"/>
  <c r="J287" i="31" s="1"/>
  <c r="I288" i="31"/>
  <c r="J288" i="31" s="1"/>
  <c r="I289" i="31"/>
  <c r="J289" i="31" s="1"/>
  <c r="I290" i="31"/>
  <c r="J290" i="31" s="1"/>
  <c r="I291" i="31"/>
  <c r="J291" i="31" s="1"/>
  <c r="I292" i="31"/>
  <c r="J292" i="31" s="1"/>
  <c r="I293" i="31"/>
  <c r="J293" i="31" s="1"/>
  <c r="I294" i="31"/>
  <c r="J294" i="31" s="1"/>
  <c r="I295" i="31"/>
  <c r="J295" i="31" s="1"/>
  <c r="I296" i="31"/>
  <c r="J296" i="31" s="1"/>
  <c r="I297" i="31"/>
  <c r="J297" i="31" s="1"/>
  <c r="I298" i="31"/>
  <c r="J298" i="31" s="1"/>
  <c r="I299" i="31"/>
  <c r="J299" i="31" s="1"/>
  <c r="I300" i="31"/>
  <c r="J300" i="31" s="1"/>
  <c r="I301" i="31"/>
  <c r="J301" i="31" s="1"/>
  <c r="I302" i="31"/>
  <c r="J302" i="31" s="1"/>
  <c r="I303" i="31"/>
  <c r="J303" i="31" s="1"/>
  <c r="I304" i="31"/>
  <c r="J304" i="31" s="1"/>
  <c r="I305" i="31"/>
  <c r="J305" i="31" s="1"/>
  <c r="I306" i="31"/>
  <c r="J306" i="31" s="1"/>
  <c r="I307" i="31"/>
  <c r="J307" i="31" s="1"/>
  <c r="I308" i="31"/>
  <c r="J308" i="31" s="1"/>
  <c r="I309" i="31"/>
  <c r="J309" i="31" s="1"/>
  <c r="I310" i="31"/>
  <c r="J310" i="31" s="1"/>
  <c r="I311" i="31"/>
  <c r="J311" i="31" s="1"/>
  <c r="I312" i="31"/>
  <c r="J312" i="31" s="1"/>
  <c r="I313" i="31"/>
  <c r="J313" i="31" s="1"/>
  <c r="I314" i="31"/>
  <c r="J314" i="31" s="1"/>
  <c r="I315" i="31"/>
  <c r="J315" i="31" s="1"/>
  <c r="I316" i="31"/>
  <c r="J316" i="31" s="1"/>
  <c r="I317" i="31"/>
  <c r="J317" i="31" s="1"/>
  <c r="I318" i="31"/>
  <c r="J318" i="31" s="1"/>
  <c r="I319" i="31"/>
  <c r="J319" i="31" s="1"/>
  <c r="I320" i="31"/>
  <c r="J320" i="31" s="1"/>
  <c r="I321" i="31"/>
  <c r="J321" i="31" s="1"/>
  <c r="I322" i="31"/>
  <c r="J322" i="31" s="1"/>
  <c r="I323" i="31"/>
  <c r="J323" i="31" s="1"/>
  <c r="I324" i="31"/>
  <c r="J324" i="31" s="1"/>
  <c r="I325" i="31"/>
  <c r="J325" i="31" s="1"/>
  <c r="I326" i="31"/>
  <c r="J326" i="31" s="1"/>
  <c r="I327" i="31"/>
  <c r="J327" i="31" s="1"/>
  <c r="I328" i="31"/>
  <c r="J328" i="31" s="1"/>
  <c r="I329" i="31"/>
  <c r="J329" i="31" s="1"/>
  <c r="I330" i="31"/>
  <c r="J330" i="31" s="1"/>
  <c r="I331" i="31"/>
  <c r="J331" i="31" s="1"/>
  <c r="I332" i="31"/>
  <c r="J332" i="31" s="1"/>
  <c r="I333" i="31"/>
  <c r="J333" i="31" s="1"/>
  <c r="I334" i="31"/>
  <c r="J334" i="31" s="1"/>
  <c r="I335" i="31"/>
  <c r="J335" i="31" s="1"/>
  <c r="I336" i="31"/>
  <c r="J336" i="31" s="1"/>
  <c r="I337" i="31"/>
  <c r="J337" i="31" s="1"/>
  <c r="I338" i="31"/>
  <c r="J338" i="31" s="1"/>
  <c r="I339" i="31"/>
  <c r="J339" i="31" s="1"/>
  <c r="I340" i="31"/>
  <c r="J340" i="31" s="1"/>
  <c r="I341" i="31"/>
  <c r="J341" i="31" s="1"/>
  <c r="I342" i="31"/>
  <c r="J342" i="31" s="1"/>
  <c r="I343" i="31"/>
  <c r="J343" i="31" s="1"/>
  <c r="I344" i="31"/>
  <c r="J344" i="31" s="1"/>
  <c r="I345" i="31"/>
  <c r="J345" i="31" s="1"/>
  <c r="I346" i="31"/>
  <c r="J346" i="31" s="1"/>
  <c r="I347" i="31"/>
  <c r="J347" i="31" s="1"/>
  <c r="I348" i="31"/>
  <c r="J348" i="31" s="1"/>
  <c r="I349" i="31"/>
  <c r="J349" i="31" s="1"/>
  <c r="I350" i="31"/>
  <c r="J350" i="31" s="1"/>
  <c r="I351" i="31"/>
  <c r="J351" i="31" s="1"/>
  <c r="I352" i="31"/>
  <c r="J352" i="31" s="1"/>
  <c r="I353" i="31"/>
  <c r="J353" i="31" s="1"/>
  <c r="I354" i="31"/>
  <c r="J354" i="31" s="1"/>
  <c r="I355" i="31"/>
  <c r="J355" i="31" s="1"/>
  <c r="I356" i="31"/>
  <c r="J356" i="31" s="1"/>
  <c r="I357" i="31"/>
  <c r="J357" i="31" s="1"/>
  <c r="I358" i="31"/>
  <c r="J358" i="31" s="1"/>
  <c r="I359" i="31"/>
  <c r="J359" i="31" s="1"/>
  <c r="I360" i="31"/>
  <c r="J360" i="31" s="1"/>
  <c r="I361" i="31"/>
  <c r="J361" i="31" s="1"/>
  <c r="I362" i="31"/>
  <c r="J362" i="31" s="1"/>
  <c r="I363" i="31"/>
  <c r="J363" i="31" s="1"/>
  <c r="I364" i="31"/>
  <c r="J364" i="31" s="1"/>
  <c r="I365" i="31"/>
  <c r="J365" i="31" s="1"/>
  <c r="I366" i="31"/>
  <c r="J366" i="31" s="1"/>
  <c r="I367" i="31"/>
  <c r="J367" i="31" s="1"/>
  <c r="I368" i="31"/>
  <c r="J368" i="31" s="1"/>
  <c r="I369" i="31"/>
  <c r="J369" i="31" s="1"/>
  <c r="I370" i="31"/>
  <c r="J370" i="31" s="1"/>
  <c r="I371" i="31"/>
  <c r="J371" i="31" s="1"/>
  <c r="I372" i="31"/>
  <c r="J372" i="31" s="1"/>
  <c r="I373" i="31"/>
  <c r="J373" i="31" s="1"/>
  <c r="I374" i="31"/>
  <c r="J374" i="31" s="1"/>
  <c r="I375" i="31"/>
  <c r="J375" i="31" s="1"/>
  <c r="I376" i="31"/>
  <c r="J376" i="31" s="1"/>
  <c r="I377" i="31"/>
  <c r="J377" i="31" s="1"/>
  <c r="I378" i="31"/>
  <c r="J378" i="31" s="1"/>
  <c r="I379" i="31"/>
  <c r="J379" i="31" s="1"/>
  <c r="I380" i="31"/>
  <c r="J380" i="31" s="1"/>
  <c r="I381" i="31"/>
  <c r="J381" i="31" s="1"/>
  <c r="I382" i="31"/>
  <c r="J382" i="31" s="1"/>
  <c r="I383" i="31"/>
  <c r="J383" i="31" s="1"/>
  <c r="I384" i="31"/>
  <c r="J384" i="31" s="1"/>
  <c r="I385" i="31"/>
  <c r="J385" i="31" s="1"/>
  <c r="I386" i="31"/>
  <c r="J386" i="31" s="1"/>
  <c r="I387" i="31"/>
  <c r="J387" i="31" s="1"/>
  <c r="I388" i="31"/>
  <c r="J388" i="31" s="1"/>
  <c r="I389" i="31"/>
  <c r="J389" i="31" s="1"/>
  <c r="I390" i="31"/>
  <c r="J390" i="31" s="1"/>
  <c r="I391" i="31"/>
  <c r="J391" i="31" s="1"/>
  <c r="I392" i="31"/>
  <c r="J392" i="31" s="1"/>
  <c r="I393" i="31"/>
  <c r="J393" i="31" s="1"/>
  <c r="I394" i="31"/>
  <c r="J394" i="31" s="1"/>
  <c r="I395" i="31"/>
  <c r="J395" i="31" s="1"/>
  <c r="I396" i="31"/>
  <c r="J396" i="31" s="1"/>
  <c r="I397" i="31"/>
  <c r="J397" i="31" s="1"/>
  <c r="I398" i="31"/>
  <c r="J398" i="31" s="1"/>
  <c r="I399" i="31"/>
  <c r="J399" i="31" s="1"/>
  <c r="I400" i="31"/>
  <c r="J400" i="31" s="1"/>
  <c r="I401" i="31"/>
  <c r="J401" i="31" s="1"/>
  <c r="I402" i="31"/>
  <c r="J402" i="31" s="1"/>
  <c r="I403" i="31"/>
  <c r="J403" i="31" s="1"/>
  <c r="I404" i="31"/>
  <c r="J404" i="31" s="1"/>
  <c r="I405" i="31"/>
  <c r="J405" i="31" s="1"/>
  <c r="I406" i="31"/>
  <c r="J406" i="31" s="1"/>
  <c r="I407" i="31"/>
  <c r="J407" i="31" s="1"/>
  <c r="I408" i="31"/>
  <c r="J408" i="31" s="1"/>
  <c r="I409" i="31"/>
  <c r="J409" i="31" s="1"/>
  <c r="I410" i="31"/>
  <c r="J410" i="31" s="1"/>
  <c r="I411" i="31"/>
  <c r="J411" i="31" s="1"/>
  <c r="I412" i="31"/>
  <c r="J412" i="31" s="1"/>
  <c r="I413" i="31"/>
  <c r="J413" i="31" s="1"/>
  <c r="I414" i="31"/>
  <c r="J414" i="31" s="1"/>
  <c r="I415" i="31"/>
  <c r="J415" i="31" s="1"/>
  <c r="I416" i="31"/>
  <c r="J416" i="31" s="1"/>
  <c r="I417" i="31"/>
  <c r="J417" i="31" s="1"/>
  <c r="I418" i="31"/>
  <c r="J418" i="31" s="1"/>
  <c r="I419" i="31"/>
  <c r="J419" i="31" s="1"/>
  <c r="I420" i="31"/>
  <c r="J420" i="31" s="1"/>
  <c r="I421" i="31"/>
  <c r="J421" i="31" s="1"/>
  <c r="I422" i="31"/>
  <c r="J422" i="31" s="1"/>
  <c r="I423" i="31"/>
  <c r="J423" i="31" s="1"/>
  <c r="I424" i="31"/>
  <c r="J424" i="31" s="1"/>
  <c r="I425" i="31"/>
  <c r="J425" i="31" s="1"/>
  <c r="I426" i="31"/>
  <c r="J426" i="31" s="1"/>
  <c r="I427" i="31"/>
  <c r="J427" i="31" s="1"/>
  <c r="I428" i="31"/>
  <c r="J428" i="31" s="1"/>
  <c r="I429" i="31"/>
  <c r="J429" i="31" s="1"/>
  <c r="I430" i="31"/>
  <c r="J430" i="31" s="1"/>
  <c r="I431" i="31"/>
  <c r="J431" i="31" s="1"/>
  <c r="I432" i="31"/>
  <c r="J432" i="31" s="1"/>
  <c r="I433" i="31"/>
  <c r="J433" i="31" s="1"/>
  <c r="I434" i="31"/>
  <c r="J434" i="31" s="1"/>
  <c r="I435" i="31"/>
  <c r="J435" i="31" s="1"/>
  <c r="I436" i="31"/>
  <c r="J436" i="31" s="1"/>
  <c r="I437" i="31"/>
  <c r="J437" i="31" s="1"/>
  <c r="I438" i="31"/>
  <c r="J438" i="31" s="1"/>
  <c r="I439" i="31"/>
  <c r="J439" i="31" s="1"/>
  <c r="I440" i="31"/>
  <c r="J440" i="31" s="1"/>
  <c r="I441" i="31"/>
  <c r="J441" i="31" s="1"/>
  <c r="I442" i="31"/>
  <c r="J442" i="31" s="1"/>
  <c r="I443" i="31"/>
  <c r="J443" i="31" s="1"/>
  <c r="I444" i="31"/>
  <c r="J444" i="31" s="1"/>
  <c r="I445" i="31"/>
  <c r="J445" i="31" s="1"/>
  <c r="I446" i="31"/>
  <c r="J446" i="31" s="1"/>
  <c r="I447" i="31"/>
  <c r="J447" i="31" s="1"/>
  <c r="I448" i="31"/>
  <c r="J448" i="31" s="1"/>
  <c r="I449" i="31"/>
  <c r="J449" i="31" s="1"/>
  <c r="I450" i="31"/>
  <c r="J450" i="31" s="1"/>
  <c r="I451" i="31"/>
  <c r="J451" i="31" s="1"/>
  <c r="I452" i="31"/>
  <c r="J452" i="31" s="1"/>
  <c r="I453" i="31"/>
  <c r="J453" i="31" s="1"/>
  <c r="I454" i="31"/>
  <c r="J454" i="31" s="1"/>
  <c r="I455" i="31"/>
  <c r="J455" i="31" s="1"/>
  <c r="I456" i="31"/>
  <c r="J456" i="31" s="1"/>
  <c r="I457" i="31"/>
  <c r="J457" i="31" s="1"/>
  <c r="I458" i="31"/>
  <c r="J458" i="31" s="1"/>
  <c r="I459" i="31"/>
  <c r="J459" i="31" s="1"/>
  <c r="I460" i="31"/>
  <c r="J460" i="31" s="1"/>
  <c r="I461" i="31"/>
  <c r="J461" i="31" s="1"/>
  <c r="I462" i="31"/>
  <c r="J462" i="31" s="1"/>
  <c r="I463" i="31"/>
  <c r="J463" i="31" s="1"/>
  <c r="I464" i="31"/>
  <c r="J464" i="31" s="1"/>
  <c r="I465" i="31"/>
  <c r="J465" i="31" s="1"/>
  <c r="I466" i="31"/>
  <c r="J466" i="31" s="1"/>
  <c r="I467" i="31"/>
  <c r="J467" i="31" s="1"/>
  <c r="I468" i="31"/>
  <c r="J468" i="31" s="1"/>
  <c r="I469" i="31"/>
  <c r="J469" i="31" s="1"/>
  <c r="I470" i="31"/>
  <c r="J470" i="31" s="1"/>
  <c r="I471" i="31"/>
  <c r="J471" i="31" s="1"/>
  <c r="I472" i="31"/>
  <c r="J472" i="31" s="1"/>
  <c r="I473" i="31"/>
  <c r="J473" i="31" s="1"/>
  <c r="I474" i="31"/>
  <c r="J474" i="31" s="1"/>
  <c r="I475" i="31"/>
  <c r="J475" i="31" s="1"/>
  <c r="I476" i="31"/>
  <c r="J476" i="31" s="1"/>
  <c r="I477" i="31"/>
  <c r="J477" i="31" s="1"/>
  <c r="I478" i="31"/>
  <c r="J478" i="31" s="1"/>
  <c r="I479" i="31"/>
  <c r="J479" i="31" s="1"/>
  <c r="I480" i="31"/>
  <c r="J480" i="31" s="1"/>
  <c r="I481" i="31"/>
  <c r="J481" i="31" s="1"/>
  <c r="I482" i="31"/>
  <c r="J482" i="31" s="1"/>
  <c r="I483" i="31"/>
  <c r="J483" i="31" s="1"/>
  <c r="I484" i="31"/>
  <c r="J484" i="31" s="1"/>
  <c r="I485" i="31"/>
  <c r="J485" i="31" s="1"/>
  <c r="I486" i="31"/>
  <c r="J486" i="31" s="1"/>
  <c r="I487" i="31"/>
  <c r="J487" i="31" s="1"/>
  <c r="I488" i="31"/>
  <c r="J488" i="31" s="1"/>
  <c r="I489" i="31"/>
  <c r="J489" i="31" s="1"/>
  <c r="I490" i="31"/>
  <c r="J490" i="31" s="1"/>
  <c r="I491" i="31"/>
  <c r="J491" i="31" s="1"/>
  <c r="I492" i="31"/>
  <c r="J492" i="31" s="1"/>
  <c r="I493" i="31"/>
  <c r="J493" i="31" s="1"/>
  <c r="I494" i="31"/>
  <c r="J494" i="31" s="1"/>
  <c r="I495" i="31"/>
  <c r="J495" i="31" s="1"/>
  <c r="I496" i="31"/>
  <c r="J496" i="31" s="1"/>
  <c r="I497" i="31"/>
  <c r="J497" i="31" s="1"/>
  <c r="I498" i="31"/>
  <c r="J498" i="31" s="1"/>
  <c r="I499" i="31"/>
  <c r="J499" i="31" s="1"/>
  <c r="I500" i="31"/>
  <c r="J500" i="31" s="1"/>
  <c r="I501" i="31"/>
  <c r="J501" i="31" s="1"/>
  <c r="I502" i="31"/>
  <c r="J502" i="31" s="1"/>
  <c r="I503" i="31"/>
  <c r="J503" i="31" s="1"/>
  <c r="I504" i="31"/>
  <c r="J504" i="31" s="1"/>
  <c r="I505" i="31"/>
  <c r="J505" i="31" s="1"/>
  <c r="I506" i="31"/>
  <c r="J506" i="31" s="1"/>
  <c r="I507" i="31"/>
  <c r="J507" i="31" s="1"/>
  <c r="I508" i="31"/>
  <c r="J508" i="31" s="1"/>
  <c r="I509" i="31"/>
  <c r="J509" i="31" s="1"/>
  <c r="I510" i="31"/>
  <c r="J510" i="31" s="1"/>
  <c r="I511" i="31"/>
  <c r="J511" i="31" s="1"/>
  <c r="I512" i="31"/>
  <c r="J512" i="31" s="1"/>
  <c r="I513" i="31"/>
  <c r="J513" i="31" s="1"/>
  <c r="I514" i="31"/>
  <c r="J514" i="31" s="1"/>
  <c r="I515" i="31"/>
  <c r="J515" i="31" s="1"/>
  <c r="I516" i="31"/>
  <c r="J516" i="31" s="1"/>
  <c r="I517" i="31"/>
  <c r="J517" i="31" s="1"/>
  <c r="I518" i="31"/>
  <c r="J518" i="31" s="1"/>
  <c r="I519" i="31"/>
  <c r="J519" i="31" s="1"/>
  <c r="I520" i="31"/>
  <c r="J520" i="31" s="1"/>
  <c r="I521" i="31"/>
  <c r="J521" i="31" s="1"/>
  <c r="I522" i="31"/>
  <c r="J522" i="31" s="1"/>
  <c r="I523" i="31"/>
  <c r="J523" i="31" s="1"/>
  <c r="I524" i="31"/>
  <c r="J524" i="31" s="1"/>
  <c r="I525" i="31"/>
  <c r="J525" i="31" s="1"/>
  <c r="I526" i="31"/>
  <c r="J526" i="31" s="1"/>
  <c r="I527" i="31"/>
  <c r="J527" i="31" s="1"/>
  <c r="I528" i="31"/>
  <c r="J528" i="31" s="1"/>
  <c r="I529" i="31"/>
  <c r="J529" i="31" s="1"/>
  <c r="I530" i="31"/>
  <c r="J530" i="31" s="1"/>
  <c r="I531" i="31"/>
  <c r="J531" i="31" s="1"/>
  <c r="I532" i="31"/>
  <c r="J532" i="31" s="1"/>
  <c r="I533" i="31"/>
  <c r="J533" i="31" s="1"/>
  <c r="I534" i="31"/>
  <c r="J534" i="31" s="1"/>
  <c r="I535" i="31"/>
  <c r="J535" i="31" s="1"/>
  <c r="I536" i="31"/>
  <c r="J536" i="31" s="1"/>
  <c r="I537" i="31"/>
  <c r="J537" i="31" s="1"/>
  <c r="I538" i="31"/>
  <c r="J538" i="31" s="1"/>
  <c r="I539" i="31"/>
  <c r="J539" i="31" s="1"/>
  <c r="I540" i="31"/>
  <c r="J540" i="31" s="1"/>
  <c r="I541" i="31"/>
  <c r="J541" i="31" s="1"/>
  <c r="I542" i="31"/>
  <c r="J542" i="31" s="1"/>
  <c r="I543" i="31"/>
  <c r="J543" i="31" s="1"/>
  <c r="I544" i="31"/>
  <c r="J544" i="31" s="1"/>
  <c r="I545" i="31"/>
  <c r="J545" i="31" s="1"/>
  <c r="I546" i="31"/>
  <c r="J546" i="31" s="1"/>
  <c r="I547" i="31"/>
  <c r="J547" i="31" s="1"/>
  <c r="I548" i="31"/>
  <c r="J548" i="31" s="1"/>
  <c r="I549" i="31"/>
  <c r="J549" i="31" s="1"/>
  <c r="I550" i="31"/>
  <c r="J550" i="31" s="1"/>
  <c r="I551" i="31"/>
  <c r="J551" i="31" s="1"/>
  <c r="I552" i="31"/>
  <c r="J552" i="31" s="1"/>
  <c r="I553" i="31"/>
  <c r="J553" i="31" s="1"/>
  <c r="I554" i="31"/>
  <c r="J554" i="31" s="1"/>
  <c r="I555" i="31"/>
  <c r="J555" i="31" s="1"/>
  <c r="I556" i="31"/>
  <c r="J556" i="31" s="1"/>
  <c r="I557" i="31"/>
  <c r="J557" i="31" s="1"/>
  <c r="I558" i="31"/>
  <c r="J558" i="31" s="1"/>
  <c r="I559" i="31"/>
  <c r="J559" i="31" s="1"/>
  <c r="I560" i="31"/>
  <c r="J560" i="31" s="1"/>
  <c r="I561" i="31"/>
  <c r="J561" i="31" s="1"/>
  <c r="I562" i="31"/>
  <c r="J562" i="31" s="1"/>
  <c r="I563" i="31"/>
  <c r="J563" i="31" s="1"/>
  <c r="I564" i="31"/>
  <c r="J564" i="31" s="1"/>
  <c r="I565" i="31"/>
  <c r="J565" i="31" s="1"/>
  <c r="I566" i="31"/>
  <c r="J566" i="31" s="1"/>
  <c r="I567" i="31"/>
  <c r="J567" i="31" s="1"/>
  <c r="I568" i="31"/>
  <c r="J568" i="31" s="1"/>
  <c r="I569" i="31"/>
  <c r="J569" i="31" s="1"/>
  <c r="I570" i="31"/>
  <c r="J570" i="31" s="1"/>
  <c r="I571" i="31"/>
  <c r="J571" i="31" s="1"/>
  <c r="I572" i="31"/>
  <c r="J572" i="31" s="1"/>
  <c r="I573" i="31"/>
  <c r="J573" i="31" s="1"/>
  <c r="I574" i="31"/>
  <c r="J574" i="31" s="1"/>
  <c r="I575" i="31"/>
  <c r="J575" i="31" s="1"/>
  <c r="I576" i="31"/>
  <c r="J576" i="31" s="1"/>
  <c r="I577" i="31"/>
  <c r="J577" i="31" s="1"/>
  <c r="I578" i="31"/>
  <c r="J578" i="31" s="1"/>
  <c r="I579" i="31"/>
  <c r="J579" i="31" s="1"/>
  <c r="I580" i="31"/>
  <c r="J580" i="31" s="1"/>
  <c r="I581" i="31"/>
  <c r="J581" i="31" s="1"/>
  <c r="I582" i="31"/>
  <c r="J582" i="31" s="1"/>
  <c r="I583" i="31"/>
  <c r="J583" i="31" s="1"/>
  <c r="I584" i="31"/>
  <c r="J584" i="31" s="1"/>
  <c r="I585" i="31"/>
  <c r="J585" i="31" s="1"/>
  <c r="I586" i="31"/>
  <c r="J586" i="31" s="1"/>
  <c r="I587" i="31"/>
  <c r="J587" i="31" s="1"/>
  <c r="I588" i="31"/>
  <c r="J588" i="31" s="1"/>
  <c r="I589" i="31"/>
  <c r="J589" i="31" s="1"/>
  <c r="I590" i="31"/>
  <c r="J590" i="31" s="1"/>
  <c r="I591" i="31"/>
  <c r="J591" i="31" s="1"/>
  <c r="I592" i="31"/>
  <c r="J592" i="31" s="1"/>
  <c r="I593" i="31"/>
  <c r="J593" i="31" s="1"/>
  <c r="I594" i="31"/>
  <c r="J594" i="31" s="1"/>
  <c r="I595" i="31"/>
  <c r="J595" i="31" s="1"/>
  <c r="I596" i="31"/>
  <c r="J596" i="31" s="1"/>
  <c r="I597" i="31"/>
  <c r="J597" i="31" s="1"/>
  <c r="I598" i="31"/>
  <c r="J598" i="31" s="1"/>
  <c r="I599" i="31"/>
  <c r="J599" i="31" s="1"/>
  <c r="I600" i="31"/>
  <c r="J600" i="31" s="1"/>
  <c r="I601" i="31"/>
  <c r="J601" i="31" s="1"/>
  <c r="I602" i="31"/>
  <c r="J602" i="31" s="1"/>
  <c r="I603" i="31"/>
  <c r="J603" i="31" s="1"/>
  <c r="I604" i="31"/>
  <c r="J604" i="31" s="1"/>
  <c r="I605" i="31"/>
  <c r="J605" i="31" s="1"/>
  <c r="I606" i="31"/>
  <c r="J606" i="31" s="1"/>
  <c r="I607" i="31"/>
  <c r="J607" i="31" s="1"/>
  <c r="I608" i="31"/>
  <c r="J608" i="31" s="1"/>
  <c r="I609" i="31"/>
  <c r="J609" i="31" s="1"/>
  <c r="I610" i="31"/>
  <c r="J610" i="31" s="1"/>
  <c r="I611" i="31"/>
  <c r="J611" i="31" s="1"/>
  <c r="I612" i="31"/>
  <c r="J612" i="31" s="1"/>
  <c r="I613" i="31"/>
  <c r="J613" i="31" s="1"/>
  <c r="I614" i="31"/>
  <c r="J614" i="31" s="1"/>
  <c r="I615" i="31"/>
  <c r="J615" i="31" s="1"/>
  <c r="I616" i="31"/>
  <c r="J616" i="31" s="1"/>
  <c r="I617" i="31"/>
  <c r="J617" i="31" s="1"/>
  <c r="I618" i="31"/>
  <c r="J618" i="31" s="1"/>
  <c r="I619" i="31"/>
  <c r="J619" i="31" s="1"/>
  <c r="I620" i="31"/>
  <c r="J620" i="31" s="1"/>
  <c r="I621" i="31"/>
  <c r="J621" i="31" s="1"/>
  <c r="I622" i="31"/>
  <c r="J622" i="31" s="1"/>
  <c r="I623" i="31"/>
  <c r="J623" i="31" s="1"/>
  <c r="I624" i="31"/>
  <c r="J624" i="31" s="1"/>
  <c r="I625" i="31"/>
  <c r="J625" i="31" s="1"/>
  <c r="I626" i="31"/>
  <c r="J626" i="31" s="1"/>
  <c r="I627" i="31"/>
  <c r="J627" i="31" s="1"/>
  <c r="I628" i="31"/>
  <c r="J628" i="31" s="1"/>
  <c r="I629" i="31"/>
  <c r="J629" i="31" s="1"/>
  <c r="I630" i="31"/>
  <c r="J630" i="31" s="1"/>
  <c r="I631" i="31"/>
  <c r="J631" i="31" s="1"/>
  <c r="I632" i="31"/>
  <c r="J632" i="31" s="1"/>
  <c r="I633" i="31"/>
  <c r="J633" i="31" s="1"/>
  <c r="I634" i="31"/>
  <c r="J634" i="31" s="1"/>
  <c r="I635" i="31"/>
  <c r="J635" i="31" s="1"/>
  <c r="I636" i="31"/>
  <c r="J636" i="31" s="1"/>
  <c r="I637" i="31"/>
  <c r="J637" i="31" s="1"/>
  <c r="I638" i="31"/>
  <c r="J638" i="31" s="1"/>
  <c r="I639" i="31"/>
  <c r="J639" i="31" s="1"/>
  <c r="I640" i="31"/>
  <c r="J640" i="31" s="1"/>
  <c r="I641" i="31"/>
  <c r="J641" i="31" s="1"/>
  <c r="I642" i="31"/>
  <c r="J642" i="31" s="1"/>
  <c r="I643" i="31"/>
  <c r="J643" i="31" s="1"/>
  <c r="I644" i="31"/>
  <c r="J644" i="31" s="1"/>
  <c r="I645" i="31"/>
  <c r="J645" i="31" s="1"/>
  <c r="I646" i="31"/>
  <c r="J646" i="31" s="1"/>
  <c r="I647" i="31"/>
  <c r="J647" i="31" s="1"/>
  <c r="I648" i="31"/>
  <c r="J648" i="31" s="1"/>
  <c r="I649" i="31"/>
  <c r="J649" i="31" s="1"/>
  <c r="I650" i="31"/>
  <c r="J650" i="31" s="1"/>
  <c r="I651" i="31"/>
  <c r="J651" i="31" s="1"/>
  <c r="I652" i="31"/>
  <c r="J652" i="31" s="1"/>
  <c r="I653" i="31"/>
  <c r="J653" i="31" s="1"/>
  <c r="I654" i="31"/>
  <c r="J654" i="31" s="1"/>
  <c r="I655" i="31"/>
  <c r="J655" i="31" s="1"/>
  <c r="I656" i="31"/>
  <c r="J656" i="31" s="1"/>
  <c r="I657" i="31"/>
  <c r="J657" i="31" s="1"/>
  <c r="I658" i="31"/>
  <c r="J658" i="31" s="1"/>
  <c r="I659" i="31"/>
  <c r="J659" i="31" s="1"/>
  <c r="I660" i="31"/>
  <c r="J660" i="31" s="1"/>
  <c r="I661" i="31"/>
  <c r="J661" i="31" s="1"/>
  <c r="I662" i="31"/>
  <c r="J662" i="31" s="1"/>
  <c r="I663" i="31"/>
  <c r="J663" i="31" s="1"/>
  <c r="I664" i="31"/>
  <c r="J664" i="31" s="1"/>
  <c r="I665" i="31"/>
  <c r="J665" i="31" s="1"/>
  <c r="I666" i="31"/>
  <c r="J666" i="31" s="1"/>
  <c r="I667" i="31"/>
  <c r="J667" i="31" s="1"/>
  <c r="I668" i="31"/>
  <c r="J668" i="31" s="1"/>
  <c r="I669" i="31"/>
  <c r="J669" i="31" s="1"/>
  <c r="I670" i="31"/>
  <c r="J670" i="31" s="1"/>
  <c r="I671" i="31"/>
  <c r="J671" i="31" s="1"/>
  <c r="I672" i="31"/>
  <c r="J672" i="31" s="1"/>
  <c r="I673" i="31"/>
  <c r="J673" i="31" s="1"/>
  <c r="I674" i="31"/>
  <c r="J674" i="31" s="1"/>
  <c r="I675" i="31"/>
  <c r="J675" i="31" s="1"/>
  <c r="I676" i="31"/>
  <c r="J676" i="31" s="1"/>
  <c r="I677" i="31"/>
  <c r="J677" i="31" s="1"/>
  <c r="I678" i="31"/>
  <c r="J678" i="31" s="1"/>
  <c r="I679" i="31"/>
  <c r="J679" i="31" s="1"/>
  <c r="I680" i="31"/>
  <c r="J680" i="31" s="1"/>
  <c r="I681" i="31"/>
  <c r="J681" i="31" s="1"/>
  <c r="I682" i="31"/>
  <c r="J682" i="31" s="1"/>
  <c r="I683" i="31"/>
  <c r="J683" i="31" s="1"/>
  <c r="I684" i="31"/>
  <c r="J684" i="31" s="1"/>
  <c r="I685" i="31"/>
  <c r="J685" i="31" s="1"/>
  <c r="I686" i="31"/>
  <c r="J686" i="31" s="1"/>
  <c r="I687" i="31"/>
  <c r="J687" i="31" s="1"/>
  <c r="I688" i="31"/>
  <c r="J688" i="31" s="1"/>
  <c r="I689" i="31"/>
  <c r="J689" i="31" s="1"/>
  <c r="I690" i="31"/>
  <c r="J690" i="31" s="1"/>
  <c r="I691" i="31"/>
  <c r="J691" i="31" s="1"/>
  <c r="I692" i="31"/>
  <c r="J692" i="31" s="1"/>
  <c r="I693" i="31"/>
  <c r="J693" i="31" s="1"/>
  <c r="I694" i="31"/>
  <c r="J694" i="31" s="1"/>
  <c r="I695" i="31"/>
  <c r="J695" i="31" s="1"/>
  <c r="I696" i="31"/>
  <c r="J696" i="31" s="1"/>
  <c r="I697" i="31"/>
  <c r="J697" i="31" s="1"/>
  <c r="I698" i="31"/>
  <c r="J698" i="31" s="1"/>
  <c r="I699" i="31"/>
  <c r="J699" i="31" s="1"/>
  <c r="I700" i="31"/>
  <c r="J700" i="31" s="1"/>
  <c r="I701" i="31"/>
  <c r="J701" i="31" s="1"/>
  <c r="I702" i="31"/>
  <c r="J702" i="31" s="1"/>
  <c r="I703" i="31"/>
  <c r="J703" i="31" s="1"/>
  <c r="I704" i="31"/>
  <c r="J704" i="31" s="1"/>
  <c r="I705" i="31"/>
  <c r="J705" i="31" s="1"/>
  <c r="I706" i="31"/>
  <c r="J706" i="31" s="1"/>
  <c r="I707" i="31"/>
  <c r="J707" i="31" s="1"/>
  <c r="I708" i="31"/>
  <c r="J708" i="31" s="1"/>
  <c r="I709" i="31"/>
  <c r="J709" i="31" s="1"/>
  <c r="I710" i="31"/>
  <c r="J710" i="31" s="1"/>
  <c r="I711" i="31"/>
  <c r="J711" i="31" s="1"/>
  <c r="I712" i="31"/>
  <c r="J712" i="31" s="1"/>
  <c r="I713" i="31"/>
  <c r="J713" i="31" s="1"/>
  <c r="I714" i="31"/>
  <c r="J714" i="31" s="1"/>
  <c r="I715" i="31"/>
  <c r="J715" i="31" s="1"/>
  <c r="I716" i="31"/>
  <c r="J716" i="31" s="1"/>
  <c r="I717" i="31"/>
  <c r="J717" i="31" s="1"/>
  <c r="I718" i="31"/>
  <c r="J718" i="31" s="1"/>
  <c r="I719" i="31"/>
  <c r="J719" i="31" s="1"/>
  <c r="I720" i="31"/>
  <c r="J720" i="31" s="1"/>
  <c r="I721" i="31"/>
  <c r="J721" i="31" s="1"/>
  <c r="I722" i="31"/>
  <c r="J722" i="31" s="1"/>
  <c r="I723" i="31"/>
  <c r="J723" i="31" s="1"/>
  <c r="I724" i="31"/>
  <c r="J724" i="31" s="1"/>
  <c r="I725" i="31"/>
  <c r="J725" i="31" s="1"/>
  <c r="I726" i="31"/>
  <c r="J726" i="31" s="1"/>
  <c r="I727" i="31"/>
  <c r="J727" i="31" s="1"/>
  <c r="I728" i="31"/>
  <c r="J728" i="31" s="1"/>
  <c r="I729" i="31"/>
  <c r="J729" i="31" s="1"/>
  <c r="I730" i="31"/>
  <c r="J730" i="31" s="1"/>
  <c r="I731" i="31"/>
  <c r="J731" i="31" s="1"/>
  <c r="I732" i="31"/>
  <c r="J732" i="31" s="1"/>
  <c r="I733" i="31"/>
  <c r="J733" i="31" s="1"/>
  <c r="I734" i="31"/>
  <c r="J734" i="31" s="1"/>
  <c r="I735" i="31"/>
  <c r="J735" i="31" s="1"/>
  <c r="I736" i="31"/>
  <c r="J736" i="31" s="1"/>
  <c r="I737" i="31"/>
  <c r="J737" i="31" s="1"/>
  <c r="I738" i="31"/>
  <c r="J738" i="31" s="1"/>
  <c r="I739" i="31"/>
  <c r="J739" i="31" s="1"/>
  <c r="I740" i="31"/>
  <c r="J740" i="31" s="1"/>
  <c r="I741" i="31"/>
  <c r="J741" i="31" s="1"/>
  <c r="I742" i="31"/>
  <c r="J742" i="31" s="1"/>
  <c r="I743" i="31"/>
  <c r="J743" i="31" s="1"/>
  <c r="I744" i="31"/>
  <c r="J744" i="31" s="1"/>
  <c r="I745" i="31"/>
  <c r="J745" i="31" s="1"/>
  <c r="I746" i="31"/>
  <c r="J746" i="31" s="1"/>
  <c r="I747" i="31"/>
  <c r="J747" i="31" s="1"/>
  <c r="I748" i="31"/>
  <c r="J748" i="31" s="1"/>
  <c r="I749" i="31"/>
  <c r="J749" i="31" s="1"/>
  <c r="I750" i="31"/>
  <c r="J750" i="31" s="1"/>
  <c r="I751" i="31"/>
  <c r="J751" i="31" s="1"/>
  <c r="I752" i="31"/>
  <c r="J752" i="31" s="1"/>
  <c r="I753" i="31"/>
  <c r="J753" i="31" s="1"/>
  <c r="I754" i="31"/>
  <c r="J754" i="31" s="1"/>
  <c r="I755" i="31"/>
  <c r="J755" i="31" s="1"/>
  <c r="I756" i="31"/>
  <c r="J756" i="31" s="1"/>
  <c r="I757" i="31"/>
  <c r="J757" i="31" s="1"/>
  <c r="I758" i="31"/>
  <c r="J758" i="31" s="1"/>
  <c r="I759" i="31"/>
  <c r="J759" i="31" s="1"/>
  <c r="I760" i="31"/>
  <c r="J760" i="31" s="1"/>
  <c r="I761" i="31"/>
  <c r="J761" i="31" s="1"/>
  <c r="I762" i="31"/>
  <c r="J762" i="31" s="1"/>
  <c r="I763" i="31"/>
  <c r="J763" i="31" s="1"/>
  <c r="I764" i="31"/>
  <c r="J764" i="31" s="1"/>
  <c r="I765" i="31"/>
  <c r="J765" i="31" s="1"/>
  <c r="I766" i="31"/>
  <c r="J766" i="31" s="1"/>
  <c r="I767" i="31"/>
  <c r="J767" i="31" s="1"/>
  <c r="I768" i="31"/>
  <c r="J768" i="31" s="1"/>
  <c r="I769" i="31"/>
  <c r="J769" i="31" s="1"/>
  <c r="I770" i="31"/>
  <c r="J770" i="31" s="1"/>
  <c r="I771" i="31"/>
  <c r="J771" i="31" s="1"/>
  <c r="I772" i="31"/>
  <c r="J772" i="31" s="1"/>
  <c r="I773" i="31"/>
  <c r="J773" i="31" s="1"/>
  <c r="I774" i="31"/>
  <c r="J774" i="31" s="1"/>
  <c r="I775" i="31"/>
  <c r="J775" i="31" s="1"/>
  <c r="I776" i="31"/>
  <c r="J776" i="31" s="1"/>
  <c r="I777" i="31"/>
  <c r="J777" i="31" s="1"/>
  <c r="I778" i="31"/>
  <c r="J778" i="31" s="1"/>
  <c r="I779" i="31"/>
  <c r="J779" i="31" s="1"/>
  <c r="I780" i="31"/>
  <c r="J780" i="31" s="1"/>
  <c r="I781" i="31"/>
  <c r="J781" i="31" s="1"/>
  <c r="I782" i="31"/>
  <c r="J782" i="31" s="1"/>
  <c r="I783" i="31"/>
  <c r="J783" i="31" s="1"/>
  <c r="I784" i="31"/>
  <c r="J784" i="31" s="1"/>
  <c r="I785" i="31"/>
  <c r="J785" i="31" s="1"/>
  <c r="I786" i="31"/>
  <c r="J786" i="31" s="1"/>
  <c r="I787" i="31"/>
  <c r="J787" i="31" s="1"/>
  <c r="I788" i="31"/>
  <c r="J788" i="31" s="1"/>
  <c r="I789" i="31"/>
  <c r="J789" i="31" s="1"/>
  <c r="I790" i="31"/>
  <c r="J790" i="31" s="1"/>
  <c r="I791" i="31"/>
  <c r="J791" i="31" s="1"/>
  <c r="I792" i="31"/>
  <c r="J792" i="31" s="1"/>
  <c r="I793" i="31"/>
  <c r="J793" i="31" s="1"/>
  <c r="I794" i="31"/>
  <c r="J794" i="31" s="1"/>
  <c r="I795" i="31"/>
  <c r="J795" i="31" s="1"/>
  <c r="I796" i="31"/>
  <c r="J796" i="31" s="1"/>
  <c r="I797" i="31"/>
  <c r="J797" i="31" s="1"/>
  <c r="I798" i="31"/>
  <c r="J798" i="31" s="1"/>
  <c r="I799" i="31"/>
  <c r="J799" i="31" s="1"/>
  <c r="I800" i="31"/>
  <c r="J800" i="31" s="1"/>
  <c r="I801" i="31"/>
  <c r="J801" i="31" s="1"/>
  <c r="I802" i="31"/>
  <c r="J802" i="31" s="1"/>
  <c r="I803" i="31"/>
  <c r="J803" i="31" s="1"/>
  <c r="I804" i="31"/>
  <c r="J804" i="31" s="1"/>
  <c r="I805" i="31"/>
  <c r="J805" i="31" s="1"/>
  <c r="I806" i="31"/>
  <c r="J806" i="31" s="1"/>
  <c r="I807" i="31"/>
  <c r="J807" i="31" s="1"/>
  <c r="I808" i="31"/>
  <c r="J808" i="31" s="1"/>
  <c r="I809" i="31"/>
  <c r="J809" i="31" s="1"/>
  <c r="I810" i="31"/>
  <c r="J810" i="31" s="1"/>
  <c r="I811" i="31"/>
  <c r="J811" i="31" s="1"/>
  <c r="I812" i="31"/>
  <c r="J812" i="31" s="1"/>
  <c r="I813" i="31"/>
  <c r="J813" i="31" s="1"/>
  <c r="I814" i="31"/>
  <c r="J814" i="31" s="1"/>
  <c r="I815" i="31"/>
  <c r="J815" i="31" s="1"/>
  <c r="I816" i="31"/>
  <c r="J816" i="31" s="1"/>
  <c r="I817" i="31"/>
  <c r="J817" i="31" s="1"/>
  <c r="I818" i="31"/>
  <c r="J818" i="31" s="1"/>
  <c r="I819" i="31"/>
  <c r="J819" i="31" s="1"/>
  <c r="I820" i="31"/>
  <c r="J820" i="31" s="1"/>
  <c r="I821" i="31"/>
  <c r="J821" i="31" s="1"/>
  <c r="I822" i="31"/>
  <c r="J822" i="31" s="1"/>
  <c r="I823" i="31"/>
  <c r="J823" i="31" s="1"/>
  <c r="I824" i="31"/>
  <c r="J824" i="31" s="1"/>
  <c r="I825" i="31"/>
  <c r="J825" i="31" s="1"/>
  <c r="I826" i="31"/>
  <c r="J826" i="31" s="1"/>
  <c r="I827" i="31"/>
  <c r="J827" i="31" s="1"/>
  <c r="I828" i="31"/>
  <c r="J828" i="31" s="1"/>
  <c r="I829" i="31"/>
  <c r="J829" i="31" s="1"/>
  <c r="I830" i="31"/>
  <c r="J830" i="31" s="1"/>
  <c r="I831" i="31"/>
  <c r="J831" i="31" s="1"/>
  <c r="I832" i="31"/>
  <c r="J832" i="31" s="1"/>
  <c r="I833" i="31"/>
  <c r="J833" i="31" s="1"/>
  <c r="I834" i="31"/>
  <c r="J834" i="31" s="1"/>
  <c r="I835" i="31"/>
  <c r="J835" i="31" s="1"/>
  <c r="I836" i="31"/>
  <c r="J836" i="31" s="1"/>
  <c r="I837" i="31"/>
  <c r="J837" i="31" s="1"/>
  <c r="I838" i="31"/>
  <c r="J838" i="31" s="1"/>
  <c r="I839" i="31"/>
  <c r="J839" i="31" s="1"/>
  <c r="I840" i="31"/>
  <c r="J840" i="31" s="1"/>
  <c r="I841" i="31"/>
  <c r="J841" i="31" s="1"/>
  <c r="I842" i="31"/>
  <c r="J842" i="31" s="1"/>
  <c r="I843" i="31"/>
  <c r="J843" i="31" s="1"/>
  <c r="I844" i="31"/>
  <c r="J844" i="31" s="1"/>
  <c r="I845" i="31"/>
  <c r="J845" i="31" s="1"/>
  <c r="I846" i="31"/>
  <c r="J846" i="31" s="1"/>
  <c r="I847" i="31"/>
  <c r="J847" i="31" s="1"/>
  <c r="I848" i="31"/>
  <c r="J848" i="31" s="1"/>
  <c r="I849" i="31"/>
  <c r="J849" i="31" s="1"/>
  <c r="I850" i="31"/>
  <c r="J850" i="31" s="1"/>
  <c r="I851" i="31"/>
  <c r="J851" i="31" s="1"/>
  <c r="I852" i="31"/>
  <c r="J852" i="31" s="1"/>
  <c r="I853" i="31"/>
  <c r="J853" i="31" s="1"/>
  <c r="I854" i="31"/>
  <c r="J854" i="31" s="1"/>
  <c r="I855" i="31"/>
  <c r="J855" i="31" s="1"/>
  <c r="I856" i="31"/>
  <c r="J856" i="31" s="1"/>
  <c r="I857" i="31"/>
  <c r="J857" i="31" s="1"/>
  <c r="I858" i="31"/>
  <c r="J858" i="31" s="1"/>
  <c r="I859" i="31"/>
  <c r="J859" i="31" s="1"/>
  <c r="I860" i="31"/>
  <c r="J860" i="31" s="1"/>
  <c r="I861" i="31"/>
  <c r="J861" i="31" s="1"/>
  <c r="I862" i="31"/>
  <c r="J862" i="31" s="1"/>
  <c r="I863" i="31"/>
  <c r="J863" i="31" s="1"/>
  <c r="I864" i="31"/>
  <c r="J864" i="31" s="1"/>
  <c r="I865" i="31"/>
  <c r="J865" i="31" s="1"/>
  <c r="I866" i="31"/>
  <c r="J866" i="31" s="1"/>
  <c r="I867" i="31"/>
  <c r="J867" i="31" s="1"/>
  <c r="I868" i="31"/>
  <c r="J868" i="31" s="1"/>
  <c r="I869" i="31"/>
  <c r="J869" i="31" s="1"/>
  <c r="I870" i="31"/>
  <c r="J870" i="31" s="1"/>
  <c r="I871" i="31"/>
  <c r="J871" i="31" s="1"/>
  <c r="I872" i="31"/>
  <c r="J872" i="31" s="1"/>
  <c r="I873" i="31"/>
  <c r="J873" i="31" s="1"/>
  <c r="I874" i="31"/>
  <c r="J874" i="31" s="1"/>
  <c r="I875" i="31"/>
  <c r="J875" i="31" s="1"/>
  <c r="I876" i="31"/>
  <c r="J876" i="31" s="1"/>
  <c r="I877" i="31"/>
  <c r="J877" i="31" s="1"/>
  <c r="I878" i="31"/>
  <c r="J878" i="31" s="1"/>
  <c r="I879" i="31"/>
  <c r="J879" i="31" s="1"/>
  <c r="I880" i="31"/>
  <c r="J880" i="31" s="1"/>
  <c r="I881" i="31"/>
  <c r="J881" i="31" s="1"/>
  <c r="I882" i="31"/>
  <c r="J882" i="31" s="1"/>
  <c r="I883" i="31"/>
  <c r="J883" i="31" s="1"/>
  <c r="I884" i="31"/>
  <c r="J884" i="31" s="1"/>
  <c r="I885" i="31"/>
  <c r="J885" i="31" s="1"/>
  <c r="I886" i="31"/>
  <c r="J886" i="31" s="1"/>
  <c r="I887" i="31"/>
  <c r="J887" i="31" s="1"/>
  <c r="I888" i="31"/>
  <c r="J888" i="31" s="1"/>
  <c r="I889" i="31"/>
  <c r="J889" i="31" s="1"/>
  <c r="I890" i="31"/>
  <c r="J890" i="31" s="1"/>
  <c r="I891" i="31"/>
  <c r="J891" i="31" s="1"/>
  <c r="I892" i="31"/>
  <c r="J892" i="31" s="1"/>
  <c r="I893" i="31"/>
  <c r="J893" i="31" s="1"/>
  <c r="I894" i="31"/>
  <c r="J894" i="31" s="1"/>
  <c r="I895" i="31"/>
  <c r="J895" i="31" s="1"/>
  <c r="I896" i="31"/>
  <c r="J896" i="31" s="1"/>
  <c r="I897" i="31"/>
  <c r="J897" i="31" s="1"/>
  <c r="I898" i="31"/>
  <c r="J898" i="31" s="1"/>
  <c r="I899" i="31"/>
  <c r="J899" i="31" s="1"/>
  <c r="I900" i="31"/>
  <c r="J900" i="31" s="1"/>
  <c r="I901" i="31"/>
  <c r="J901" i="31" s="1"/>
  <c r="I902" i="31"/>
  <c r="J902" i="31" s="1"/>
  <c r="I903" i="31"/>
  <c r="J903" i="31" s="1"/>
  <c r="I904" i="31"/>
  <c r="J904" i="31" s="1"/>
  <c r="I905" i="31"/>
  <c r="J905" i="31" s="1"/>
  <c r="I906" i="31"/>
  <c r="J906" i="31" s="1"/>
  <c r="I907" i="31"/>
  <c r="J907" i="31" s="1"/>
  <c r="I908" i="31"/>
  <c r="J908" i="31" s="1"/>
  <c r="I909" i="31"/>
  <c r="J909" i="31" s="1"/>
  <c r="I910" i="31"/>
  <c r="J910" i="31" s="1"/>
  <c r="I911" i="31"/>
  <c r="J911" i="31" s="1"/>
  <c r="I912" i="31"/>
  <c r="J912" i="31" s="1"/>
  <c r="I913" i="31"/>
  <c r="J913" i="31" s="1"/>
  <c r="I914" i="31"/>
  <c r="J914" i="31" s="1"/>
  <c r="I915" i="31"/>
  <c r="J915" i="31" s="1"/>
  <c r="I916" i="31"/>
  <c r="J916" i="31" s="1"/>
  <c r="I917" i="31"/>
  <c r="J917" i="31" s="1"/>
  <c r="I918" i="31"/>
  <c r="J918" i="31" s="1"/>
  <c r="I919" i="31"/>
  <c r="J919" i="31" s="1"/>
  <c r="I920" i="31"/>
  <c r="J920" i="31" s="1"/>
  <c r="I921" i="31"/>
  <c r="J921" i="31" s="1"/>
  <c r="I922" i="31"/>
  <c r="J922" i="31" s="1"/>
  <c r="I923" i="31"/>
  <c r="J923" i="31" s="1"/>
  <c r="I924" i="31"/>
  <c r="J924" i="31" s="1"/>
  <c r="I925" i="31"/>
  <c r="J925" i="31" s="1"/>
  <c r="I926" i="31"/>
  <c r="J926" i="31" s="1"/>
  <c r="I927" i="31"/>
  <c r="J927" i="31" s="1"/>
  <c r="I928" i="31"/>
  <c r="J928" i="31" s="1"/>
  <c r="I929" i="31"/>
  <c r="J929" i="31" s="1"/>
  <c r="I930" i="31"/>
  <c r="J930" i="31" s="1"/>
  <c r="I931" i="31"/>
  <c r="J931" i="31" s="1"/>
  <c r="I932" i="31"/>
  <c r="J932" i="31" s="1"/>
  <c r="I933" i="31"/>
  <c r="J933" i="31" s="1"/>
  <c r="I934" i="31"/>
  <c r="J934" i="31" s="1"/>
  <c r="I935" i="31"/>
  <c r="J935" i="31" s="1"/>
  <c r="I936" i="31"/>
  <c r="J936" i="31" s="1"/>
  <c r="I937" i="31"/>
  <c r="J937" i="31" s="1"/>
  <c r="I938" i="31"/>
  <c r="J938" i="31" s="1"/>
  <c r="I939" i="31"/>
  <c r="J939" i="31" s="1"/>
  <c r="I940" i="31"/>
  <c r="J940" i="31" s="1"/>
  <c r="I941" i="31"/>
  <c r="J941" i="31" s="1"/>
  <c r="I942" i="31"/>
  <c r="J942" i="31" s="1"/>
  <c r="I943" i="31"/>
  <c r="J943" i="31" s="1"/>
  <c r="I944" i="31"/>
  <c r="J944" i="31" s="1"/>
  <c r="I945" i="31"/>
  <c r="J945" i="31" s="1"/>
  <c r="I946" i="31"/>
  <c r="J946" i="31" s="1"/>
  <c r="I947" i="31"/>
  <c r="J947" i="31" s="1"/>
  <c r="I948" i="31"/>
  <c r="J948" i="31" s="1"/>
  <c r="I949" i="31"/>
  <c r="J949" i="31" s="1"/>
  <c r="I950" i="31"/>
  <c r="J950" i="31" s="1"/>
  <c r="I951" i="31"/>
  <c r="J951" i="31" s="1"/>
  <c r="I952" i="31"/>
  <c r="J952" i="31" s="1"/>
  <c r="I953" i="31"/>
  <c r="J953" i="31" s="1"/>
  <c r="I954" i="31"/>
  <c r="J954" i="31" s="1"/>
  <c r="I955" i="31"/>
  <c r="J955" i="31" s="1"/>
  <c r="I956" i="31"/>
  <c r="J956" i="31" s="1"/>
  <c r="I957" i="31"/>
  <c r="J957" i="31" s="1"/>
  <c r="I958" i="31"/>
  <c r="J958" i="31" s="1"/>
  <c r="I959" i="31"/>
  <c r="J959" i="31" s="1"/>
  <c r="I960" i="31"/>
  <c r="J960" i="31" s="1"/>
  <c r="I961" i="31"/>
  <c r="J961" i="31" s="1"/>
  <c r="I962" i="31"/>
  <c r="J962" i="31" s="1"/>
  <c r="I963" i="31"/>
  <c r="J963" i="31" s="1"/>
  <c r="I964" i="31"/>
  <c r="J964" i="31" s="1"/>
  <c r="I965" i="31"/>
  <c r="J965" i="31" s="1"/>
  <c r="I966" i="31"/>
  <c r="J966" i="31" s="1"/>
  <c r="I967" i="31"/>
  <c r="J967" i="31" s="1"/>
  <c r="I968" i="31"/>
  <c r="J968" i="31" s="1"/>
  <c r="I969" i="31"/>
  <c r="J969" i="31" s="1"/>
  <c r="I970" i="31"/>
  <c r="J970" i="31" s="1"/>
  <c r="I971" i="31"/>
  <c r="J971" i="31" s="1"/>
  <c r="I972" i="31"/>
  <c r="J972" i="31" s="1"/>
  <c r="I973" i="31"/>
  <c r="J973" i="31" s="1"/>
  <c r="I974" i="31"/>
  <c r="J974" i="31" s="1"/>
  <c r="I975" i="31"/>
  <c r="J975" i="31" s="1"/>
  <c r="I976" i="31"/>
  <c r="J976" i="31" s="1"/>
  <c r="I977" i="31"/>
  <c r="J977" i="31" s="1"/>
  <c r="I978" i="31"/>
  <c r="J978" i="31" s="1"/>
  <c r="I979" i="31"/>
  <c r="J979" i="31" s="1"/>
  <c r="I980" i="31"/>
  <c r="J980" i="31" s="1"/>
  <c r="I981" i="31"/>
  <c r="J981" i="31" s="1"/>
  <c r="I982" i="31"/>
  <c r="J982" i="31" s="1"/>
  <c r="I983" i="31"/>
  <c r="J983" i="31" s="1"/>
  <c r="I984" i="31"/>
  <c r="J984" i="31" s="1"/>
  <c r="I985" i="31"/>
  <c r="J985" i="31" s="1"/>
  <c r="I986" i="31"/>
  <c r="J986" i="31" s="1"/>
  <c r="I987" i="31"/>
  <c r="J987" i="31" s="1"/>
  <c r="I988" i="31"/>
  <c r="J988" i="31" s="1"/>
  <c r="I989" i="31"/>
  <c r="J989" i="31" s="1"/>
  <c r="I990" i="31"/>
  <c r="J990" i="31" s="1"/>
  <c r="I991" i="31"/>
  <c r="J991" i="31" s="1"/>
  <c r="I992" i="31"/>
  <c r="J992" i="31" s="1"/>
  <c r="I993" i="31"/>
  <c r="J993" i="31" s="1"/>
  <c r="I994" i="31"/>
  <c r="J994" i="31" s="1"/>
  <c r="I995" i="31"/>
  <c r="J995" i="31" s="1"/>
  <c r="I996" i="31"/>
  <c r="J996" i="31" s="1"/>
  <c r="I997" i="31"/>
  <c r="J997" i="31" s="1"/>
  <c r="I998" i="31"/>
  <c r="J998" i="31" s="1"/>
  <c r="I999" i="31"/>
  <c r="J999" i="31" s="1"/>
  <c r="I1000" i="31"/>
  <c r="J1000" i="31" s="1"/>
  <c r="I1001" i="31"/>
  <c r="J1001" i="31" s="1"/>
  <c r="I1002" i="31"/>
  <c r="J1002" i="31" s="1"/>
  <c r="I1003" i="31"/>
  <c r="J1003" i="31" s="1"/>
  <c r="I1004" i="31"/>
  <c r="J1004" i="31" s="1"/>
  <c r="I1005" i="31"/>
  <c r="J1005" i="31" s="1"/>
  <c r="I1006" i="31"/>
  <c r="J1006" i="31" s="1"/>
  <c r="I1007" i="31"/>
  <c r="J1007" i="31" s="1"/>
  <c r="I1008" i="31"/>
  <c r="J1008" i="31" s="1"/>
  <c r="I1009" i="31"/>
  <c r="J1009" i="31" s="1"/>
  <c r="I1010" i="31"/>
  <c r="J1010" i="31" s="1"/>
  <c r="I1011" i="31"/>
  <c r="J1011" i="31" s="1"/>
  <c r="I1012" i="31"/>
  <c r="J1012" i="31" s="1"/>
  <c r="I1013" i="31"/>
  <c r="J1013" i="31" s="1"/>
  <c r="I1014" i="31"/>
  <c r="J1014" i="31" s="1"/>
  <c r="I1015" i="31"/>
  <c r="J1015" i="31" s="1"/>
  <c r="I1016" i="31"/>
  <c r="J1016" i="31" s="1"/>
  <c r="I1017" i="31"/>
  <c r="J1017" i="31" s="1"/>
  <c r="I1018" i="31"/>
  <c r="J1018" i="31" s="1"/>
  <c r="I1019" i="31"/>
  <c r="J1019" i="31" s="1"/>
  <c r="I1020" i="31"/>
  <c r="J1020" i="31" s="1"/>
  <c r="I1021" i="31"/>
  <c r="J1021" i="31" s="1"/>
  <c r="I1022" i="31"/>
  <c r="J1022" i="31" s="1"/>
  <c r="I1023" i="31"/>
  <c r="J1023" i="31" s="1"/>
  <c r="I1024" i="31"/>
  <c r="J1024" i="31" s="1"/>
  <c r="I1025" i="31"/>
  <c r="J1025" i="31" s="1"/>
  <c r="I1026" i="31"/>
  <c r="J1026" i="31" s="1"/>
  <c r="I1027" i="31"/>
  <c r="J1027" i="31" s="1"/>
  <c r="I1028" i="31"/>
  <c r="J1028" i="31" s="1"/>
  <c r="I1029" i="31"/>
  <c r="J1029" i="31" s="1"/>
  <c r="I1030" i="31"/>
  <c r="J1030" i="31" s="1"/>
  <c r="I1031" i="31"/>
  <c r="J1031" i="31" s="1"/>
  <c r="I1032" i="31"/>
  <c r="J1032" i="31" s="1"/>
  <c r="I1033" i="31"/>
  <c r="J1033" i="31" s="1"/>
  <c r="I1034" i="31"/>
  <c r="J1034" i="31" s="1"/>
  <c r="I1035" i="31"/>
  <c r="J1035" i="31" s="1"/>
  <c r="I1036" i="31"/>
  <c r="J1036" i="31" s="1"/>
  <c r="I1037" i="31"/>
  <c r="J1037" i="31" s="1"/>
  <c r="I1038" i="31"/>
  <c r="J1038" i="31" s="1"/>
  <c r="I1039" i="31"/>
  <c r="J1039" i="31" s="1"/>
  <c r="I1040" i="31"/>
  <c r="J1040" i="31" s="1"/>
  <c r="I5" i="31"/>
  <c r="J5" i="31" s="1"/>
  <c r="G91" i="7" l="1"/>
</calcChain>
</file>

<file path=xl/sharedStrings.xml><?xml version="1.0" encoding="utf-8"?>
<sst xmlns="http://schemas.openxmlformats.org/spreadsheetml/2006/main" count="15205" uniqueCount="136">
  <si>
    <t>Sales data from 2019 to 2021</t>
  </si>
  <si>
    <t xml:space="preserve">Reciept no </t>
  </si>
  <si>
    <t xml:space="preserve">Order date </t>
  </si>
  <si>
    <t>Ordertype name</t>
  </si>
  <si>
    <t>Item name</t>
  </si>
  <si>
    <t>Category name</t>
  </si>
  <si>
    <t>Selling price</t>
  </si>
  <si>
    <t>Item quantity</t>
  </si>
  <si>
    <t>Item amount</t>
  </si>
  <si>
    <t>On Shop</t>
  </si>
  <si>
    <t xml:space="preserve"> Jeans - Levis</t>
  </si>
  <si>
    <t>Casual Wear</t>
  </si>
  <si>
    <t xml:space="preserve"> Jeans - Denim</t>
  </si>
  <si>
    <t>Online Order</t>
  </si>
  <si>
    <t xml:space="preserve"> Jeans - Zara</t>
  </si>
  <si>
    <t xml:space="preserve"> Jeans - Lega</t>
  </si>
  <si>
    <t xml:space="preserve"> Shirt - PE</t>
  </si>
  <si>
    <t>Semi Formal</t>
  </si>
  <si>
    <t xml:space="preserve"> T-shirt</t>
  </si>
  <si>
    <t xml:space="preserve"> shirt</t>
  </si>
  <si>
    <t>Formal</t>
  </si>
  <si>
    <t xml:space="preserve"> Shirt - Arrow</t>
  </si>
  <si>
    <t xml:space="preserve"> Wallet</t>
  </si>
  <si>
    <t>Accessories</t>
  </si>
  <si>
    <t xml:space="preserve"> Chain</t>
  </si>
  <si>
    <t xml:space="preserve">The total price for all the ordered products </t>
  </si>
  <si>
    <t xml:space="preserve">The quantity of the sold product </t>
  </si>
  <si>
    <t>The final price ( the customer selling price )</t>
  </si>
  <si>
    <t xml:space="preserve">The main category of the product </t>
  </si>
  <si>
    <t xml:space="preserve">The name of the product </t>
  </si>
  <si>
    <t xml:space="preserve">The way of selling this product whether online or on our store </t>
  </si>
  <si>
    <t xml:space="preserve">The idintifier of the process </t>
  </si>
  <si>
    <t>Receipt no</t>
  </si>
  <si>
    <t xml:space="preserve">The date of the selling process </t>
  </si>
  <si>
    <t>Sale date</t>
  </si>
  <si>
    <t xml:space="preserve">Every column describe a certain entity of our data </t>
  </si>
  <si>
    <t>This data represents the sales over months from 2019 to 2020 for town team clothing company.</t>
  </si>
  <si>
    <t xml:space="preserve">Meta-data </t>
  </si>
  <si>
    <t>Sum of Item amount</t>
  </si>
  <si>
    <t>Row Labels</t>
  </si>
  <si>
    <t>Grand Total</t>
  </si>
  <si>
    <t>Sum of Item quantity</t>
  </si>
  <si>
    <t>Sum of Item amount2</t>
  </si>
  <si>
    <t>Average of Item amount</t>
  </si>
  <si>
    <t>last</t>
  </si>
  <si>
    <t xml:space="preserve">Count of Reciept no </t>
  </si>
  <si>
    <t>count of products</t>
  </si>
  <si>
    <t xml:space="preserve">We need from you to add 15% discount on  Jeans - Denim products </t>
  </si>
  <si>
    <t>we need to know our total sales for each year and please measure if we incresed or not.</t>
  </si>
  <si>
    <t xml:space="preserve">total sales </t>
  </si>
  <si>
    <t xml:space="preserve"> </t>
  </si>
  <si>
    <t>total sales for each year</t>
  </si>
  <si>
    <t>number of producs we have?</t>
  </si>
  <si>
    <t xml:space="preserve">Avg of quantity </t>
  </si>
  <si>
    <t xml:space="preserve">number of transaction across whole data </t>
  </si>
  <si>
    <t>shop</t>
  </si>
  <si>
    <t>on</t>
  </si>
  <si>
    <t>website</t>
  </si>
  <si>
    <t>Count of Item name</t>
  </si>
  <si>
    <t>year</t>
  </si>
  <si>
    <t>item names</t>
  </si>
  <si>
    <t>Sum of Total Sales</t>
  </si>
  <si>
    <t>category name</t>
  </si>
  <si>
    <t>Average of Total Sales2</t>
  </si>
  <si>
    <t>Max of Total Sales2</t>
  </si>
  <si>
    <t>Min of Total Sales2</t>
  </si>
  <si>
    <t>Jan</t>
  </si>
  <si>
    <t>Feb</t>
  </si>
  <si>
    <t>Mar</t>
  </si>
  <si>
    <t>Apr</t>
  </si>
  <si>
    <t>May</t>
  </si>
  <si>
    <t>Jun</t>
  </si>
  <si>
    <t>Jul</t>
  </si>
  <si>
    <t>Aug</t>
  </si>
  <si>
    <t>Sep</t>
  </si>
  <si>
    <t>Oct</t>
  </si>
  <si>
    <t>Nov</t>
  </si>
  <si>
    <t>Dec</t>
  </si>
  <si>
    <t>`</t>
  </si>
  <si>
    <t>Total Sales</t>
  </si>
  <si>
    <t xml:space="preserve">Online </t>
  </si>
  <si>
    <t xml:space="preserve"> Shop</t>
  </si>
  <si>
    <t>Sales after Discounts</t>
  </si>
  <si>
    <t>2019</t>
  </si>
  <si>
    <t>Average of Item quantity</t>
  </si>
  <si>
    <t>Qtr1</t>
  </si>
  <si>
    <t>Qtr2</t>
  </si>
  <si>
    <t>Qtr3</t>
  </si>
  <si>
    <t>Qtr4</t>
  </si>
  <si>
    <t>Details for Count of Item name - Item name:  Jeans - Denim</t>
  </si>
  <si>
    <t>Details for Sum of Total Sales - Quarters (Order date ): Qtr3, Years (Order date ): 2019</t>
  </si>
  <si>
    <t>Total sales of order types</t>
  </si>
  <si>
    <t>Column Labels</t>
  </si>
  <si>
    <t>Details for Sum of Total Sales - Quarters (Order date ): Qtr2, Years (Order date ): 2020</t>
  </si>
  <si>
    <t>Details for Sum of Total Sales - Years (Order date ): 2019</t>
  </si>
  <si>
    <t>Details for Sum of Total Sales</t>
  </si>
  <si>
    <t xml:space="preserve">Date </t>
  </si>
  <si>
    <t>Sales after Discount</t>
  </si>
  <si>
    <t>Item Amount</t>
  </si>
  <si>
    <t>Details for Average of Item quantity</t>
  </si>
  <si>
    <t>Percentage</t>
  </si>
  <si>
    <t>Total sales for each month</t>
  </si>
  <si>
    <t>Total sales for each week</t>
  </si>
  <si>
    <t>Sum of Item Amount</t>
  </si>
  <si>
    <t>Total sales for each Year (KPI 2)</t>
  </si>
  <si>
    <t>Day Name</t>
  </si>
  <si>
    <t>Number of Products (KPI 3)</t>
  </si>
  <si>
    <t>Average Quantity (KPI 4)</t>
  </si>
  <si>
    <t>Number of transaction (KPI 5)</t>
  </si>
  <si>
    <t>Total Sales for each category</t>
  </si>
  <si>
    <t>Tuesday</t>
  </si>
  <si>
    <t>Wednesday</t>
  </si>
  <si>
    <t>Thursday</t>
  </si>
  <si>
    <t>Friday</t>
  </si>
  <si>
    <t>Saturday</t>
  </si>
  <si>
    <t>Sunday</t>
  </si>
  <si>
    <t>Monday</t>
  </si>
  <si>
    <t>Percentage of each item of total sales</t>
  </si>
  <si>
    <t>Sum of Item Amount2</t>
  </si>
  <si>
    <t>Top 5 Items</t>
  </si>
  <si>
    <t xml:space="preserve">Total Sales (KPI 1) </t>
  </si>
  <si>
    <t>Question 1 Total Sales:</t>
  </si>
  <si>
    <t>Question 2 Sales by Item:</t>
  </si>
  <si>
    <t>Question 3 Sales by Category:</t>
  </si>
  <si>
    <t>Question 4 Order Types Analysis:</t>
  </si>
  <si>
    <t>Question 5 Monthly Sales:</t>
  </si>
  <si>
    <t>Question 6 Top 5 Items:</t>
  </si>
  <si>
    <t>Question 7 Average Selling Price:</t>
  </si>
  <si>
    <t>Average of Item Amount2</t>
  </si>
  <si>
    <t>Question 8 Sales by Date:</t>
  </si>
  <si>
    <t>Question 9 Customer Behavior:</t>
  </si>
  <si>
    <t xml:space="preserve">Average of Reciept no </t>
  </si>
  <si>
    <t>Question 10 Popular Brands:</t>
  </si>
  <si>
    <t>Sum of Sales after Discount</t>
  </si>
  <si>
    <t>Question 11 Semi Formal vs. Casual Wear:</t>
  </si>
  <si>
    <t>Number of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</si>
</sst>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14009]dd/mm/yyyy;@"/>
    <numFmt numFmtId="165" formatCode="[$EGP]\ #,##0"/>
    <numFmt numFmtId="166" formatCode="_(* #,##0_);_(* \(#,##0\);_(* &quot;-&quot;??_);_(@_)"/>
    <numFmt numFmtId="173" formatCode="_([$EGP]\ * #,##0_);_([$EGP]\ * \(#,##0\);_([$EGP]\ * &quot;-&quot;??_);_(@_)"/>
  </numFmts>
  <fonts count="12" x14ac:knownFonts="1">
    <font>
      <sz val="11"/>
      <color theme="1"/>
      <name val="Calibri"/>
      <family val="2"/>
      <scheme val="minor"/>
    </font>
    <font>
      <sz val="14"/>
      <color theme="5" tint="-0.499984740745262"/>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6"/>
      <color theme="5" tint="-0.249977111117893"/>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2" tint="-0.89999084444715716"/>
        <bgColor indexed="64"/>
      </patternFill>
    </fill>
    <fill>
      <patternFill patternType="solid">
        <fgColor theme="1" tint="0.499984740745262"/>
        <bgColor indexed="64"/>
      </patternFill>
    </fill>
    <fill>
      <patternFill patternType="solid">
        <fgColor theme="1"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FFFF"/>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theme="9"/>
        <bgColor indexed="64"/>
      </patternFill>
    </fill>
    <fill>
      <patternFill patternType="solid">
        <fgColor rgb="FF00B050"/>
        <bgColor indexed="64"/>
      </patternFill>
    </fill>
  </fills>
  <borders count="2">
    <border>
      <left/>
      <right/>
      <top/>
      <bottom/>
      <diagonal/>
    </border>
    <border>
      <left/>
      <right/>
      <top style="thin">
        <color theme="4" tint="0.39997558519241921"/>
      </top>
      <bottom/>
      <diagonal/>
    </border>
  </borders>
  <cellStyleXfs count="2">
    <xf numFmtId="0" fontId="0" fillId="0" borderId="0"/>
    <xf numFmtId="43" fontId="7" fillId="0" borderId="0" applyFont="0" applyFill="0" applyBorder="0" applyAlignment="0" applyProtection="0"/>
  </cellStyleXfs>
  <cellXfs count="59">
    <xf numFmtId="0" fontId="0" fillId="0" borderId="0" xfId="0"/>
    <xf numFmtId="0" fontId="1" fillId="2" borderId="0" xfId="0" applyFont="1" applyFill="1"/>
    <xf numFmtId="0" fontId="0" fillId="2" borderId="0" xfId="0" applyFill="1"/>
    <xf numFmtId="0" fontId="2" fillId="2" borderId="0" xfId="0" applyFont="1" applyFill="1"/>
    <xf numFmtId="0" fontId="3" fillId="2" borderId="0" xfId="0" applyFont="1" applyFill="1"/>
    <xf numFmtId="164" fontId="3" fillId="2" borderId="0" xfId="0" applyNumberFormat="1" applyFont="1" applyFill="1"/>
    <xf numFmtId="0" fontId="4" fillId="2" borderId="0" xfId="0" applyFont="1" applyFill="1"/>
    <xf numFmtId="0" fontId="5" fillId="2" borderId="0" xfId="0" applyFont="1" applyFill="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0" borderId="0" xfId="0" applyAlignment="1">
      <alignment horizontal="left" indent="1"/>
    </xf>
    <xf numFmtId="0" fontId="0" fillId="0" borderId="0" xfId="0" applyAlignment="1">
      <alignment horizontal="center" vertical="center"/>
    </xf>
    <xf numFmtId="2" fontId="0" fillId="2" borderId="1" xfId="0" applyNumberFormat="1" applyFill="1" applyBorder="1"/>
    <xf numFmtId="0" fontId="0" fillId="2" borderId="1" xfId="0" applyFill="1" applyBorder="1"/>
    <xf numFmtId="0" fontId="0" fillId="4" borderId="0" xfId="0" applyFill="1"/>
    <xf numFmtId="0" fontId="0" fillId="5" borderId="0" xfId="0" applyFill="1"/>
    <xf numFmtId="0" fontId="6" fillId="3" borderId="0" xfId="0" applyFont="1" applyFill="1"/>
    <xf numFmtId="14" fontId="0" fillId="2" borderId="1" xfId="0" applyNumberFormat="1" applyFill="1" applyBorder="1"/>
    <xf numFmtId="1" fontId="0" fillId="2" borderId="1" xfId="0" applyNumberFormat="1" applyFill="1" applyBorder="1"/>
    <xf numFmtId="49" fontId="0" fillId="2" borderId="1" xfId="0" applyNumberFormat="1" applyFill="1" applyBorder="1"/>
    <xf numFmtId="166" fontId="0" fillId="2" borderId="1" xfId="1" applyNumberFormat="1" applyFont="1" applyFill="1" applyBorder="1"/>
    <xf numFmtId="166" fontId="0" fillId="0" borderId="0" xfId="0" applyNumberFormat="1"/>
    <xf numFmtId="14" fontId="0" fillId="0" borderId="0" xfId="0" applyNumberFormat="1"/>
    <xf numFmtId="0" fontId="8" fillId="0" borderId="0" xfId="0" applyFont="1"/>
    <xf numFmtId="0" fontId="0" fillId="6" borderId="0" xfId="0" applyFill="1"/>
    <xf numFmtId="0" fontId="0" fillId="7" borderId="0" xfId="0" applyFill="1" applyAlignment="1">
      <alignment horizontal="left" indent="1"/>
    </xf>
    <xf numFmtId="166" fontId="0" fillId="7" borderId="0" xfId="0" applyNumberFormat="1" applyFill="1"/>
    <xf numFmtId="0" fontId="0" fillId="8" borderId="0" xfId="0" applyFill="1" applyAlignment="1">
      <alignment horizontal="left" indent="1"/>
    </xf>
    <xf numFmtId="166" fontId="0" fillId="8" borderId="0" xfId="0" applyNumberFormat="1" applyFill="1"/>
    <xf numFmtId="0" fontId="0" fillId="6" borderId="0" xfId="0" applyFill="1" applyAlignment="1">
      <alignment horizontal="left"/>
    </xf>
    <xf numFmtId="166" fontId="0" fillId="9" borderId="0" xfId="1" applyNumberFormat="1" applyFont="1" applyFill="1" applyBorder="1"/>
    <xf numFmtId="166" fontId="0" fillId="9" borderId="0" xfId="1" applyNumberFormat="1" applyFont="1" applyFill="1"/>
    <xf numFmtId="0" fontId="0" fillId="8" borderId="0" xfId="0" applyFill="1" applyAlignment="1">
      <alignment horizontal="left"/>
    </xf>
    <xf numFmtId="0" fontId="0" fillId="7" borderId="0" xfId="0" applyFill="1" applyAlignment="1">
      <alignment horizontal="left"/>
    </xf>
    <xf numFmtId="3" fontId="0" fillId="0" borderId="0" xfId="0" applyNumberFormat="1"/>
    <xf numFmtId="10" fontId="0" fillId="8" borderId="0" xfId="0" applyNumberFormat="1" applyFill="1"/>
    <xf numFmtId="10" fontId="0" fillId="7" borderId="0" xfId="0" applyNumberFormat="1" applyFill="1"/>
    <xf numFmtId="0" fontId="0" fillId="9" borderId="0" xfId="0" applyFill="1"/>
    <xf numFmtId="0" fontId="0" fillId="0" borderId="0" xfId="0" applyNumberFormat="1"/>
    <xf numFmtId="1" fontId="0" fillId="0" borderId="0" xfId="0" applyNumberFormat="1"/>
    <xf numFmtId="0" fontId="0" fillId="13" borderId="0" xfId="0" applyFill="1" applyAlignment="1">
      <alignment horizontal="left" indent="1"/>
    </xf>
    <xf numFmtId="166" fontId="0" fillId="13" borderId="0" xfId="0" applyNumberFormat="1" applyFill="1"/>
    <xf numFmtId="0" fontId="0" fillId="0" borderId="0" xfId="0" applyFill="1" applyAlignment="1">
      <alignment horizontal="left"/>
    </xf>
    <xf numFmtId="166" fontId="0" fillId="0" borderId="0" xfId="0" applyNumberFormat="1" applyFill="1"/>
    <xf numFmtId="0" fontId="0" fillId="14" borderId="0" xfId="0" applyFill="1" applyAlignment="1">
      <alignment horizontal="left" indent="1"/>
    </xf>
    <xf numFmtId="166" fontId="0" fillId="14" borderId="0" xfId="0" applyNumberFormat="1" applyFill="1"/>
    <xf numFmtId="0" fontId="0" fillId="14" borderId="0" xfId="0" applyFill="1" applyAlignment="1">
      <alignment horizontal="left"/>
    </xf>
    <xf numFmtId="0" fontId="0" fillId="0" borderId="0" xfId="0" applyFill="1" applyAlignment="1">
      <alignment horizontal="left" indent="1"/>
    </xf>
    <xf numFmtId="1" fontId="0" fillId="8" borderId="0" xfId="0" applyNumberFormat="1" applyFill="1"/>
    <xf numFmtId="1" fontId="0" fillId="7" borderId="0" xfId="0" applyNumberFormat="1" applyFill="1"/>
    <xf numFmtId="166" fontId="9" fillId="10" borderId="0" xfId="0" applyNumberFormat="1" applyFont="1" applyFill="1"/>
    <xf numFmtId="166" fontId="10" fillId="11" borderId="0" xfId="0" applyNumberFormat="1" applyFont="1" applyFill="1"/>
    <xf numFmtId="0" fontId="9" fillId="10" borderId="0" xfId="0" applyNumberFormat="1" applyFont="1" applyFill="1"/>
    <xf numFmtId="0" fontId="10" fillId="11" borderId="0" xfId="0" applyNumberFormat="1" applyFont="1" applyFill="1"/>
    <xf numFmtId="0" fontId="11" fillId="12" borderId="0" xfId="0" applyNumberFormat="1" applyFont="1" applyFill="1"/>
    <xf numFmtId="0" fontId="9" fillId="10" borderId="0" xfId="0" applyFont="1" applyFill="1" applyAlignment="1">
      <alignment horizontal="left" indent="1"/>
    </xf>
    <xf numFmtId="173" fontId="0" fillId="0" borderId="0" xfId="0" applyNumberFormat="1"/>
  </cellXfs>
  <cellStyles count="2">
    <cellStyle name="Comma" xfId="1" builtinId="3"/>
    <cellStyle name="Normal" xfId="0" builtinId="0"/>
  </cellStyles>
  <dxfs count="2279">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73" formatCode="_([$EGP]\ * #,##0_);_([$EGP]\ * \(#,##0\);_([$EGP]\ *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73" formatCode="_([$EGP]\ * #,##0_);_([$EGP]\ * \(#,##0\);_([$EGP]\ *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73" formatCode="_([$EGP]\ * #,##0_);_([$EGP]\ * \(#,##0\);_([$EGP]\ *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73" formatCode="_([$EGP]\ * #,##0_);_([$EGP]\ * \(#,##0\);_([$EGP]\ *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73" formatCode="_([$EGP]\ * #,##0_);_([$EGP]\ * \(#,##0\);_([$EGP]\ *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73" formatCode="_([$EGP]\ * #,##0_);_([$EGP]\ * \(#,##0\);_([$EGP]\ *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73" formatCode="_([$EGP]\ * #,##0_);_([$EGP]\ * \(#,##0\);_([$EGP]\ *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73" formatCode="_([$EGP]\ * #,##0_);_([$EGP]\ * \(#,##0\);_([$EGP]\ *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73" formatCode="_([$EGP]\ * #,##0_);_([$EGP]\ * \(#,##0\);_([$EGP]\ *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73" formatCode="_([$EGP]\ * #,##0_);_([$EGP]\ * \(#,##0\);_([$EGP]\ *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73" formatCode="_([$EGP]\ * #,##0_);_([$EGP]\ * \(#,##0\);_([$EGP]\ *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numFmt numFmtId="173" formatCode="_([$EGP]\ * #,##0_);_([$EGP]\ * \(#,##0\);_([$EGP]\ * &quot;-&quot;??_);_(@_)"/>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theme="9"/>
        </patternFill>
      </fill>
    </dxf>
    <dxf>
      <fill>
        <patternFill>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00B050"/>
        </patternFill>
      </fill>
    </dxf>
    <dxf>
      <fill>
        <patternFill>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none">
          <bgColor auto="1"/>
        </patternFill>
      </fill>
    </dxf>
    <dxf>
      <fill>
        <patternFill patternType="none">
          <bgColor auto="1"/>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9"/>
        </patternFill>
      </fill>
    </dxf>
    <dxf>
      <fill>
        <patternFill>
          <bgColor theme="9"/>
        </patternFill>
      </fill>
    </dxf>
    <dxf>
      <fill>
        <patternFill patternType="solid">
          <bgColor rgb="FFFFFF00"/>
        </patternFill>
      </fill>
    </dxf>
    <dxf>
      <fill>
        <patternFill patternType="solid">
          <bgColor rgb="FFFFFF00"/>
        </patternFill>
      </fill>
    </dxf>
    <dxf>
      <fill>
        <patternFill patternType="solid">
          <fgColor rgb="FF000000"/>
          <bgColor rgb="FFFFFFFF"/>
        </patternFill>
      </fill>
    </dxf>
    <dxf>
      <numFmt numFmtId="35" formatCode="_(* #,##0.00_);_(* \(#,##0.00\);_(* &quot;-&quot;??_);_(@_)"/>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bgColor rgb="FFFF0000"/>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numFmt numFmtId="165" formatCode="[$EGP]\ #,##0"/>
    </dxf>
    <dxf>
      <numFmt numFmtId="165" formatCode="[$EGP]\ #,##0"/>
    </dxf>
    <dxf>
      <numFmt numFmtId="166" formatCode="_(* #,##0_);_(* \(#,##0\);_(* &quot;-&quot;??_);_(@_)"/>
      <fill>
        <patternFill patternType="solid">
          <fgColor rgb="FF000000"/>
          <bgColor rgb="FFFFFFFF"/>
        </patternFill>
      </fill>
    </dxf>
    <dxf>
      <numFmt numFmtId="166" formatCode="_(* #,##0_);_(* \(#,##0\);_(* &quot;-&quot;??_);_(@_)"/>
      <fill>
        <patternFill patternType="solid">
          <fgColor rgb="FF000000"/>
          <bgColor rgb="FFFFFFFF"/>
        </patternFill>
      </fill>
      <border diagonalUp="0" diagonalDown="0" outline="0">
        <left/>
        <right/>
        <top style="thin">
          <color theme="4" tint="0.39997558519241921"/>
        </top>
        <bottom/>
      </border>
    </dxf>
    <dxf>
      <numFmt numFmtId="1" formatCode="0"/>
      <fill>
        <patternFill patternType="solid">
          <fgColor indexed="64"/>
          <bgColor theme="0"/>
        </patternFill>
      </fill>
      <border diagonalUp="0" diagonalDown="0" outline="0">
        <left/>
        <right/>
        <top style="thin">
          <color theme="4" tint="0.39997558519241921"/>
        </top>
        <bottom/>
      </border>
    </dxf>
    <dxf>
      <numFmt numFmtId="166" formatCode="_(* #,##0_);_(* \(#,##0\);_(* &quot;-&quot;??_);_(@_)"/>
      <fill>
        <patternFill patternType="solid">
          <fgColor indexed="64"/>
          <bgColor theme="0"/>
        </patternFill>
      </fill>
      <border diagonalUp="0" diagonalDown="0" outline="0">
        <left/>
        <right/>
        <top style="thin">
          <color theme="4" tint="0.39997558519241921"/>
        </top>
        <bottom/>
      </border>
    </dxf>
    <dxf>
      <numFmt numFmtId="30" formatCode="@"/>
      <fill>
        <patternFill patternType="solid">
          <fgColor indexed="64"/>
          <bgColor theme="0"/>
        </patternFill>
      </fill>
      <border diagonalUp="0" diagonalDown="0" outline="0">
        <left/>
        <right/>
        <top style="thin">
          <color theme="4" tint="0.39997558519241921"/>
        </top>
        <bottom/>
      </border>
    </dxf>
    <dxf>
      <numFmt numFmtId="30" formatCode="@"/>
      <fill>
        <patternFill patternType="solid">
          <fgColor indexed="64"/>
          <bgColor theme="0"/>
        </patternFill>
      </fill>
      <border diagonalUp="0" diagonalDown="0" outline="0">
        <left/>
        <right/>
        <top style="thin">
          <color theme="4" tint="0.39997558519241921"/>
        </top>
        <bottom/>
      </border>
    </dxf>
    <dxf>
      <numFmt numFmtId="30" formatCode="@"/>
      <fill>
        <patternFill patternType="solid">
          <fgColor indexed="64"/>
          <bgColor theme="0"/>
        </patternFill>
      </fill>
      <border diagonalUp="0" diagonalDown="0" outline="0">
        <left/>
        <right/>
        <top style="thin">
          <color theme="4" tint="0.39997558519241921"/>
        </top>
        <bottom/>
      </border>
    </dxf>
    <dxf>
      <numFmt numFmtId="19" formatCode="m/d/yyyy"/>
      <fill>
        <patternFill patternType="solid">
          <fgColor indexed="64"/>
          <bgColor theme="0"/>
        </patternFill>
      </fill>
      <border diagonalUp="0" diagonalDown="0" outline="0">
        <left/>
        <right/>
        <top style="thin">
          <color theme="4" tint="0.39997558519241921"/>
        </top>
        <bottom/>
      </border>
    </dxf>
    <dxf>
      <numFmt numFmtId="1" formatCode="0"/>
      <fill>
        <patternFill patternType="solid">
          <fgColor indexed="64"/>
          <bgColor theme="0"/>
        </patternFill>
      </fill>
      <border diagonalUp="0" diagonalDown="0" outline="0">
        <left/>
        <right/>
        <top style="thin">
          <color theme="4" tint="0.39997558519241921"/>
        </top>
        <bottom/>
      </border>
    </dxf>
    <dxf>
      <border outline="0">
        <left style="thin">
          <color rgb="FF9BC2E6"/>
        </left>
        <right style="thin">
          <color rgb="FF9BC2E6"/>
        </right>
        <top style="thin">
          <color rgb="FF9BC2E6"/>
        </top>
        <bottom style="thin">
          <color rgb="FF9BC2E6"/>
        </bottom>
      </border>
    </dxf>
    <dxf>
      <fill>
        <patternFill patternType="solid">
          <fgColor rgb="FF000000"/>
          <bgColor rgb="FFFFFFFF"/>
        </patternFill>
      </fill>
    </dxf>
    <dxf>
      <font>
        <b/>
        <i val="0"/>
        <strike val="0"/>
        <condense val="0"/>
        <extend val="0"/>
        <outline val="0"/>
        <shadow val="0"/>
        <u val="none"/>
        <vertAlign val="baseline"/>
        <sz val="11"/>
        <color theme="0"/>
        <name val="Calibri"/>
        <family val="2"/>
        <scheme val="minor"/>
      </font>
      <fill>
        <patternFill patternType="solid">
          <fgColor indexed="64"/>
          <bgColor theme="2" tint="-0.89999084444715716"/>
        </patternFill>
      </fill>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numFmt numFmtId="2" formatCode="0.00"/>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indexed="64"/>
          <bgColor theme="0"/>
        </patternFill>
      </fill>
    </dxf>
    <dxf>
      <font>
        <b/>
        <i val="0"/>
        <strike val="0"/>
        <condense val="0"/>
        <extend val="0"/>
        <outline val="0"/>
        <shadow val="0"/>
        <u val="none"/>
        <vertAlign val="baseline"/>
        <sz val="11"/>
        <color theme="0"/>
        <name val="Calibri"/>
        <family val="2"/>
        <scheme val="minor"/>
      </font>
      <fill>
        <patternFill patternType="solid">
          <fgColor indexed="64"/>
          <bgColor theme="2" tint="-0.89999084444715716"/>
        </patternFill>
      </fill>
    </dxf>
    <dxf>
      <numFmt numFmtId="19" formatCode="m/d/yyyy"/>
    </dxf>
    <dxf>
      <numFmt numFmtId="19" formatCode="m/d/yyyy"/>
    </dxf>
    <dxf>
      <numFmt numFmtId="19" formatCode="m/d/yyyy"/>
    </dxf>
    <dxf>
      <numFmt numFmtId="19" formatCode="m/d/yyyy"/>
    </dxf>
    <dxf>
      <numFmt numFmtId="19" formatCode="m/d/yyyy"/>
    </dxf>
    <dxf>
      <numFmt numFmtId="19" formatCode="m/d/yyyy"/>
    </dxf>
    <dxf>
      <fill>
        <patternFill>
          <bgColor rgb="FFF4DFC8"/>
        </patternFill>
      </fill>
    </dxf>
  </dxfs>
  <tableStyles count="1" defaultTableStyle="TableStyleMedium2" defaultPivotStyle="PivotStyleLight16">
    <tableStyle name="Slicer Style 1" pivot="0" table="0" count="1" xr9:uid="{00000000-0011-0000-FFFF-FFFF00000000}">
      <tableStyleElement type="headerRow" dxfId="2278"/>
    </tableStyle>
  </tableStyles>
  <colors>
    <mruColors>
      <color rgb="FFADB5BD"/>
      <color rgb="FF818FB4"/>
      <color rgb="FFCED4DA"/>
      <color rgb="FF212529"/>
      <color rgb="FFF4DFC8"/>
      <color rgb="FFF5E8C7"/>
      <color rgb="FF363062"/>
      <color rgb="FFFAF6F0"/>
      <color rgb="FFF4EAE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tables.xlsx]Sheet2!PivotTable7</c:name>
    <c:fmtId val="2"/>
  </c:pivotSource>
  <c:chart>
    <c:title>
      <c:tx>
        <c:rich>
          <a:bodyPr rot="0" spcFirstLastPara="1" vertOverflow="ellipsis" vert="horz" wrap="square" anchor="ctr" anchorCtr="1"/>
          <a:lstStyle/>
          <a:p>
            <a:pPr>
              <a:defRPr sz="1800" b="1" i="0" u="none" strike="noStrike" kern="1200" spc="0" baseline="0">
                <a:solidFill>
                  <a:schemeClr val="accent2"/>
                </a:solidFill>
                <a:latin typeface="+mj-lt"/>
                <a:ea typeface="+mn-ea"/>
                <a:cs typeface="+mn-cs"/>
              </a:defRPr>
            </a:pPr>
            <a:r>
              <a:rPr lang="en-US" sz="1800" b="1">
                <a:solidFill>
                  <a:schemeClr val="accent2"/>
                </a:solidFill>
                <a:latin typeface="+mj-lt"/>
              </a:rPr>
              <a:t>Sum</a:t>
            </a:r>
            <a:r>
              <a:rPr lang="en-US" sz="1800" b="1" baseline="0">
                <a:solidFill>
                  <a:schemeClr val="accent2"/>
                </a:solidFill>
                <a:latin typeface="+mj-lt"/>
              </a:rPr>
              <a:t> of total sales for each month</a:t>
            </a:r>
            <a:endParaRPr lang="en-US" sz="1800" b="1">
              <a:solidFill>
                <a:schemeClr val="accent2"/>
              </a:solidFill>
              <a:latin typeface="+mj-lt"/>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2"/>
              </a:solidFill>
              <a:latin typeface="+mj-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Sheet2!$B$67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Sheet2!$B$68:$B$80</c:f>
              <c:numCache>
                <c:formatCode>[$EGP]\ #,##0</c:formatCode>
                <c:ptCount val="12"/>
                <c:pt idx="0">
                  <c:v>87450</c:v>
                </c:pt>
                <c:pt idx="1">
                  <c:v>84900</c:v>
                </c:pt>
                <c:pt idx="2">
                  <c:v>94800</c:v>
                </c:pt>
                <c:pt idx="3">
                  <c:v>74650</c:v>
                </c:pt>
                <c:pt idx="4">
                  <c:v>83350</c:v>
                </c:pt>
                <c:pt idx="5">
                  <c:v>88900</c:v>
                </c:pt>
                <c:pt idx="6">
                  <c:v>87800</c:v>
                </c:pt>
                <c:pt idx="7">
                  <c:v>83150</c:v>
                </c:pt>
                <c:pt idx="8">
                  <c:v>88050</c:v>
                </c:pt>
                <c:pt idx="9">
                  <c:v>90400</c:v>
                </c:pt>
                <c:pt idx="10">
                  <c:v>60350</c:v>
                </c:pt>
                <c:pt idx="11">
                  <c:v>64200</c:v>
                </c:pt>
              </c:numCache>
            </c:numRef>
          </c:val>
          <c:smooth val="0"/>
          <c:extLst>
            <c:ext xmlns:c16="http://schemas.microsoft.com/office/drawing/2014/chart" uri="{C3380CC4-5D6E-409C-BE32-E72D297353CC}">
              <c16:uniqueId val="{00000000-F5C4-445C-89EC-01DDC10E8B46}"/>
            </c:ext>
          </c:extLst>
        </c:ser>
        <c:dLbls>
          <c:showLegendKey val="0"/>
          <c:showVal val="0"/>
          <c:showCatName val="0"/>
          <c:showSerName val="0"/>
          <c:showPercent val="0"/>
          <c:showBubbleSize val="0"/>
        </c:dLbls>
        <c:smooth val="0"/>
        <c:axId val="375945704"/>
        <c:axId val="139869912"/>
      </c:lineChart>
      <c:catAx>
        <c:axId val="375945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69912"/>
        <c:crosses val="autoZero"/>
        <c:auto val="1"/>
        <c:lblAlgn val="ctr"/>
        <c:lblOffset val="100"/>
        <c:noMultiLvlLbl val="0"/>
      </c:catAx>
      <c:valAx>
        <c:axId val="139869912"/>
        <c:scaling>
          <c:orientation val="minMax"/>
        </c:scaling>
        <c:delete val="1"/>
        <c:axPos val="l"/>
        <c:numFmt formatCode="[$EGP]\ #,##0" sourceLinked="1"/>
        <c:majorTickMark val="none"/>
        <c:minorTickMark val="none"/>
        <c:tickLblPos val="nextTo"/>
        <c:crossAx val="375945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3.2956076297209105E-2"/>
              <c:y val="2.10748913688915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layout>
            <c:manualLayout>
              <c:x val="-3.5952083233319006E-2"/>
              <c:y val="9.4837011160012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none"/>
        </c:marker>
        <c:dLbl>
          <c:idx val="0"/>
          <c:layout>
            <c:manualLayout>
              <c:x val="-1.8289035507958986E-2"/>
              <c:y val="-3.1612337053337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3.5952083233319006E-2"/>
              <c:y val="9.4837011160012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layout>
            <c:manualLayout>
              <c:x val="-3.2956076297209105E-2"/>
              <c:y val="2.10748913688915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layout>
            <c:manualLayout>
              <c:x val="-1.8289035507958986E-2"/>
              <c:y val="-3.1612337053337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18F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3.5952083233319006E-2"/>
              <c:y val="9.4837011160012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3.2956076297209105E-2"/>
              <c:y val="2.10748913688915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1.8289035507958986E-2"/>
              <c:y val="-3.1612337053337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Item quantity</c:v>
          </c:tx>
          <c:spPr>
            <a:solidFill>
              <a:srgbClr val="818F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 Jeans - Levis</c:v>
              </c:pt>
              <c:pt idx="1">
                <c:v> Jeans - Denim</c:v>
              </c:pt>
              <c:pt idx="2">
                <c:v> T-shirt</c:v>
              </c:pt>
              <c:pt idx="3">
                <c:v> Jeans - Zara</c:v>
              </c:pt>
              <c:pt idx="4">
                <c:v> Jeans - Lega</c:v>
              </c:pt>
              <c:pt idx="5">
                <c:v> Shirt - Arrow</c:v>
              </c:pt>
              <c:pt idx="6">
                <c:v> Shirt - PE</c:v>
              </c:pt>
              <c:pt idx="7">
                <c:v> shirt</c:v>
              </c:pt>
              <c:pt idx="8">
                <c:v> Wallet</c:v>
              </c:pt>
              <c:pt idx="9">
                <c:v> Chain</c:v>
              </c:pt>
            </c:strLit>
          </c:cat>
          <c:val>
            <c:numLit>
              <c:formatCode>General</c:formatCode>
              <c:ptCount val="10"/>
              <c:pt idx="0">
                <c:v>231</c:v>
              </c:pt>
              <c:pt idx="1">
                <c:v>204</c:v>
              </c:pt>
              <c:pt idx="2">
                <c:v>204</c:v>
              </c:pt>
              <c:pt idx="3">
                <c:v>129</c:v>
              </c:pt>
              <c:pt idx="4">
                <c:v>68</c:v>
              </c:pt>
              <c:pt idx="5">
                <c:v>49</c:v>
              </c:pt>
              <c:pt idx="6">
                <c:v>71</c:v>
              </c:pt>
              <c:pt idx="7">
                <c:v>57</c:v>
              </c:pt>
              <c:pt idx="8">
                <c:v>56</c:v>
              </c:pt>
              <c:pt idx="9">
                <c:v>56</c:v>
              </c:pt>
            </c:numLit>
          </c:val>
          <c:extLst>
            <c:ext xmlns:c16="http://schemas.microsoft.com/office/drawing/2014/chart" uri="{C3380CC4-5D6E-409C-BE32-E72D297353CC}">
              <c16:uniqueId val="{00000000-C598-4064-A8ED-403C351E51D6}"/>
            </c:ext>
          </c:extLst>
        </c:ser>
        <c:dLbls>
          <c:showLegendKey val="0"/>
          <c:showVal val="0"/>
          <c:showCatName val="0"/>
          <c:showSerName val="0"/>
          <c:showPercent val="0"/>
          <c:showBubbleSize val="0"/>
        </c:dLbls>
        <c:gapWidth val="219"/>
        <c:overlap val="-27"/>
        <c:axId val="492484280"/>
        <c:axId val="491185360"/>
      </c:barChart>
      <c:lineChart>
        <c:grouping val="standard"/>
        <c:varyColors val="0"/>
        <c:ser>
          <c:idx val="1"/>
          <c:order val="1"/>
          <c:tx>
            <c:v>Sum of Total Sales2</c:v>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1-C598-4064-A8ED-403C351E51D6}"/>
              </c:ext>
            </c:extLst>
          </c:dPt>
          <c:dPt>
            <c:idx val="1"/>
            <c:marker>
              <c:symbol val="none"/>
            </c:marker>
            <c:bubble3D val="0"/>
            <c:extLst>
              <c:ext xmlns:c16="http://schemas.microsoft.com/office/drawing/2014/chart" uri="{C3380CC4-5D6E-409C-BE32-E72D297353CC}">
                <c16:uniqueId val="{00000002-C598-4064-A8ED-403C351E51D6}"/>
              </c:ext>
            </c:extLst>
          </c:dPt>
          <c:dPt>
            <c:idx val="2"/>
            <c:marker>
              <c:symbol val="none"/>
            </c:marker>
            <c:bubble3D val="0"/>
            <c:extLst>
              <c:ext xmlns:c16="http://schemas.microsoft.com/office/drawing/2014/chart" uri="{C3380CC4-5D6E-409C-BE32-E72D297353CC}">
                <c16:uniqueId val="{00000003-C598-4064-A8ED-403C351E51D6}"/>
              </c:ext>
            </c:extLst>
          </c:dPt>
          <c:dLbls>
            <c:dLbl>
              <c:idx val="0"/>
              <c:layout>
                <c:manualLayout>
                  <c:x val="-3.5952083233319006E-2"/>
                  <c:y val="9.4837011160012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98-4064-A8ED-403C351E51D6}"/>
                </c:ext>
              </c:extLst>
            </c:dLbl>
            <c:dLbl>
              <c:idx val="1"/>
              <c:layout>
                <c:manualLayout>
                  <c:x val="-3.2956076297209105E-2"/>
                  <c:y val="2.10748913688915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98-4064-A8ED-403C351E51D6}"/>
                </c:ext>
              </c:extLst>
            </c:dLbl>
            <c:dLbl>
              <c:idx val="2"/>
              <c:layout>
                <c:manualLayout>
                  <c:x val="-1.8289035507958986E-2"/>
                  <c:y val="-3.161233705333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98-4064-A8ED-403C351E51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 Jeans - Levis</c:v>
              </c:pt>
              <c:pt idx="1">
                <c:v> Jeans - Denim</c:v>
              </c:pt>
              <c:pt idx="2">
                <c:v> T-shirt</c:v>
              </c:pt>
              <c:pt idx="3">
                <c:v> Jeans - Zara</c:v>
              </c:pt>
              <c:pt idx="4">
                <c:v> Jeans - Lega</c:v>
              </c:pt>
              <c:pt idx="5">
                <c:v> Shirt - Arrow</c:v>
              </c:pt>
              <c:pt idx="6">
                <c:v> Shirt - PE</c:v>
              </c:pt>
              <c:pt idx="7">
                <c:v> shirt</c:v>
              </c:pt>
              <c:pt idx="8">
                <c:v> Wallet</c:v>
              </c:pt>
              <c:pt idx="9">
                <c:v> Chain</c:v>
              </c:pt>
            </c:strLit>
          </c:cat>
          <c:val>
            <c:numLit>
              <c:formatCode>General</c:formatCode>
              <c:ptCount val="10"/>
              <c:pt idx="0">
                <c:v>253900</c:v>
              </c:pt>
              <c:pt idx="1">
                <c:v>195800</c:v>
              </c:pt>
              <c:pt idx="2">
                <c:v>123000</c:v>
              </c:pt>
              <c:pt idx="3">
                <c:v>116100</c:v>
              </c:pt>
              <c:pt idx="4">
                <c:v>67800</c:v>
              </c:pt>
              <c:pt idx="5">
                <c:v>58500</c:v>
              </c:pt>
              <c:pt idx="6">
                <c:v>56800</c:v>
              </c:pt>
              <c:pt idx="7">
                <c:v>48500</c:v>
              </c:pt>
              <c:pt idx="8">
                <c:v>35800</c:v>
              </c:pt>
              <c:pt idx="9">
                <c:v>31800</c:v>
              </c:pt>
            </c:numLit>
          </c:val>
          <c:smooth val="0"/>
          <c:extLst>
            <c:ext xmlns:c16="http://schemas.microsoft.com/office/drawing/2014/chart" uri="{C3380CC4-5D6E-409C-BE32-E72D297353CC}">
              <c16:uniqueId val="{00000004-C598-4064-A8ED-403C351E51D6}"/>
            </c:ext>
          </c:extLst>
        </c:ser>
        <c:dLbls>
          <c:showLegendKey val="0"/>
          <c:showVal val="0"/>
          <c:showCatName val="0"/>
          <c:showSerName val="0"/>
          <c:showPercent val="0"/>
          <c:showBubbleSize val="0"/>
        </c:dLbls>
        <c:marker val="1"/>
        <c:smooth val="0"/>
        <c:axId val="491184184"/>
        <c:axId val="491184576"/>
      </c:lineChart>
      <c:catAx>
        <c:axId val="491184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1184576"/>
        <c:crosses val="autoZero"/>
        <c:auto val="1"/>
        <c:lblAlgn val="ctr"/>
        <c:lblOffset val="100"/>
        <c:noMultiLvlLbl val="0"/>
      </c:catAx>
      <c:valAx>
        <c:axId val="491184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1184184"/>
        <c:crosses val="autoZero"/>
        <c:crossBetween val="between"/>
      </c:valAx>
      <c:valAx>
        <c:axId val="4911853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2484280"/>
        <c:crosses val="max"/>
        <c:crossBetween val="between"/>
      </c:valAx>
      <c:catAx>
        <c:axId val="492484280"/>
        <c:scaling>
          <c:orientation val="minMax"/>
        </c:scaling>
        <c:delete val="1"/>
        <c:axPos val="b"/>
        <c:numFmt formatCode="General" sourceLinked="1"/>
        <c:majorTickMark val="out"/>
        <c:minorTickMark val="none"/>
        <c:tickLblPos val="nextTo"/>
        <c:crossAx val="4911853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5E8C7"/>
                </a:solidFill>
                <a:latin typeface="+mn-lt"/>
                <a:ea typeface="+mn-ea"/>
                <a:cs typeface="+mn-cs"/>
              </a:defRPr>
            </a:pPr>
            <a:r>
              <a:rPr lang="en-US" b="1">
                <a:solidFill>
                  <a:srgbClr val="F5E8C7"/>
                </a:solidFill>
              </a:rPr>
              <a:t>Sum of total sales for each</a:t>
            </a:r>
            <a:r>
              <a:rPr lang="en-US" b="1" baseline="0">
                <a:solidFill>
                  <a:srgbClr val="F5E8C7"/>
                </a:solidFill>
              </a:rPr>
              <a:t> category</a:t>
            </a:r>
            <a:endParaRPr lang="en-US" b="1">
              <a:solidFill>
                <a:srgbClr val="F5E8C7"/>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5E8C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18F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5E8C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818F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5E8C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Casual Wear</c:v>
              </c:pt>
              <c:pt idx="1">
                <c:v>Semi Formal</c:v>
              </c:pt>
              <c:pt idx="2">
                <c:v>Formal</c:v>
              </c:pt>
              <c:pt idx="3">
                <c:v>Accessories</c:v>
              </c:pt>
            </c:strLit>
          </c:cat>
          <c:val>
            <c:numLit>
              <c:formatCode>General</c:formatCode>
              <c:ptCount val="4"/>
              <c:pt idx="0">
                <c:v>633600</c:v>
              </c:pt>
              <c:pt idx="1">
                <c:v>179800</c:v>
              </c:pt>
              <c:pt idx="2">
                <c:v>107000</c:v>
              </c:pt>
              <c:pt idx="3">
                <c:v>67600</c:v>
              </c:pt>
            </c:numLit>
          </c:val>
          <c:extLst>
            <c:ext xmlns:c16="http://schemas.microsoft.com/office/drawing/2014/chart" uri="{C3380CC4-5D6E-409C-BE32-E72D297353CC}">
              <c16:uniqueId val="{00000000-662B-4F87-B33A-290EEAB4FA3C}"/>
            </c:ext>
          </c:extLst>
        </c:ser>
        <c:dLbls>
          <c:showLegendKey val="0"/>
          <c:showVal val="0"/>
          <c:showCatName val="0"/>
          <c:showSerName val="0"/>
          <c:showPercent val="0"/>
          <c:showBubbleSize val="0"/>
        </c:dLbls>
        <c:gapWidth val="219"/>
        <c:overlap val="-27"/>
        <c:axId val="492489768"/>
        <c:axId val="492490160"/>
      </c:barChart>
      <c:catAx>
        <c:axId val="492489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8C7"/>
                </a:solidFill>
                <a:latin typeface="+mn-lt"/>
                <a:ea typeface="+mn-ea"/>
                <a:cs typeface="+mn-cs"/>
              </a:defRPr>
            </a:pPr>
            <a:endParaRPr lang="en-US"/>
          </a:p>
        </c:txPr>
        <c:crossAx val="492490160"/>
        <c:crosses val="autoZero"/>
        <c:auto val="1"/>
        <c:lblAlgn val="ctr"/>
        <c:lblOffset val="100"/>
        <c:noMultiLvlLbl val="0"/>
      </c:catAx>
      <c:valAx>
        <c:axId val="492490160"/>
        <c:scaling>
          <c:orientation val="minMax"/>
        </c:scaling>
        <c:delete val="1"/>
        <c:axPos val="l"/>
        <c:numFmt formatCode="General" sourceLinked="1"/>
        <c:majorTickMark val="none"/>
        <c:minorTickMark val="none"/>
        <c:tickLblPos val="nextTo"/>
        <c:crossAx val="492489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5E8C7"/>
                </a:solidFill>
                <a:latin typeface="+mn-lt"/>
                <a:ea typeface="+mn-ea"/>
                <a:cs typeface="+mn-cs"/>
              </a:defRPr>
            </a:pPr>
            <a:r>
              <a:rPr lang="en-US">
                <a:solidFill>
                  <a:srgbClr val="F5E8C7"/>
                </a:solidFill>
              </a:rPr>
              <a:t>Distribution of sales between on</a:t>
            </a:r>
            <a:r>
              <a:rPr lang="en-US" baseline="0">
                <a:solidFill>
                  <a:srgbClr val="F5E8C7"/>
                </a:solidFill>
              </a:rPr>
              <a:t> shop and online</a:t>
            </a:r>
            <a:endParaRPr lang="en-US">
              <a:solidFill>
                <a:srgbClr val="F5E8C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5E8C7"/>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818FB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5E8C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18FB4"/>
          </a:solidFill>
          <a:ln w="19050">
            <a:solidFill>
              <a:schemeClr val="lt1"/>
            </a:solidFill>
          </a:ln>
          <a:effectLst/>
        </c:spPr>
      </c:pivotFmt>
      <c:pivotFmt>
        <c:idx val="6"/>
        <c:spPr>
          <a:solidFill>
            <a:srgbClr val="F5E8C7"/>
          </a:solidFill>
          <a:ln w="19050">
            <a:solidFill>
              <a:schemeClr val="lt1"/>
            </a:solidFill>
          </a:ln>
          <a:effectLst/>
        </c:spPr>
      </c:pivotFmt>
    </c:pivotFmts>
    <c:plotArea>
      <c:layout/>
      <c:pieChart>
        <c:varyColors val="1"/>
        <c:ser>
          <c:idx val="0"/>
          <c:order val="0"/>
          <c:tx>
            <c:v>Total</c:v>
          </c:tx>
          <c:spPr>
            <a:solidFill>
              <a:srgbClr val="818FB4"/>
            </a:solidFill>
          </c:spPr>
          <c:dPt>
            <c:idx val="0"/>
            <c:bubble3D val="0"/>
            <c:spPr>
              <a:solidFill>
                <a:srgbClr val="818FB4"/>
              </a:solidFill>
              <a:ln w="19050">
                <a:solidFill>
                  <a:schemeClr val="lt1"/>
                </a:solidFill>
              </a:ln>
              <a:effectLst/>
            </c:spPr>
            <c:extLst>
              <c:ext xmlns:c16="http://schemas.microsoft.com/office/drawing/2014/chart" uri="{C3380CC4-5D6E-409C-BE32-E72D297353CC}">
                <c16:uniqueId val="{00000001-1C10-425E-842C-057038CEBEE2}"/>
              </c:ext>
            </c:extLst>
          </c:dPt>
          <c:dPt>
            <c:idx val="1"/>
            <c:bubble3D val="0"/>
            <c:spPr>
              <a:solidFill>
                <a:srgbClr val="F5E8C7"/>
              </a:solidFill>
              <a:ln w="19050">
                <a:solidFill>
                  <a:schemeClr val="lt1"/>
                </a:solidFill>
              </a:ln>
              <a:effectLst/>
            </c:spPr>
            <c:extLst>
              <c:ext xmlns:c16="http://schemas.microsoft.com/office/drawing/2014/chart" uri="{C3380CC4-5D6E-409C-BE32-E72D297353CC}">
                <c16:uniqueId val="{00000003-1C10-425E-842C-057038CEBE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5E8C7"/>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On Shop</c:v>
              </c:pt>
              <c:pt idx="1">
                <c:v>Online Order</c:v>
              </c:pt>
            </c:strLit>
          </c:cat>
          <c:val>
            <c:numLit>
              <c:formatCode>General</c:formatCode>
              <c:ptCount val="2"/>
              <c:pt idx="0">
                <c:v>920350</c:v>
              </c:pt>
              <c:pt idx="1">
                <c:v>67650</c:v>
              </c:pt>
            </c:numLit>
          </c:val>
          <c:extLst>
            <c:ext xmlns:c16="http://schemas.microsoft.com/office/drawing/2014/chart" uri="{C3380CC4-5D6E-409C-BE32-E72D297353CC}">
              <c16:uniqueId val="{00000004-1C10-425E-842C-057038CEBE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5E8C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tables.xlsx]Pivot tables!PivotTable2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Sum of Item amount</c:v>
                </c:pt>
              </c:strCache>
            </c:strRef>
          </c:tx>
          <c:spPr>
            <a:solidFill>
              <a:schemeClr val="accent1"/>
            </a:solidFill>
            <a:ln>
              <a:noFill/>
            </a:ln>
            <a:effectLst/>
          </c:spPr>
          <c:invertIfNegative val="0"/>
          <c:cat>
            <c:strRef>
              <c:f>'Pivot tables'!$A$11:$A$21</c:f>
              <c:strCache>
                <c:ptCount val="10"/>
                <c:pt idx="0">
                  <c:v> Jeans - Levis</c:v>
                </c:pt>
                <c:pt idx="1">
                  <c:v> Jeans - Denim</c:v>
                </c:pt>
                <c:pt idx="2">
                  <c:v> Jeans - Zara</c:v>
                </c:pt>
                <c:pt idx="3">
                  <c:v> T-shirt</c:v>
                </c:pt>
                <c:pt idx="4">
                  <c:v> Jeans - Lega</c:v>
                </c:pt>
                <c:pt idx="5">
                  <c:v> Shirt - Arrow</c:v>
                </c:pt>
                <c:pt idx="6">
                  <c:v> Shirt - PE</c:v>
                </c:pt>
                <c:pt idx="7">
                  <c:v> shirt</c:v>
                </c:pt>
                <c:pt idx="8">
                  <c:v> Wallet</c:v>
                </c:pt>
                <c:pt idx="9">
                  <c:v> Chain</c:v>
                </c:pt>
              </c:strCache>
            </c:strRef>
          </c:cat>
          <c:val>
            <c:numRef>
              <c:f>'Pivot tables'!$B$11:$B$21</c:f>
              <c:numCache>
                <c:formatCode>[$EGP]\ #,##0</c:formatCode>
                <c:ptCount val="10"/>
                <c:pt idx="0">
                  <c:v>106700</c:v>
                </c:pt>
                <c:pt idx="1">
                  <c:v>43200</c:v>
                </c:pt>
                <c:pt idx="2">
                  <c:v>42300</c:v>
                </c:pt>
                <c:pt idx="3">
                  <c:v>42000</c:v>
                </c:pt>
                <c:pt idx="4">
                  <c:v>29000</c:v>
                </c:pt>
                <c:pt idx="5">
                  <c:v>24000</c:v>
                </c:pt>
                <c:pt idx="6">
                  <c:v>20800</c:v>
                </c:pt>
                <c:pt idx="7">
                  <c:v>17850</c:v>
                </c:pt>
                <c:pt idx="8">
                  <c:v>13600</c:v>
                </c:pt>
                <c:pt idx="9">
                  <c:v>11400</c:v>
                </c:pt>
              </c:numCache>
            </c:numRef>
          </c:val>
          <c:extLst>
            <c:ext xmlns:c16="http://schemas.microsoft.com/office/drawing/2014/chart" uri="{C3380CC4-5D6E-409C-BE32-E72D297353CC}">
              <c16:uniqueId val="{00000000-29B2-4138-B37B-20455D55BD28}"/>
            </c:ext>
          </c:extLst>
        </c:ser>
        <c:dLbls>
          <c:showLegendKey val="0"/>
          <c:showVal val="0"/>
          <c:showCatName val="0"/>
          <c:showSerName val="0"/>
          <c:showPercent val="0"/>
          <c:showBubbleSize val="0"/>
        </c:dLbls>
        <c:gapWidth val="219"/>
        <c:overlap val="-27"/>
        <c:axId val="492487024"/>
        <c:axId val="492485456"/>
      </c:barChart>
      <c:lineChart>
        <c:grouping val="standard"/>
        <c:varyColors val="0"/>
        <c:ser>
          <c:idx val="1"/>
          <c:order val="1"/>
          <c:tx>
            <c:strRef>
              <c:f>'Pivot tables'!$C$10</c:f>
              <c:strCache>
                <c:ptCount val="1"/>
                <c:pt idx="0">
                  <c:v>Sum of Item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tables'!$A$11:$A$21</c:f>
              <c:strCache>
                <c:ptCount val="10"/>
                <c:pt idx="0">
                  <c:v> Jeans - Levis</c:v>
                </c:pt>
                <c:pt idx="1">
                  <c:v> Jeans - Denim</c:v>
                </c:pt>
                <c:pt idx="2">
                  <c:v> Jeans - Zara</c:v>
                </c:pt>
                <c:pt idx="3">
                  <c:v> T-shirt</c:v>
                </c:pt>
                <c:pt idx="4">
                  <c:v> Jeans - Lega</c:v>
                </c:pt>
                <c:pt idx="5">
                  <c:v> Shirt - Arrow</c:v>
                </c:pt>
                <c:pt idx="6">
                  <c:v> Shirt - PE</c:v>
                </c:pt>
                <c:pt idx="7">
                  <c:v> shirt</c:v>
                </c:pt>
                <c:pt idx="8">
                  <c:v> Wallet</c:v>
                </c:pt>
                <c:pt idx="9">
                  <c:v> Chain</c:v>
                </c:pt>
              </c:strCache>
            </c:strRef>
          </c:cat>
          <c:val>
            <c:numRef>
              <c:f>'Pivot tables'!$C$11:$C$21</c:f>
              <c:numCache>
                <c:formatCode>General</c:formatCode>
                <c:ptCount val="10"/>
                <c:pt idx="0">
                  <c:v>97</c:v>
                </c:pt>
                <c:pt idx="1">
                  <c:v>48</c:v>
                </c:pt>
                <c:pt idx="2">
                  <c:v>47</c:v>
                </c:pt>
                <c:pt idx="3">
                  <c:v>70</c:v>
                </c:pt>
                <c:pt idx="4">
                  <c:v>29</c:v>
                </c:pt>
                <c:pt idx="5">
                  <c:v>20</c:v>
                </c:pt>
                <c:pt idx="6">
                  <c:v>26</c:v>
                </c:pt>
                <c:pt idx="7">
                  <c:v>21</c:v>
                </c:pt>
                <c:pt idx="8">
                  <c:v>21</c:v>
                </c:pt>
                <c:pt idx="9">
                  <c:v>19</c:v>
                </c:pt>
              </c:numCache>
            </c:numRef>
          </c:val>
          <c:smooth val="0"/>
          <c:extLst>
            <c:ext xmlns:c16="http://schemas.microsoft.com/office/drawing/2014/chart" uri="{C3380CC4-5D6E-409C-BE32-E72D297353CC}">
              <c16:uniqueId val="{00000001-29B2-4138-B37B-20455D55BD28}"/>
            </c:ext>
          </c:extLst>
        </c:ser>
        <c:dLbls>
          <c:showLegendKey val="0"/>
          <c:showVal val="0"/>
          <c:showCatName val="0"/>
          <c:showSerName val="0"/>
          <c:showPercent val="0"/>
          <c:showBubbleSize val="0"/>
        </c:dLbls>
        <c:marker val="1"/>
        <c:smooth val="0"/>
        <c:axId val="492486240"/>
        <c:axId val="492485848"/>
      </c:lineChart>
      <c:catAx>
        <c:axId val="49248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5456"/>
        <c:crosses val="autoZero"/>
        <c:auto val="1"/>
        <c:lblAlgn val="ctr"/>
        <c:lblOffset val="100"/>
        <c:noMultiLvlLbl val="0"/>
      </c:catAx>
      <c:valAx>
        <c:axId val="492485456"/>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7024"/>
        <c:crosses val="autoZero"/>
        <c:crossBetween val="between"/>
      </c:valAx>
      <c:valAx>
        <c:axId val="4924858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6240"/>
        <c:crosses val="max"/>
        <c:crossBetween val="between"/>
      </c:valAx>
      <c:catAx>
        <c:axId val="492486240"/>
        <c:scaling>
          <c:orientation val="minMax"/>
        </c:scaling>
        <c:delete val="1"/>
        <c:axPos val="b"/>
        <c:numFmt formatCode="General" sourceLinked="1"/>
        <c:majorTickMark val="out"/>
        <c:minorTickMark val="none"/>
        <c:tickLblPos val="nextTo"/>
        <c:crossAx val="4924858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tables.xlsx]Pivot tables!PivotTable3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c:f>
              <c:strCache>
                <c:ptCount val="1"/>
                <c:pt idx="0">
                  <c:v>Sum of Item amount</c:v>
                </c:pt>
              </c:strCache>
            </c:strRef>
          </c:tx>
          <c:spPr>
            <a:solidFill>
              <a:schemeClr val="accent1"/>
            </a:solidFill>
            <a:ln>
              <a:noFill/>
            </a:ln>
            <a:effectLst/>
          </c:spPr>
          <c:invertIfNegative val="0"/>
          <c:cat>
            <c:strRef>
              <c:f>'Pivot tables'!$A$27:$A$31</c:f>
              <c:strCache>
                <c:ptCount val="4"/>
                <c:pt idx="0">
                  <c:v>Casual Wear</c:v>
                </c:pt>
                <c:pt idx="1">
                  <c:v>Semi Formal</c:v>
                </c:pt>
                <c:pt idx="2">
                  <c:v>Formal</c:v>
                </c:pt>
                <c:pt idx="3">
                  <c:v>Accessories</c:v>
                </c:pt>
              </c:strCache>
            </c:strRef>
          </c:cat>
          <c:val>
            <c:numRef>
              <c:f>'Pivot tables'!$B$27:$B$31</c:f>
              <c:numCache>
                <c:formatCode>[$EGP]\ #,##0</c:formatCode>
                <c:ptCount val="4"/>
                <c:pt idx="0">
                  <c:v>221200</c:v>
                </c:pt>
                <c:pt idx="1">
                  <c:v>62800</c:v>
                </c:pt>
                <c:pt idx="2">
                  <c:v>41850</c:v>
                </c:pt>
                <c:pt idx="3">
                  <c:v>25000</c:v>
                </c:pt>
              </c:numCache>
            </c:numRef>
          </c:val>
          <c:extLst>
            <c:ext xmlns:c16="http://schemas.microsoft.com/office/drawing/2014/chart" uri="{C3380CC4-5D6E-409C-BE32-E72D297353CC}">
              <c16:uniqueId val="{00000000-9355-41AB-8973-85D33FE7DE35}"/>
            </c:ext>
          </c:extLst>
        </c:ser>
        <c:dLbls>
          <c:showLegendKey val="0"/>
          <c:showVal val="0"/>
          <c:showCatName val="0"/>
          <c:showSerName val="0"/>
          <c:showPercent val="0"/>
          <c:showBubbleSize val="0"/>
        </c:dLbls>
        <c:gapWidth val="219"/>
        <c:overlap val="-27"/>
        <c:axId val="492487808"/>
        <c:axId val="492488200"/>
      </c:barChart>
      <c:lineChart>
        <c:grouping val="standard"/>
        <c:varyColors val="0"/>
        <c:ser>
          <c:idx val="1"/>
          <c:order val="1"/>
          <c:tx>
            <c:strRef>
              <c:f>'Pivot tables'!$C$26</c:f>
              <c:strCache>
                <c:ptCount val="1"/>
                <c:pt idx="0">
                  <c:v>Sum of Item amount2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tables'!$A$27:$A$31</c:f>
              <c:strCache>
                <c:ptCount val="4"/>
                <c:pt idx="0">
                  <c:v>Casual Wear</c:v>
                </c:pt>
                <c:pt idx="1">
                  <c:v>Semi Formal</c:v>
                </c:pt>
                <c:pt idx="2">
                  <c:v>Formal</c:v>
                </c:pt>
                <c:pt idx="3">
                  <c:v>Accessories</c:v>
                </c:pt>
              </c:strCache>
            </c:strRef>
          </c:cat>
          <c:val>
            <c:numRef>
              <c:f>'Pivot tables'!$C$27:$C$31</c:f>
              <c:numCache>
                <c:formatCode>0.00%</c:formatCode>
                <c:ptCount val="4"/>
                <c:pt idx="0">
                  <c:v>0.63046886133675362</c:v>
                </c:pt>
                <c:pt idx="1">
                  <c:v>0.17899387202508193</c:v>
                </c:pt>
                <c:pt idx="2">
                  <c:v>0.11928174433518597</c:v>
                </c:pt>
                <c:pt idx="3">
                  <c:v>7.1255522302978477E-2</c:v>
                </c:pt>
              </c:numCache>
            </c:numRef>
          </c:val>
          <c:smooth val="0"/>
          <c:extLst>
            <c:ext xmlns:c16="http://schemas.microsoft.com/office/drawing/2014/chart" uri="{C3380CC4-5D6E-409C-BE32-E72D297353CC}">
              <c16:uniqueId val="{00000001-9355-41AB-8973-85D33FE7DE35}"/>
            </c:ext>
          </c:extLst>
        </c:ser>
        <c:dLbls>
          <c:showLegendKey val="0"/>
          <c:showVal val="0"/>
          <c:showCatName val="0"/>
          <c:showSerName val="0"/>
          <c:showPercent val="0"/>
          <c:showBubbleSize val="0"/>
        </c:dLbls>
        <c:marker val="1"/>
        <c:smooth val="0"/>
        <c:axId val="492488984"/>
        <c:axId val="492488592"/>
      </c:lineChart>
      <c:catAx>
        <c:axId val="49248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8200"/>
        <c:crosses val="autoZero"/>
        <c:auto val="1"/>
        <c:lblAlgn val="ctr"/>
        <c:lblOffset val="100"/>
        <c:noMultiLvlLbl val="0"/>
      </c:catAx>
      <c:valAx>
        <c:axId val="492488200"/>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7808"/>
        <c:crosses val="autoZero"/>
        <c:crossBetween val="between"/>
      </c:valAx>
      <c:valAx>
        <c:axId val="4924885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8984"/>
        <c:crosses val="max"/>
        <c:crossBetween val="between"/>
      </c:valAx>
      <c:catAx>
        <c:axId val="492488984"/>
        <c:scaling>
          <c:orientation val="minMax"/>
        </c:scaling>
        <c:delete val="1"/>
        <c:axPos val="b"/>
        <c:numFmt formatCode="General" sourceLinked="1"/>
        <c:majorTickMark val="out"/>
        <c:minorTickMark val="none"/>
        <c:tickLblPos val="nextTo"/>
        <c:crossAx val="4924885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dk1"/>
                </a:solidFill>
                <a:effectLst/>
              </a:rPr>
              <a:t>Order Types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tables'!$B$37</c:f>
              <c:strCache>
                <c:ptCount val="1"/>
                <c:pt idx="0">
                  <c:v>Total</c:v>
                </c:pt>
              </c:strCache>
            </c:strRef>
          </c:tx>
          <c:spPr>
            <a:solidFill>
              <a:schemeClr val="accent1"/>
            </a:solidFill>
            <a:ln>
              <a:noFill/>
            </a:ln>
            <a:effectLst/>
          </c:spPr>
          <c:invertIfNegative val="0"/>
          <c:cat>
            <c:strRef>
              <c:f>'Pivot tables'!$A$38:$A$40</c:f>
              <c:strCache>
                <c:ptCount val="2"/>
                <c:pt idx="0">
                  <c:v>On Shop</c:v>
                </c:pt>
                <c:pt idx="1">
                  <c:v>Online Order</c:v>
                </c:pt>
              </c:strCache>
            </c:strRef>
          </c:cat>
          <c:val>
            <c:numRef>
              <c:f>'Pivot tables'!$B$38:$B$40</c:f>
              <c:numCache>
                <c:formatCode>[$EGP]\ #,##0</c:formatCode>
                <c:ptCount val="2"/>
                <c:pt idx="0">
                  <c:v>323500</c:v>
                </c:pt>
                <c:pt idx="1">
                  <c:v>27350</c:v>
                </c:pt>
              </c:numCache>
            </c:numRef>
          </c:val>
          <c:extLst>
            <c:ext xmlns:c16="http://schemas.microsoft.com/office/drawing/2014/chart" uri="{C3380CC4-5D6E-409C-BE32-E72D297353CC}">
              <c16:uniqueId val="{00000000-F9E0-46C6-8E45-54EADCA49F72}"/>
            </c:ext>
          </c:extLst>
        </c:ser>
        <c:dLbls>
          <c:showLegendKey val="0"/>
          <c:showVal val="0"/>
          <c:showCatName val="0"/>
          <c:showSerName val="0"/>
          <c:showPercent val="0"/>
          <c:showBubbleSize val="0"/>
        </c:dLbls>
        <c:gapWidth val="219"/>
        <c:overlap val="-27"/>
        <c:axId val="495281648"/>
        <c:axId val="495283608"/>
      </c:barChart>
      <c:catAx>
        <c:axId val="49528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83608"/>
        <c:crosses val="autoZero"/>
        <c:auto val="1"/>
        <c:lblAlgn val="ctr"/>
        <c:lblOffset val="100"/>
        <c:noMultiLvlLbl val="0"/>
      </c:catAx>
      <c:valAx>
        <c:axId val="495283608"/>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8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dk1"/>
                </a:solidFill>
                <a:effectLst/>
              </a:rPr>
              <a:t>Monthly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tables'!$B$45</c:f>
              <c:strCache>
                <c:ptCount val="1"/>
                <c:pt idx="0">
                  <c:v>Total</c:v>
                </c:pt>
              </c:strCache>
            </c:strRef>
          </c:tx>
          <c:spPr>
            <a:ln w="28575" cap="rnd">
              <a:solidFill>
                <a:schemeClr val="accent1"/>
              </a:solidFill>
              <a:round/>
            </a:ln>
            <a:effectLst/>
          </c:spPr>
          <c:marker>
            <c:symbol val="none"/>
          </c:marker>
          <c:cat>
            <c:strRef>
              <c:f>'Pivot tables'!$A$46:$A$58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tables'!$B$46:$B$58</c:f>
              <c:numCache>
                <c:formatCode>[$EGP]\ #,##0</c:formatCode>
                <c:ptCount val="12"/>
                <c:pt idx="0">
                  <c:v>34200</c:v>
                </c:pt>
                <c:pt idx="1">
                  <c:v>28100</c:v>
                </c:pt>
                <c:pt idx="2">
                  <c:v>31750</c:v>
                </c:pt>
                <c:pt idx="3">
                  <c:v>25150</c:v>
                </c:pt>
                <c:pt idx="4">
                  <c:v>30050</c:v>
                </c:pt>
                <c:pt idx="5">
                  <c:v>30800</c:v>
                </c:pt>
                <c:pt idx="6">
                  <c:v>27150</c:v>
                </c:pt>
                <c:pt idx="7">
                  <c:v>24150</c:v>
                </c:pt>
                <c:pt idx="8">
                  <c:v>27050</c:v>
                </c:pt>
                <c:pt idx="9">
                  <c:v>30250</c:v>
                </c:pt>
                <c:pt idx="10">
                  <c:v>29150</c:v>
                </c:pt>
                <c:pt idx="11">
                  <c:v>33050</c:v>
                </c:pt>
              </c:numCache>
            </c:numRef>
          </c:val>
          <c:smooth val="0"/>
          <c:extLst>
            <c:ext xmlns:c16="http://schemas.microsoft.com/office/drawing/2014/chart" uri="{C3380CC4-5D6E-409C-BE32-E72D297353CC}">
              <c16:uniqueId val="{00000000-4876-4E71-B1DD-1A0D74F7895D}"/>
            </c:ext>
          </c:extLst>
        </c:ser>
        <c:dLbls>
          <c:showLegendKey val="0"/>
          <c:showVal val="0"/>
          <c:showCatName val="0"/>
          <c:showSerName val="0"/>
          <c:showPercent val="0"/>
          <c:showBubbleSize val="0"/>
        </c:dLbls>
        <c:smooth val="0"/>
        <c:axId val="495278512"/>
        <c:axId val="495278120"/>
      </c:lineChart>
      <c:catAx>
        <c:axId val="49527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78120"/>
        <c:crosses val="autoZero"/>
        <c:auto val="1"/>
        <c:lblAlgn val="ctr"/>
        <c:lblOffset val="100"/>
        <c:noMultiLvlLbl val="0"/>
      </c:catAx>
      <c:valAx>
        <c:axId val="495278120"/>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7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tables.xlsx]Pivot tables!PivotTable2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4DF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AF6F0"/>
            </a:solidFill>
            <a:round/>
          </a:ln>
          <a:effectLst/>
        </c:spPr>
        <c:marker>
          <c:symbol val="circle"/>
          <c:size val="5"/>
          <c:spPr>
            <a:solidFill>
              <a:srgbClr val="F4EAE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Sum of Item amount</c:v>
                </c:pt>
              </c:strCache>
            </c:strRef>
          </c:tx>
          <c:spPr>
            <a:solidFill>
              <a:srgbClr val="F4DFC8"/>
            </a:solidFill>
            <a:ln>
              <a:noFill/>
            </a:ln>
            <a:effectLst/>
          </c:spPr>
          <c:invertIfNegative val="0"/>
          <c:cat>
            <c:strRef>
              <c:f>'Pivot tables'!$A$11:$A$21</c:f>
              <c:strCache>
                <c:ptCount val="10"/>
                <c:pt idx="0">
                  <c:v> Jeans - Levis</c:v>
                </c:pt>
                <c:pt idx="1">
                  <c:v> Jeans - Denim</c:v>
                </c:pt>
                <c:pt idx="2">
                  <c:v> Jeans - Zara</c:v>
                </c:pt>
                <c:pt idx="3">
                  <c:v> T-shirt</c:v>
                </c:pt>
                <c:pt idx="4">
                  <c:v> Jeans - Lega</c:v>
                </c:pt>
                <c:pt idx="5">
                  <c:v> Shirt - Arrow</c:v>
                </c:pt>
                <c:pt idx="6">
                  <c:v> Shirt - PE</c:v>
                </c:pt>
                <c:pt idx="7">
                  <c:v> shirt</c:v>
                </c:pt>
                <c:pt idx="8">
                  <c:v> Wallet</c:v>
                </c:pt>
                <c:pt idx="9">
                  <c:v> Chain</c:v>
                </c:pt>
              </c:strCache>
            </c:strRef>
          </c:cat>
          <c:val>
            <c:numRef>
              <c:f>'Pivot tables'!$B$11:$B$21</c:f>
              <c:numCache>
                <c:formatCode>[$EGP]\ #,##0</c:formatCode>
                <c:ptCount val="10"/>
                <c:pt idx="0">
                  <c:v>106700</c:v>
                </c:pt>
                <c:pt idx="1">
                  <c:v>43200</c:v>
                </c:pt>
                <c:pt idx="2">
                  <c:v>42300</c:v>
                </c:pt>
                <c:pt idx="3">
                  <c:v>42000</c:v>
                </c:pt>
                <c:pt idx="4">
                  <c:v>29000</c:v>
                </c:pt>
                <c:pt idx="5">
                  <c:v>24000</c:v>
                </c:pt>
                <c:pt idx="6">
                  <c:v>20800</c:v>
                </c:pt>
                <c:pt idx="7">
                  <c:v>17850</c:v>
                </c:pt>
                <c:pt idx="8">
                  <c:v>13600</c:v>
                </c:pt>
                <c:pt idx="9">
                  <c:v>11400</c:v>
                </c:pt>
              </c:numCache>
            </c:numRef>
          </c:val>
          <c:extLst>
            <c:ext xmlns:c16="http://schemas.microsoft.com/office/drawing/2014/chart" uri="{C3380CC4-5D6E-409C-BE32-E72D297353CC}">
              <c16:uniqueId val="{00000000-B724-4CE4-AB50-EE11B8F74034}"/>
            </c:ext>
          </c:extLst>
        </c:ser>
        <c:dLbls>
          <c:showLegendKey val="0"/>
          <c:showVal val="0"/>
          <c:showCatName val="0"/>
          <c:showSerName val="0"/>
          <c:showPercent val="0"/>
          <c:showBubbleSize val="0"/>
        </c:dLbls>
        <c:gapWidth val="219"/>
        <c:overlap val="-27"/>
        <c:axId val="495276160"/>
        <c:axId val="495280864"/>
      </c:barChart>
      <c:lineChart>
        <c:grouping val="standard"/>
        <c:varyColors val="0"/>
        <c:ser>
          <c:idx val="1"/>
          <c:order val="1"/>
          <c:tx>
            <c:strRef>
              <c:f>'Pivot tables'!$C$10</c:f>
              <c:strCache>
                <c:ptCount val="1"/>
                <c:pt idx="0">
                  <c:v>Sum of Item quantity</c:v>
                </c:pt>
              </c:strCache>
            </c:strRef>
          </c:tx>
          <c:spPr>
            <a:ln w="28575" cap="rnd">
              <a:solidFill>
                <a:srgbClr val="FAF6F0"/>
              </a:solidFill>
              <a:round/>
            </a:ln>
            <a:effectLst/>
          </c:spPr>
          <c:marker>
            <c:symbol val="circle"/>
            <c:size val="5"/>
            <c:spPr>
              <a:solidFill>
                <a:srgbClr val="F4EAE0"/>
              </a:solidFill>
              <a:ln w="9525">
                <a:solidFill>
                  <a:schemeClr val="accent2"/>
                </a:solidFill>
              </a:ln>
              <a:effectLst/>
            </c:spPr>
          </c:marker>
          <c:cat>
            <c:strRef>
              <c:f>'Pivot tables'!$A$11:$A$21</c:f>
              <c:strCache>
                <c:ptCount val="10"/>
                <c:pt idx="0">
                  <c:v> Jeans - Levis</c:v>
                </c:pt>
                <c:pt idx="1">
                  <c:v> Jeans - Denim</c:v>
                </c:pt>
                <c:pt idx="2">
                  <c:v> Jeans - Zara</c:v>
                </c:pt>
                <c:pt idx="3">
                  <c:v> T-shirt</c:v>
                </c:pt>
                <c:pt idx="4">
                  <c:v> Jeans - Lega</c:v>
                </c:pt>
                <c:pt idx="5">
                  <c:v> Shirt - Arrow</c:v>
                </c:pt>
                <c:pt idx="6">
                  <c:v> Shirt - PE</c:v>
                </c:pt>
                <c:pt idx="7">
                  <c:v> shirt</c:v>
                </c:pt>
                <c:pt idx="8">
                  <c:v> Wallet</c:v>
                </c:pt>
                <c:pt idx="9">
                  <c:v> Chain</c:v>
                </c:pt>
              </c:strCache>
            </c:strRef>
          </c:cat>
          <c:val>
            <c:numRef>
              <c:f>'Pivot tables'!$C$11:$C$21</c:f>
              <c:numCache>
                <c:formatCode>General</c:formatCode>
                <c:ptCount val="10"/>
                <c:pt idx="0">
                  <c:v>97</c:v>
                </c:pt>
                <c:pt idx="1">
                  <c:v>48</c:v>
                </c:pt>
                <c:pt idx="2">
                  <c:v>47</c:v>
                </c:pt>
                <c:pt idx="3">
                  <c:v>70</c:v>
                </c:pt>
                <c:pt idx="4">
                  <c:v>29</c:v>
                </c:pt>
                <c:pt idx="5">
                  <c:v>20</c:v>
                </c:pt>
                <c:pt idx="6">
                  <c:v>26</c:v>
                </c:pt>
                <c:pt idx="7">
                  <c:v>21</c:v>
                </c:pt>
                <c:pt idx="8">
                  <c:v>21</c:v>
                </c:pt>
                <c:pt idx="9">
                  <c:v>19</c:v>
                </c:pt>
              </c:numCache>
            </c:numRef>
          </c:val>
          <c:smooth val="0"/>
          <c:extLst>
            <c:ext xmlns:c16="http://schemas.microsoft.com/office/drawing/2014/chart" uri="{C3380CC4-5D6E-409C-BE32-E72D297353CC}">
              <c16:uniqueId val="{00000001-B724-4CE4-AB50-EE11B8F74034}"/>
            </c:ext>
          </c:extLst>
        </c:ser>
        <c:dLbls>
          <c:showLegendKey val="0"/>
          <c:showVal val="0"/>
          <c:showCatName val="0"/>
          <c:showSerName val="0"/>
          <c:showPercent val="0"/>
          <c:showBubbleSize val="0"/>
        </c:dLbls>
        <c:marker val="1"/>
        <c:smooth val="0"/>
        <c:axId val="495281256"/>
        <c:axId val="495279296"/>
      </c:lineChart>
      <c:catAx>
        <c:axId val="49527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80864"/>
        <c:crosses val="autoZero"/>
        <c:auto val="1"/>
        <c:lblAlgn val="ctr"/>
        <c:lblOffset val="100"/>
        <c:noMultiLvlLbl val="0"/>
      </c:catAx>
      <c:valAx>
        <c:axId val="495280864"/>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76160"/>
        <c:crosses val="autoZero"/>
        <c:crossBetween val="between"/>
      </c:valAx>
      <c:valAx>
        <c:axId val="4952792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81256"/>
        <c:crosses val="max"/>
        <c:crossBetween val="between"/>
      </c:valAx>
      <c:catAx>
        <c:axId val="495281256"/>
        <c:scaling>
          <c:orientation val="minMax"/>
        </c:scaling>
        <c:delete val="1"/>
        <c:axPos val="b"/>
        <c:numFmt formatCode="General" sourceLinked="1"/>
        <c:majorTickMark val="out"/>
        <c:minorTickMark val="none"/>
        <c:tickLblPos val="nextTo"/>
        <c:crossAx val="4952792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lgn="ctr">
        <a:defRPr lang="en-US" sz="1100" b="1" i="0" u="none" strike="noStrike" kern="1200" baseline="0">
          <a:solidFill>
            <a:srgbClr val="F4EAE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tables.xlsx]Pivot tables!PivotTable3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AF6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4DFC8"/>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c:f>
              <c:strCache>
                <c:ptCount val="1"/>
                <c:pt idx="0">
                  <c:v>Sum of Item amount</c:v>
                </c:pt>
              </c:strCache>
            </c:strRef>
          </c:tx>
          <c:spPr>
            <a:solidFill>
              <a:srgbClr val="FAF6F0"/>
            </a:solidFill>
            <a:ln>
              <a:noFill/>
            </a:ln>
            <a:effectLst/>
          </c:spPr>
          <c:invertIfNegative val="0"/>
          <c:cat>
            <c:strRef>
              <c:f>'Pivot tables'!$A$27:$A$31</c:f>
              <c:strCache>
                <c:ptCount val="4"/>
                <c:pt idx="0">
                  <c:v>Casual Wear</c:v>
                </c:pt>
                <c:pt idx="1">
                  <c:v>Semi Formal</c:v>
                </c:pt>
                <c:pt idx="2">
                  <c:v>Formal</c:v>
                </c:pt>
                <c:pt idx="3">
                  <c:v>Accessories</c:v>
                </c:pt>
              </c:strCache>
            </c:strRef>
          </c:cat>
          <c:val>
            <c:numRef>
              <c:f>'Pivot tables'!$B$27:$B$31</c:f>
              <c:numCache>
                <c:formatCode>[$EGP]\ #,##0</c:formatCode>
                <c:ptCount val="4"/>
                <c:pt idx="0">
                  <c:v>221200</c:v>
                </c:pt>
                <c:pt idx="1">
                  <c:v>62800</c:v>
                </c:pt>
                <c:pt idx="2">
                  <c:v>41850</c:v>
                </c:pt>
                <c:pt idx="3">
                  <c:v>25000</c:v>
                </c:pt>
              </c:numCache>
            </c:numRef>
          </c:val>
          <c:extLst>
            <c:ext xmlns:c16="http://schemas.microsoft.com/office/drawing/2014/chart" uri="{C3380CC4-5D6E-409C-BE32-E72D297353CC}">
              <c16:uniqueId val="{00000000-901A-49B8-A7D3-E497747D38BA}"/>
            </c:ext>
          </c:extLst>
        </c:ser>
        <c:dLbls>
          <c:showLegendKey val="0"/>
          <c:showVal val="0"/>
          <c:showCatName val="0"/>
          <c:showSerName val="0"/>
          <c:showPercent val="0"/>
          <c:showBubbleSize val="0"/>
        </c:dLbls>
        <c:gapWidth val="219"/>
        <c:overlap val="-27"/>
        <c:axId val="495276552"/>
        <c:axId val="495276944"/>
      </c:barChart>
      <c:lineChart>
        <c:grouping val="standard"/>
        <c:varyColors val="0"/>
        <c:ser>
          <c:idx val="1"/>
          <c:order val="1"/>
          <c:tx>
            <c:strRef>
              <c:f>'Pivot tables'!$C$26</c:f>
              <c:strCache>
                <c:ptCount val="1"/>
                <c:pt idx="0">
                  <c:v>Sum of Item amount2</c:v>
                </c:pt>
              </c:strCache>
            </c:strRef>
          </c:tx>
          <c:spPr>
            <a:ln w="28575" cap="rnd">
              <a:solidFill>
                <a:srgbClr val="F4DFC8"/>
              </a:solidFill>
              <a:round/>
            </a:ln>
            <a:effectLst/>
          </c:spPr>
          <c:marker>
            <c:symbol val="circle"/>
            <c:size val="5"/>
            <c:spPr>
              <a:solidFill>
                <a:schemeClr val="accent2"/>
              </a:solidFill>
              <a:ln w="9525">
                <a:solidFill>
                  <a:schemeClr val="accent2"/>
                </a:solidFill>
              </a:ln>
              <a:effectLst/>
            </c:spPr>
          </c:marker>
          <c:cat>
            <c:strRef>
              <c:f>'Pivot tables'!$A$27:$A$31</c:f>
              <c:strCache>
                <c:ptCount val="4"/>
                <c:pt idx="0">
                  <c:v>Casual Wear</c:v>
                </c:pt>
                <c:pt idx="1">
                  <c:v>Semi Formal</c:v>
                </c:pt>
                <c:pt idx="2">
                  <c:v>Formal</c:v>
                </c:pt>
                <c:pt idx="3">
                  <c:v>Accessories</c:v>
                </c:pt>
              </c:strCache>
            </c:strRef>
          </c:cat>
          <c:val>
            <c:numRef>
              <c:f>'Pivot tables'!$C$27:$C$31</c:f>
              <c:numCache>
                <c:formatCode>0.00%</c:formatCode>
                <c:ptCount val="4"/>
                <c:pt idx="0">
                  <c:v>0.63046886133675362</c:v>
                </c:pt>
                <c:pt idx="1">
                  <c:v>0.17899387202508193</c:v>
                </c:pt>
                <c:pt idx="2">
                  <c:v>0.11928174433518597</c:v>
                </c:pt>
                <c:pt idx="3">
                  <c:v>7.1255522302978477E-2</c:v>
                </c:pt>
              </c:numCache>
            </c:numRef>
          </c:val>
          <c:smooth val="0"/>
          <c:extLst>
            <c:ext xmlns:c16="http://schemas.microsoft.com/office/drawing/2014/chart" uri="{C3380CC4-5D6E-409C-BE32-E72D297353CC}">
              <c16:uniqueId val="{00000001-901A-49B8-A7D3-E497747D38BA}"/>
            </c:ext>
          </c:extLst>
        </c:ser>
        <c:dLbls>
          <c:showLegendKey val="0"/>
          <c:showVal val="0"/>
          <c:showCatName val="0"/>
          <c:showSerName val="0"/>
          <c:showPercent val="0"/>
          <c:showBubbleSize val="0"/>
        </c:dLbls>
        <c:marker val="1"/>
        <c:smooth val="0"/>
        <c:axId val="495280472"/>
        <c:axId val="495279688"/>
      </c:lineChart>
      <c:catAx>
        <c:axId val="49527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76944"/>
        <c:crosses val="autoZero"/>
        <c:auto val="1"/>
        <c:lblAlgn val="ctr"/>
        <c:lblOffset val="100"/>
        <c:noMultiLvlLbl val="0"/>
      </c:catAx>
      <c:valAx>
        <c:axId val="495276944"/>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76552"/>
        <c:crosses val="autoZero"/>
        <c:crossBetween val="between"/>
      </c:valAx>
      <c:valAx>
        <c:axId val="4952796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80472"/>
        <c:crosses val="max"/>
        <c:crossBetween val="between"/>
      </c:valAx>
      <c:catAx>
        <c:axId val="495280472"/>
        <c:scaling>
          <c:orientation val="minMax"/>
        </c:scaling>
        <c:delete val="1"/>
        <c:axPos val="b"/>
        <c:numFmt formatCode="General" sourceLinked="1"/>
        <c:majorTickMark val="out"/>
        <c:minorTickMark val="none"/>
        <c:tickLblPos val="nextTo"/>
        <c:crossAx val="495279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lgn="ctr">
        <a:defRPr lang="en-US" sz="1100" b="1" i="0" u="none" strike="noStrike" kern="1200" baseline="0">
          <a:solidFill>
            <a:srgbClr val="F4EAE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tables.xlsx]Pivot tables!PivotTable4</c:name>
    <c:fmtId val="3"/>
  </c:pivotSource>
  <c:chart>
    <c:title>
      <c:tx>
        <c:rich>
          <a:bodyPr rot="0" spcFirstLastPara="1" vertOverflow="ellipsis" vert="horz" wrap="square" anchor="ctr" anchorCtr="1"/>
          <a:lstStyle/>
          <a:p>
            <a:pPr>
              <a:defRPr lang="en-US" sz="1320" b="1" i="0" u="none" strike="noStrike" kern="1200" spc="0" baseline="0">
                <a:solidFill>
                  <a:srgbClr val="F4EAE0"/>
                </a:solidFill>
                <a:latin typeface="+mn-lt"/>
                <a:ea typeface="+mn-ea"/>
                <a:cs typeface="+mn-cs"/>
              </a:defRPr>
            </a:pPr>
            <a:r>
              <a:rPr lang="en-US" sz="3000"/>
              <a:t>Order Types Analysis</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rgbClr val="F4EAE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DF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tables'!$B$37</c:f>
              <c:strCache>
                <c:ptCount val="1"/>
                <c:pt idx="0">
                  <c:v>Total</c:v>
                </c:pt>
              </c:strCache>
            </c:strRef>
          </c:tx>
          <c:spPr>
            <a:solidFill>
              <a:srgbClr val="F4DF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tables'!$A$38:$A$40</c:f>
              <c:strCache>
                <c:ptCount val="2"/>
                <c:pt idx="0">
                  <c:v>On Shop</c:v>
                </c:pt>
                <c:pt idx="1">
                  <c:v>Online Order</c:v>
                </c:pt>
              </c:strCache>
            </c:strRef>
          </c:cat>
          <c:val>
            <c:numRef>
              <c:f>'Pivot tables'!$B$38:$B$40</c:f>
              <c:numCache>
                <c:formatCode>[$EGP]\ #,##0</c:formatCode>
                <c:ptCount val="2"/>
                <c:pt idx="0">
                  <c:v>323500</c:v>
                </c:pt>
                <c:pt idx="1">
                  <c:v>27350</c:v>
                </c:pt>
              </c:numCache>
            </c:numRef>
          </c:val>
          <c:extLst>
            <c:ext xmlns:c16="http://schemas.microsoft.com/office/drawing/2014/chart" uri="{C3380CC4-5D6E-409C-BE32-E72D297353CC}">
              <c16:uniqueId val="{00000000-F958-45CE-BDEE-5261292DE706}"/>
            </c:ext>
          </c:extLst>
        </c:ser>
        <c:dLbls>
          <c:showLegendKey val="0"/>
          <c:showVal val="0"/>
          <c:showCatName val="0"/>
          <c:showSerName val="0"/>
          <c:showPercent val="0"/>
          <c:showBubbleSize val="0"/>
        </c:dLbls>
        <c:gapWidth val="219"/>
        <c:overlap val="-27"/>
        <c:axId val="495824024"/>
        <c:axId val="495826768"/>
      </c:barChart>
      <c:catAx>
        <c:axId val="495824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826768"/>
        <c:crosses val="autoZero"/>
        <c:auto val="1"/>
        <c:lblAlgn val="ctr"/>
        <c:lblOffset val="100"/>
        <c:noMultiLvlLbl val="0"/>
      </c:catAx>
      <c:valAx>
        <c:axId val="495826768"/>
        <c:scaling>
          <c:orientation val="minMax"/>
        </c:scaling>
        <c:delete val="1"/>
        <c:axPos val="l"/>
        <c:numFmt formatCode="[$EGP]\ #,##0" sourceLinked="1"/>
        <c:majorTickMark val="none"/>
        <c:minorTickMark val="none"/>
        <c:tickLblPos val="nextTo"/>
        <c:crossAx val="495824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lgn="ctr">
        <a:defRPr lang="en-US" sz="1100" b="1" i="0" u="none" strike="noStrike" kern="1200" baseline="0">
          <a:solidFill>
            <a:srgbClr val="F4EAE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tables.xlsx]Pivot tables!PivotTable5</c:name>
    <c:fmtId val="3"/>
  </c:pivotSource>
  <c:chart>
    <c:title>
      <c:tx>
        <c:rich>
          <a:bodyPr rot="0" spcFirstLastPara="1" vertOverflow="ellipsis" vert="horz" wrap="square" anchor="ctr" anchorCtr="1"/>
          <a:lstStyle/>
          <a:p>
            <a:pPr>
              <a:defRPr lang="en-US" sz="1320" b="1" i="0" u="none" strike="noStrike" kern="1200" spc="0" baseline="0">
                <a:solidFill>
                  <a:srgbClr val="F4EAE0"/>
                </a:solidFill>
                <a:latin typeface="+mn-lt"/>
                <a:ea typeface="+mn-ea"/>
                <a:cs typeface="+mn-cs"/>
              </a:defRPr>
            </a:pPr>
            <a:r>
              <a:rPr lang="en-US" sz="3000"/>
              <a:t>Monthly Sales</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rgbClr val="F4EAE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AF6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AF6F0"/>
            </a:solidFill>
            <a:round/>
          </a:ln>
          <a:effectLst/>
        </c:spPr>
        <c:marker>
          <c:symbol val="none"/>
        </c:marker>
        <c:dLbl>
          <c:idx val="0"/>
          <c:layout>
            <c:manualLayout>
              <c:x val="-1.6411108873428419E-3"/>
              <c:y val="-4.70268043527566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AF6F0"/>
            </a:solidFill>
            <a:round/>
          </a:ln>
          <a:effectLst/>
        </c:spPr>
        <c:marker>
          <c:symbol val="none"/>
        </c:marker>
        <c:dLbl>
          <c:idx val="0"/>
          <c:layout>
            <c:manualLayout>
              <c:x val="-3.0086685370661967E-17"/>
              <c:y val="4.7026804352756579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AF6F0"/>
            </a:solidFill>
            <a:round/>
          </a:ln>
          <a:effectLst/>
        </c:spPr>
        <c:marker>
          <c:symbol val="none"/>
        </c:marker>
        <c:dLbl>
          <c:idx val="0"/>
          <c:layout>
            <c:manualLayout>
              <c:x val="-8.2055544367142094E-4"/>
              <c:y val="5.5844330168898379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AF6F0"/>
            </a:solidFill>
            <a:round/>
          </a:ln>
          <a:effectLst/>
        </c:spPr>
        <c:marker>
          <c:symbol val="none"/>
        </c:marker>
        <c:dLbl>
          <c:idx val="0"/>
          <c:layout>
            <c:manualLayout>
              <c:x val="8.2055544367142094E-4"/>
              <c:y val="6.7601031257087579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AF6F0"/>
            </a:solidFill>
            <a:round/>
          </a:ln>
          <a:effectLst/>
        </c:spPr>
        <c:marker>
          <c:symbol val="none"/>
        </c:marker>
        <c:dLbl>
          <c:idx val="0"/>
          <c:layout>
            <c:manualLayout>
              <c:x val="4.1027772183571043E-3"/>
              <c:y val="-6.7601031257087579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tables'!$B$45</c:f>
              <c:strCache>
                <c:ptCount val="1"/>
                <c:pt idx="0">
                  <c:v>Total</c:v>
                </c:pt>
              </c:strCache>
            </c:strRef>
          </c:tx>
          <c:spPr>
            <a:ln w="28575" cap="rnd">
              <a:solidFill>
                <a:srgbClr val="FAF6F0"/>
              </a:solidFill>
              <a:round/>
            </a:ln>
            <a:effectLst/>
          </c:spPr>
          <c:marker>
            <c:symbol val="none"/>
          </c:marker>
          <c:dPt>
            <c:idx val="0"/>
            <c:marker>
              <c:symbol val="none"/>
            </c:marker>
            <c:bubble3D val="0"/>
            <c:extLst>
              <c:ext xmlns:c16="http://schemas.microsoft.com/office/drawing/2014/chart" uri="{C3380CC4-5D6E-409C-BE32-E72D297353CC}">
                <c16:uniqueId val="{00000000-7DA1-4204-8BDF-8BDF23A423D8}"/>
              </c:ext>
            </c:extLst>
          </c:dPt>
          <c:dPt>
            <c:idx val="1"/>
            <c:marker>
              <c:symbol val="none"/>
            </c:marker>
            <c:bubble3D val="0"/>
            <c:extLst>
              <c:ext xmlns:c16="http://schemas.microsoft.com/office/drawing/2014/chart" uri="{C3380CC4-5D6E-409C-BE32-E72D297353CC}">
                <c16:uniqueId val="{00000001-7DA1-4204-8BDF-8BDF23A423D8}"/>
              </c:ext>
            </c:extLst>
          </c:dPt>
          <c:dPt>
            <c:idx val="3"/>
            <c:marker>
              <c:symbol val="none"/>
            </c:marker>
            <c:bubble3D val="0"/>
            <c:extLst>
              <c:ext xmlns:c16="http://schemas.microsoft.com/office/drawing/2014/chart" uri="{C3380CC4-5D6E-409C-BE32-E72D297353CC}">
                <c16:uniqueId val="{00000002-7DA1-4204-8BDF-8BDF23A423D8}"/>
              </c:ext>
            </c:extLst>
          </c:dPt>
          <c:dPt>
            <c:idx val="4"/>
            <c:marker>
              <c:symbol val="none"/>
            </c:marker>
            <c:bubble3D val="0"/>
            <c:extLst>
              <c:ext xmlns:c16="http://schemas.microsoft.com/office/drawing/2014/chart" uri="{C3380CC4-5D6E-409C-BE32-E72D297353CC}">
                <c16:uniqueId val="{00000003-7DA1-4204-8BDF-8BDF23A423D8}"/>
              </c:ext>
            </c:extLst>
          </c:dPt>
          <c:dPt>
            <c:idx val="5"/>
            <c:marker>
              <c:symbol val="none"/>
            </c:marker>
            <c:bubble3D val="0"/>
            <c:extLst>
              <c:ext xmlns:c16="http://schemas.microsoft.com/office/drawing/2014/chart" uri="{C3380CC4-5D6E-409C-BE32-E72D297353CC}">
                <c16:uniqueId val="{00000004-7DA1-4204-8BDF-8BDF23A423D8}"/>
              </c:ext>
            </c:extLst>
          </c:dPt>
          <c:dLbls>
            <c:dLbl>
              <c:idx val="0"/>
              <c:layout>
                <c:manualLayout>
                  <c:x val="-1.6411108873428419E-3"/>
                  <c:y val="-4.702680435275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A1-4204-8BDF-8BDF23A423D8}"/>
                </c:ext>
              </c:extLst>
            </c:dLbl>
            <c:dLbl>
              <c:idx val="1"/>
              <c:layout>
                <c:manualLayout>
                  <c:x val="-3.0086685370661967E-17"/>
                  <c:y val="4.7026804352756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A1-4204-8BDF-8BDF23A423D8}"/>
                </c:ext>
              </c:extLst>
            </c:dLbl>
            <c:dLbl>
              <c:idx val="3"/>
              <c:layout>
                <c:manualLayout>
                  <c:x val="-8.2055544367142094E-4"/>
                  <c:y val="5.5844330168898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A1-4204-8BDF-8BDF23A423D8}"/>
                </c:ext>
              </c:extLst>
            </c:dLbl>
            <c:dLbl>
              <c:idx val="4"/>
              <c:layout>
                <c:manualLayout>
                  <c:x val="8.2055544367142094E-4"/>
                  <c:y val="6.7601031257087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A1-4204-8BDF-8BDF23A423D8}"/>
                </c:ext>
              </c:extLst>
            </c:dLbl>
            <c:dLbl>
              <c:idx val="5"/>
              <c:layout>
                <c:manualLayout>
                  <c:x val="4.1027772183571043E-3"/>
                  <c:y val="-6.7601031257087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A1-4204-8BDF-8BDF23A423D8}"/>
                </c:ext>
              </c:extLst>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tables'!$A$46:$A$58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tables'!$B$46:$B$58</c:f>
              <c:numCache>
                <c:formatCode>[$EGP]\ #,##0</c:formatCode>
                <c:ptCount val="12"/>
                <c:pt idx="0">
                  <c:v>34200</c:v>
                </c:pt>
                <c:pt idx="1">
                  <c:v>28100</c:v>
                </c:pt>
                <c:pt idx="2">
                  <c:v>31750</c:v>
                </c:pt>
                <c:pt idx="3">
                  <c:v>25150</c:v>
                </c:pt>
                <c:pt idx="4">
                  <c:v>30050</c:v>
                </c:pt>
                <c:pt idx="5">
                  <c:v>30800</c:v>
                </c:pt>
                <c:pt idx="6">
                  <c:v>27150</c:v>
                </c:pt>
                <c:pt idx="7">
                  <c:v>24150</c:v>
                </c:pt>
                <c:pt idx="8">
                  <c:v>27050</c:v>
                </c:pt>
                <c:pt idx="9">
                  <c:v>30250</c:v>
                </c:pt>
                <c:pt idx="10">
                  <c:v>29150</c:v>
                </c:pt>
                <c:pt idx="11">
                  <c:v>33050</c:v>
                </c:pt>
              </c:numCache>
            </c:numRef>
          </c:val>
          <c:smooth val="0"/>
          <c:extLst>
            <c:ext xmlns:c16="http://schemas.microsoft.com/office/drawing/2014/chart" uri="{C3380CC4-5D6E-409C-BE32-E72D297353CC}">
              <c16:uniqueId val="{00000000-0683-4F48-B6DB-7A6156B6C401}"/>
            </c:ext>
          </c:extLst>
        </c:ser>
        <c:dLbls>
          <c:showLegendKey val="0"/>
          <c:showVal val="0"/>
          <c:showCatName val="0"/>
          <c:showSerName val="0"/>
          <c:showPercent val="0"/>
          <c:showBubbleSize val="0"/>
        </c:dLbls>
        <c:smooth val="0"/>
        <c:axId val="495823240"/>
        <c:axId val="495829120"/>
      </c:lineChart>
      <c:catAx>
        <c:axId val="49582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829120"/>
        <c:crosses val="autoZero"/>
        <c:auto val="1"/>
        <c:lblAlgn val="ctr"/>
        <c:lblOffset val="100"/>
        <c:noMultiLvlLbl val="0"/>
      </c:catAx>
      <c:valAx>
        <c:axId val="495829120"/>
        <c:scaling>
          <c:orientation val="minMax"/>
        </c:scaling>
        <c:delete val="1"/>
        <c:axPos val="l"/>
        <c:numFmt formatCode="[$EGP]\ #,##0" sourceLinked="1"/>
        <c:majorTickMark val="none"/>
        <c:minorTickMark val="none"/>
        <c:tickLblPos val="nextTo"/>
        <c:crossAx val="495823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lgn="ctr">
        <a:defRPr lang="en-US" sz="1100" b="1" i="0" u="none" strike="noStrike" kern="1200" baseline="0">
          <a:solidFill>
            <a:srgbClr val="F4EAE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 &amp; question answers with PT'!$B$7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'KPIs &amp; question answers with PT'!$A$8:$A$13</c:f>
              <c:multiLvlStrCache>
                <c:ptCount val="4"/>
                <c:lvl>
                  <c:pt idx="0">
                    <c:v>Qtr1</c:v>
                  </c:pt>
                  <c:pt idx="1">
                    <c:v>Qtr2</c:v>
                  </c:pt>
                  <c:pt idx="2">
                    <c:v>Qtr3</c:v>
                  </c:pt>
                  <c:pt idx="3">
                    <c:v>Qtr4</c:v>
                  </c:pt>
                </c:lvl>
                <c:lvl>
                  <c:pt idx="0">
                    <c:v>2019</c:v>
                  </c:pt>
                </c:lvl>
              </c:multiLvlStrCache>
            </c:multiLvlStrRef>
          </c:cat>
          <c:val>
            <c:numRef>
              <c:f>'KPIs &amp; question answers with PT'!$B$8:$B$13</c:f>
              <c:numCache>
                <c:formatCode>_(* #,##0_);_(* \(#,##0\);_(* "-"??_);_(@_)</c:formatCode>
                <c:ptCount val="4"/>
                <c:pt idx="0">
                  <c:v>94050</c:v>
                </c:pt>
                <c:pt idx="1">
                  <c:v>86000</c:v>
                </c:pt>
                <c:pt idx="2">
                  <c:v>78350</c:v>
                </c:pt>
                <c:pt idx="3">
                  <c:v>92450</c:v>
                </c:pt>
              </c:numCache>
            </c:numRef>
          </c:val>
          <c:smooth val="0"/>
          <c:extLst>
            <c:ext xmlns:c16="http://schemas.microsoft.com/office/drawing/2014/chart" uri="{C3380CC4-5D6E-409C-BE32-E72D297353CC}">
              <c16:uniqueId val="{00000000-49B5-42C9-9FD6-D7205523CE60}"/>
            </c:ext>
          </c:extLst>
        </c:ser>
        <c:dLbls>
          <c:showLegendKey val="0"/>
          <c:showVal val="0"/>
          <c:showCatName val="0"/>
          <c:showSerName val="0"/>
          <c:showPercent val="0"/>
          <c:showBubbleSize val="0"/>
        </c:dLbls>
        <c:smooth val="0"/>
        <c:axId val="1102618671"/>
        <c:axId val="1102626351"/>
      </c:lineChart>
      <c:catAx>
        <c:axId val="110261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626351"/>
        <c:crosses val="autoZero"/>
        <c:auto val="1"/>
        <c:lblAlgn val="ctr"/>
        <c:lblOffset val="100"/>
        <c:noMultiLvlLbl val="0"/>
      </c:catAx>
      <c:valAx>
        <c:axId val="1102626351"/>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10261867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 &amp; question answers with PT'!$B$27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question answers with PT'!$A$28:$A$38</c:f>
              <c:strCache>
                <c:ptCount val="10"/>
                <c:pt idx="0">
                  <c:v> Chain</c:v>
                </c:pt>
                <c:pt idx="1">
                  <c:v> Jeans - Denim</c:v>
                </c:pt>
                <c:pt idx="2">
                  <c:v> Jeans - Lega</c:v>
                </c:pt>
                <c:pt idx="3">
                  <c:v> Jeans - Levis</c:v>
                </c:pt>
                <c:pt idx="4">
                  <c:v> Jeans - Zara</c:v>
                </c:pt>
                <c:pt idx="5">
                  <c:v> shirt</c:v>
                </c:pt>
                <c:pt idx="6">
                  <c:v> Shirt - Arrow</c:v>
                </c:pt>
                <c:pt idx="7">
                  <c:v> Shirt - PE</c:v>
                </c:pt>
                <c:pt idx="8">
                  <c:v> T-shirt</c:v>
                </c:pt>
                <c:pt idx="9">
                  <c:v> Wallet</c:v>
                </c:pt>
              </c:strCache>
            </c:strRef>
          </c:cat>
          <c:val>
            <c:numRef>
              <c:f>'KPIs &amp; question answers with PT'!$B$28:$B$38</c:f>
              <c:numCache>
                <c:formatCode>General</c:formatCode>
                <c:ptCount val="10"/>
                <c:pt idx="0">
                  <c:v>18</c:v>
                </c:pt>
                <c:pt idx="1">
                  <c:v>41</c:v>
                </c:pt>
                <c:pt idx="2">
                  <c:v>29</c:v>
                </c:pt>
                <c:pt idx="3">
                  <c:v>82</c:v>
                </c:pt>
                <c:pt idx="4">
                  <c:v>43</c:v>
                </c:pt>
                <c:pt idx="5">
                  <c:v>21</c:v>
                </c:pt>
                <c:pt idx="6">
                  <c:v>19</c:v>
                </c:pt>
                <c:pt idx="7">
                  <c:v>23</c:v>
                </c:pt>
                <c:pt idx="8">
                  <c:v>68</c:v>
                </c:pt>
                <c:pt idx="9">
                  <c:v>21</c:v>
                </c:pt>
              </c:numCache>
            </c:numRef>
          </c:val>
          <c:extLst>
            <c:ext xmlns:c16="http://schemas.microsoft.com/office/drawing/2014/chart" uri="{C3380CC4-5D6E-409C-BE32-E72D297353CC}">
              <c16:uniqueId val="{00000000-32B3-401A-8C21-B327DBD52E98}"/>
            </c:ext>
          </c:extLst>
        </c:ser>
        <c:dLbls>
          <c:showLegendKey val="0"/>
          <c:showVal val="0"/>
          <c:showCatName val="0"/>
          <c:showSerName val="0"/>
          <c:showPercent val="0"/>
          <c:showBubbleSize val="0"/>
        </c:dLbls>
        <c:gapWidth val="150"/>
        <c:shape val="box"/>
        <c:axId val="1102590351"/>
        <c:axId val="1102596111"/>
        <c:axId val="1178578959"/>
      </c:bar3DChart>
      <c:catAx>
        <c:axId val="1102590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96111"/>
        <c:crosses val="autoZero"/>
        <c:auto val="1"/>
        <c:lblAlgn val="ctr"/>
        <c:lblOffset val="100"/>
        <c:noMultiLvlLbl val="0"/>
      </c:catAx>
      <c:valAx>
        <c:axId val="11025961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02590351"/>
        <c:crosses val="autoZero"/>
        <c:crossBetween val="between"/>
      </c:valAx>
      <c:serAx>
        <c:axId val="1178578959"/>
        <c:scaling>
          <c:orientation val="minMax"/>
        </c:scaling>
        <c:delete val="1"/>
        <c:axPos val="b"/>
        <c:majorTickMark val="none"/>
        <c:minorTickMark val="none"/>
        <c:tickLblPos val="nextTo"/>
        <c:crossAx val="110259611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 &amp; question answers with PT'!$B$66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'KPIs &amp; question answers with PT'!$A$67:$A$70</c:f>
              <c:multiLvlStrCache>
                <c:ptCount val="2"/>
                <c:lvl>
                  <c:pt idx="0">
                    <c:v>On Shop</c:v>
                  </c:pt>
                  <c:pt idx="1">
                    <c:v>Online Order</c:v>
                  </c:pt>
                </c:lvl>
                <c:lvl>
                  <c:pt idx="0">
                    <c:v>2019</c:v>
                  </c:pt>
                </c:lvl>
              </c:multiLvlStrCache>
            </c:multiLvlStrRef>
          </c:cat>
          <c:val>
            <c:numRef>
              <c:f>'KPIs &amp; question answers with PT'!$B$67:$B$70</c:f>
              <c:numCache>
                <c:formatCode>_(* #,##0_);_(* \(#,##0\);_(* "-"??_);_(@_)</c:formatCode>
                <c:ptCount val="2"/>
                <c:pt idx="0">
                  <c:v>323500</c:v>
                </c:pt>
                <c:pt idx="1">
                  <c:v>27350</c:v>
                </c:pt>
              </c:numCache>
            </c:numRef>
          </c:val>
          <c:extLst>
            <c:ext xmlns:c16="http://schemas.microsoft.com/office/drawing/2014/chart" uri="{C3380CC4-5D6E-409C-BE32-E72D297353CC}">
              <c16:uniqueId val="{00000000-4823-48CE-8019-DE91745F28D5}"/>
            </c:ext>
          </c:extLst>
        </c:ser>
        <c:dLbls>
          <c:showLegendKey val="0"/>
          <c:showVal val="0"/>
          <c:showCatName val="0"/>
          <c:showSerName val="0"/>
          <c:showPercent val="0"/>
          <c:showBubbleSize val="0"/>
        </c:dLbls>
        <c:gapWidth val="150"/>
        <c:shape val="box"/>
        <c:axId val="1588479583"/>
        <c:axId val="1588463263"/>
        <c:axId val="0"/>
      </c:bar3DChart>
      <c:catAx>
        <c:axId val="158847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463263"/>
        <c:crosses val="autoZero"/>
        <c:auto val="1"/>
        <c:lblAlgn val="ctr"/>
        <c:lblOffset val="100"/>
        <c:noMultiLvlLbl val="0"/>
      </c:catAx>
      <c:valAx>
        <c:axId val="1588463263"/>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588479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'KPIs &amp; question answers with PT'!$B$80</c:f>
              <c:strCache>
                <c:ptCount val="1"/>
                <c:pt idx="0">
                  <c:v>Total</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8983-4045-9A77-BB0DFFE717C2}"/>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983-4045-9A77-BB0DFFE717C2}"/>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8983-4045-9A77-BB0DFFE717C2}"/>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983-4045-9A77-BB0DFFE717C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&amp; question answers with PT'!$A$81:$A$85</c:f>
              <c:strCache>
                <c:ptCount val="4"/>
                <c:pt idx="0">
                  <c:v>Accessories</c:v>
                </c:pt>
                <c:pt idx="1">
                  <c:v>Casual Wear</c:v>
                </c:pt>
                <c:pt idx="2">
                  <c:v>Formal</c:v>
                </c:pt>
                <c:pt idx="3">
                  <c:v>Semi Formal</c:v>
                </c:pt>
              </c:strCache>
            </c:strRef>
          </c:cat>
          <c:val>
            <c:numRef>
              <c:f>'KPIs &amp; question answers with PT'!$B$81:$B$85</c:f>
              <c:numCache>
                <c:formatCode>_(* #,##0_);_(* \(#,##0\);_(* "-"??_);_(@_)</c:formatCode>
                <c:ptCount val="4"/>
                <c:pt idx="0">
                  <c:v>25000</c:v>
                </c:pt>
                <c:pt idx="1">
                  <c:v>221300</c:v>
                </c:pt>
                <c:pt idx="2">
                  <c:v>41650</c:v>
                </c:pt>
                <c:pt idx="3">
                  <c:v>62900</c:v>
                </c:pt>
              </c:numCache>
            </c:numRef>
          </c:val>
          <c:extLst>
            <c:ext xmlns:c16="http://schemas.microsoft.com/office/drawing/2014/chart" uri="{C3380CC4-5D6E-409C-BE32-E72D297353CC}">
              <c16:uniqueId val="{00000000-8983-4045-9A77-BB0DFFE717C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PT!PivotTable8</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'KPIs &amp; question answers with PT'!$B$89</c:f>
              <c:strCache>
                <c:ptCount val="1"/>
                <c:pt idx="0">
                  <c:v>Percentage</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question answers with PT'!$A$90:$A$100</c:f>
              <c:strCache>
                <c:ptCount val="10"/>
                <c:pt idx="0">
                  <c:v> Chain</c:v>
                </c:pt>
                <c:pt idx="1">
                  <c:v> Jeans - Denim</c:v>
                </c:pt>
                <c:pt idx="2">
                  <c:v> Jeans - Lega</c:v>
                </c:pt>
                <c:pt idx="3">
                  <c:v> Jeans - Levis</c:v>
                </c:pt>
                <c:pt idx="4">
                  <c:v> Jeans - Zara</c:v>
                </c:pt>
                <c:pt idx="5">
                  <c:v> shirt</c:v>
                </c:pt>
                <c:pt idx="6">
                  <c:v> Shirt - Arrow</c:v>
                </c:pt>
                <c:pt idx="7">
                  <c:v> Shirt - PE</c:v>
                </c:pt>
                <c:pt idx="8">
                  <c:v> T-shirt</c:v>
                </c:pt>
                <c:pt idx="9">
                  <c:v> Wallet</c:v>
                </c:pt>
              </c:strCache>
            </c:strRef>
          </c:cat>
          <c:val>
            <c:numRef>
              <c:f>'KPIs &amp; question answers with PT'!$B$90:$B$100</c:f>
              <c:numCache>
                <c:formatCode>0.00%</c:formatCode>
                <c:ptCount val="10"/>
                <c:pt idx="0">
                  <c:v>3.2492518170158184E-2</c:v>
                </c:pt>
                <c:pt idx="1">
                  <c:v>0.12341456462875873</c:v>
                </c:pt>
                <c:pt idx="2">
                  <c:v>8.2656405871455035E-2</c:v>
                </c:pt>
                <c:pt idx="3">
                  <c:v>0.30411856918911218</c:v>
                </c:pt>
                <c:pt idx="4">
                  <c:v>0.12056434373663959</c:v>
                </c:pt>
                <c:pt idx="5">
                  <c:v>5.0876442924326637E-2</c:v>
                </c:pt>
                <c:pt idx="6">
                  <c:v>6.7835257232435511E-2</c:v>
                </c:pt>
                <c:pt idx="7">
                  <c:v>5.9284594556078096E-2</c:v>
                </c:pt>
                <c:pt idx="8">
                  <c:v>0.11999429955821576</c:v>
                </c:pt>
                <c:pt idx="9">
                  <c:v>3.8763004132820293E-2</c:v>
                </c:pt>
              </c:numCache>
            </c:numRef>
          </c:val>
          <c:extLst>
            <c:ext xmlns:c16="http://schemas.microsoft.com/office/drawing/2014/chart" uri="{C3380CC4-5D6E-409C-BE32-E72D297353CC}">
              <c16:uniqueId val="{00000000-CFF6-4BF5-98DA-69FE87BB7A45}"/>
            </c:ext>
          </c:extLst>
        </c:ser>
        <c:dLbls>
          <c:showLegendKey val="0"/>
          <c:showVal val="0"/>
          <c:showCatName val="0"/>
          <c:showSerName val="0"/>
          <c:showPercent val="0"/>
          <c:showBubbleSize val="0"/>
        </c:dLbls>
        <c:axId val="1545734911"/>
        <c:axId val="1545736351"/>
      </c:areaChart>
      <c:barChart>
        <c:barDir val="col"/>
        <c:grouping val="clustered"/>
        <c:varyColors val="0"/>
        <c:ser>
          <c:idx val="1"/>
          <c:order val="1"/>
          <c:tx>
            <c:strRef>
              <c:f>'KPIs &amp; question answers with PT'!$C$89</c:f>
              <c:strCache>
                <c:ptCount val="1"/>
                <c:pt idx="0">
                  <c:v>Sum of Item Amount2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question answers with PT'!$A$90:$A$100</c:f>
              <c:strCache>
                <c:ptCount val="10"/>
                <c:pt idx="0">
                  <c:v> Chain</c:v>
                </c:pt>
                <c:pt idx="1">
                  <c:v> Jeans - Denim</c:v>
                </c:pt>
                <c:pt idx="2">
                  <c:v> Jeans - Lega</c:v>
                </c:pt>
                <c:pt idx="3">
                  <c:v> Jeans - Levis</c:v>
                </c:pt>
                <c:pt idx="4">
                  <c:v> Jeans - Zara</c:v>
                </c:pt>
                <c:pt idx="5">
                  <c:v> shirt</c:v>
                </c:pt>
                <c:pt idx="6">
                  <c:v> Shirt - Arrow</c:v>
                </c:pt>
                <c:pt idx="7">
                  <c:v> Shirt - PE</c:v>
                </c:pt>
                <c:pt idx="8">
                  <c:v> T-shirt</c:v>
                </c:pt>
                <c:pt idx="9">
                  <c:v> Wallet</c:v>
                </c:pt>
              </c:strCache>
            </c:strRef>
          </c:cat>
          <c:val>
            <c:numRef>
              <c:f>'KPIs &amp; question answers with PT'!$C$90:$C$100</c:f>
              <c:numCache>
                <c:formatCode>_(* #,##0_);_(* \(#,##0\);_(* "-"??_);_(@_)</c:formatCode>
                <c:ptCount val="10"/>
                <c:pt idx="0">
                  <c:v>11400</c:v>
                </c:pt>
                <c:pt idx="1">
                  <c:v>43300</c:v>
                </c:pt>
                <c:pt idx="2">
                  <c:v>29000</c:v>
                </c:pt>
                <c:pt idx="3">
                  <c:v>106700</c:v>
                </c:pt>
                <c:pt idx="4">
                  <c:v>42300</c:v>
                </c:pt>
                <c:pt idx="5">
                  <c:v>17850</c:v>
                </c:pt>
                <c:pt idx="6">
                  <c:v>23800</c:v>
                </c:pt>
                <c:pt idx="7">
                  <c:v>20800</c:v>
                </c:pt>
                <c:pt idx="8">
                  <c:v>42100</c:v>
                </c:pt>
                <c:pt idx="9">
                  <c:v>13600</c:v>
                </c:pt>
              </c:numCache>
            </c:numRef>
          </c:val>
          <c:extLst>
            <c:ext xmlns:c16="http://schemas.microsoft.com/office/drawing/2014/chart" uri="{C3380CC4-5D6E-409C-BE32-E72D297353CC}">
              <c16:uniqueId val="{00000001-CFF6-4BF5-98DA-69FE87BB7A45}"/>
            </c:ext>
          </c:extLst>
        </c:ser>
        <c:dLbls>
          <c:showLegendKey val="0"/>
          <c:showVal val="0"/>
          <c:showCatName val="0"/>
          <c:showSerName val="0"/>
          <c:showPercent val="0"/>
          <c:showBubbleSize val="0"/>
        </c:dLbls>
        <c:gapWidth val="219"/>
        <c:overlap val="-27"/>
        <c:axId val="1545747871"/>
        <c:axId val="1545742111"/>
      </c:barChart>
      <c:catAx>
        <c:axId val="154573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36351"/>
        <c:crosses val="autoZero"/>
        <c:auto val="1"/>
        <c:lblAlgn val="ctr"/>
        <c:lblOffset val="100"/>
        <c:noMultiLvlLbl val="0"/>
      </c:catAx>
      <c:valAx>
        <c:axId val="15457363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34911"/>
        <c:crosses val="autoZero"/>
        <c:crossBetween val="between"/>
      </c:valAx>
      <c:valAx>
        <c:axId val="154574211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47871"/>
        <c:crosses val="max"/>
        <c:crossBetween val="between"/>
      </c:valAx>
      <c:catAx>
        <c:axId val="1545747871"/>
        <c:scaling>
          <c:orientation val="minMax"/>
        </c:scaling>
        <c:delete val="1"/>
        <c:axPos val="b"/>
        <c:numFmt formatCode="General" sourceLinked="1"/>
        <c:majorTickMark val="out"/>
        <c:minorTickMark val="none"/>
        <c:tickLblPos val="nextTo"/>
        <c:crossAx val="1545742111"/>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 &amp; question answers with PT'!$B$114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'KPIs &amp; question answers with PT'!$A$115:$A$128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'KPIs &amp; question answers with PT'!$B$115:$B$128</c:f>
              <c:numCache>
                <c:formatCode>_(* #,##0_);_(* \(#,##0\);_(* "-"??_);_(@_)</c:formatCode>
                <c:ptCount val="12"/>
                <c:pt idx="0">
                  <c:v>34200</c:v>
                </c:pt>
                <c:pt idx="1">
                  <c:v>28100</c:v>
                </c:pt>
                <c:pt idx="2">
                  <c:v>31750</c:v>
                </c:pt>
                <c:pt idx="3">
                  <c:v>25150</c:v>
                </c:pt>
                <c:pt idx="4">
                  <c:v>30050</c:v>
                </c:pt>
                <c:pt idx="5">
                  <c:v>30800</c:v>
                </c:pt>
                <c:pt idx="6">
                  <c:v>27150</c:v>
                </c:pt>
                <c:pt idx="7">
                  <c:v>24150</c:v>
                </c:pt>
                <c:pt idx="8">
                  <c:v>27050</c:v>
                </c:pt>
                <c:pt idx="9">
                  <c:v>30250</c:v>
                </c:pt>
                <c:pt idx="10">
                  <c:v>29150</c:v>
                </c:pt>
                <c:pt idx="11">
                  <c:v>33050</c:v>
                </c:pt>
              </c:numCache>
            </c:numRef>
          </c:val>
          <c:extLst>
            <c:ext xmlns:c16="http://schemas.microsoft.com/office/drawing/2014/chart" uri="{C3380CC4-5D6E-409C-BE32-E72D297353CC}">
              <c16:uniqueId val="{00000000-3622-4931-B680-06C2E8244244}"/>
            </c:ext>
          </c:extLst>
        </c:ser>
        <c:dLbls>
          <c:showLegendKey val="0"/>
          <c:showVal val="0"/>
          <c:showCatName val="0"/>
          <c:showSerName val="0"/>
          <c:showPercent val="0"/>
          <c:showBubbleSize val="0"/>
        </c:dLbls>
        <c:gapWidth val="150"/>
        <c:shape val="box"/>
        <c:axId val="1545689791"/>
        <c:axId val="1545683551"/>
        <c:axId val="0"/>
      </c:bar3DChart>
      <c:catAx>
        <c:axId val="1545689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683551"/>
        <c:crosses val="autoZero"/>
        <c:auto val="1"/>
        <c:lblAlgn val="ctr"/>
        <c:lblOffset val="100"/>
        <c:noMultiLvlLbl val="0"/>
      </c:catAx>
      <c:valAx>
        <c:axId val="1545683551"/>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54568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&amp; question answers with PT'!$J$95</c:f>
              <c:strCache>
                <c:ptCount val="1"/>
                <c:pt idx="0">
                  <c:v>Total</c:v>
                </c:pt>
              </c:strCache>
            </c:strRef>
          </c:tx>
          <c:spPr>
            <a:ln w="28575" cap="rnd">
              <a:solidFill>
                <a:schemeClr val="accent1"/>
              </a:solidFill>
              <a:round/>
            </a:ln>
            <a:effectLst/>
          </c:spPr>
          <c:marker>
            <c:symbol val="none"/>
          </c:marker>
          <c:cat>
            <c:multiLvlStrRef>
              <c:f>'KPIs &amp; question answers with PT'!$I$96:$I$178</c:f>
              <c:multiLvlStrCache>
                <c:ptCount val="72"/>
                <c:lvl>
                  <c:pt idx="0">
                    <c:v>Sunday</c:v>
                  </c:pt>
                  <c:pt idx="1">
                    <c:v>Monday</c:v>
                  </c:pt>
                  <c:pt idx="2">
                    <c:v>Tuesday</c:v>
                  </c:pt>
                  <c:pt idx="3">
                    <c:v>Wednesday</c:v>
                  </c:pt>
                  <c:pt idx="4">
                    <c:v>Thursday</c:v>
                  </c:pt>
                  <c:pt idx="5">
                    <c:v>Friday</c:v>
                  </c:pt>
                  <c:pt idx="6">
                    <c:v>Saturday</c:v>
                  </c:pt>
                  <c:pt idx="8">
                    <c:v>Sunday</c:v>
                  </c:pt>
                  <c:pt idx="9">
                    <c:v>Monday</c:v>
                  </c:pt>
                  <c:pt idx="10">
                    <c:v>Tuesday</c:v>
                  </c:pt>
                  <c:pt idx="11">
                    <c:v>Wednesday</c:v>
                  </c:pt>
                  <c:pt idx="12">
                    <c:v>Thursday</c:v>
                  </c:pt>
                  <c:pt idx="13">
                    <c:v>Friday</c:v>
                  </c:pt>
                  <c:pt idx="14">
                    <c:v>Saturday</c:v>
                  </c:pt>
                  <c:pt idx="15">
                    <c:v>Sunday</c:v>
                  </c:pt>
                  <c:pt idx="16">
                    <c:v>Monday</c:v>
                  </c:pt>
                  <c:pt idx="17">
                    <c:v>Tuesday</c:v>
                  </c:pt>
                  <c:pt idx="18">
                    <c:v>Wednesday</c:v>
                  </c:pt>
                  <c:pt idx="19">
                    <c:v>Thursday</c:v>
                  </c:pt>
                  <c:pt idx="20">
                    <c:v>Friday</c:v>
                  </c:pt>
                  <c:pt idx="21">
                    <c:v>Saturday</c:v>
                  </c:pt>
                  <c:pt idx="22">
                    <c:v>Sunday</c:v>
                  </c:pt>
                  <c:pt idx="23">
                    <c:v>Monday</c:v>
                  </c:pt>
                  <c:pt idx="24">
                    <c:v>Tuesday</c:v>
                  </c:pt>
                  <c:pt idx="25">
                    <c:v>Wednesday</c:v>
                  </c:pt>
                  <c:pt idx="26">
                    <c:v>Thursday</c:v>
                  </c:pt>
                  <c:pt idx="27">
                    <c:v>Friday</c:v>
                  </c:pt>
                  <c:pt idx="28">
                    <c:v>Saturday</c:v>
                  </c:pt>
                  <c:pt idx="29">
                    <c:v>Sunday</c:v>
                  </c:pt>
                  <c:pt idx="30">
                    <c:v>Monday</c:v>
                  </c:pt>
                  <c:pt idx="31">
                    <c:v>Tuesday</c:v>
                  </c:pt>
                  <c:pt idx="32">
                    <c:v>Wednesday</c:v>
                  </c:pt>
                  <c:pt idx="33">
                    <c:v>Thursday</c:v>
                  </c:pt>
                  <c:pt idx="34">
                    <c:v>Friday</c:v>
                  </c:pt>
                  <c:pt idx="35">
                    <c:v>Saturday</c:v>
                  </c:pt>
                  <c:pt idx="36">
                    <c:v>Sunday</c:v>
                  </c:pt>
                  <c:pt idx="37">
                    <c:v>Monday</c:v>
                  </c:pt>
                  <c:pt idx="38">
                    <c:v>Tuesday</c:v>
                  </c:pt>
                  <c:pt idx="39">
                    <c:v>Wednesday</c:v>
                  </c:pt>
                  <c:pt idx="40">
                    <c:v>Thursday</c:v>
                  </c:pt>
                  <c:pt idx="41">
                    <c:v>Friday</c:v>
                  </c:pt>
                  <c:pt idx="42">
                    <c:v>Saturday</c:v>
                  </c:pt>
                  <c:pt idx="43">
                    <c:v>Sunday</c:v>
                  </c:pt>
                  <c:pt idx="44">
                    <c:v>Monday</c:v>
                  </c:pt>
                  <c:pt idx="45">
                    <c:v>Tuesday</c:v>
                  </c:pt>
                  <c:pt idx="46">
                    <c:v>Wednesday</c:v>
                  </c:pt>
                  <c:pt idx="47">
                    <c:v>Thursday</c:v>
                  </c:pt>
                  <c:pt idx="48">
                    <c:v>Friday</c:v>
                  </c:pt>
                  <c:pt idx="49">
                    <c:v>Saturday</c:v>
                  </c:pt>
                  <c:pt idx="50">
                    <c:v>Sunday</c:v>
                  </c:pt>
                  <c:pt idx="51">
                    <c:v>Monday</c:v>
                  </c:pt>
                  <c:pt idx="52">
                    <c:v>Tuesday</c:v>
                  </c:pt>
                  <c:pt idx="53">
                    <c:v>Wednesday</c:v>
                  </c:pt>
                  <c:pt idx="54">
                    <c:v>Thursday</c:v>
                  </c:pt>
                  <c:pt idx="55">
                    <c:v>Friday</c:v>
                  </c:pt>
                  <c:pt idx="56">
                    <c:v>Saturday</c:v>
                  </c:pt>
                  <c:pt idx="57">
                    <c:v>Sunday</c:v>
                  </c:pt>
                  <c:pt idx="58">
                    <c:v>Monday</c:v>
                  </c:pt>
                  <c:pt idx="59">
                    <c:v>Tuesday</c:v>
                  </c:pt>
                  <c:pt idx="60">
                    <c:v>Wednesday</c:v>
                  </c:pt>
                  <c:pt idx="61">
                    <c:v>Thursday</c:v>
                  </c:pt>
                  <c:pt idx="62">
                    <c:v>Friday</c:v>
                  </c:pt>
                  <c:pt idx="63">
                    <c:v>Saturday</c:v>
                  </c:pt>
                  <c:pt idx="64">
                    <c:v>Sunday</c:v>
                  </c:pt>
                  <c:pt idx="65">
                    <c:v>Monday</c:v>
                  </c:pt>
                  <c:pt idx="66">
                    <c:v>Tuesday</c:v>
                  </c:pt>
                  <c:pt idx="67">
                    <c:v>Wednesday</c:v>
                  </c:pt>
                  <c:pt idx="68">
                    <c:v>Thursday</c:v>
                  </c:pt>
                  <c:pt idx="69">
                    <c:v>Friday</c:v>
                  </c:pt>
                  <c:pt idx="70">
                    <c:v>Saturday</c:v>
                  </c:pt>
                </c:lvl>
                <c:lvl>
                  <c:pt idx="0">
                    <c:v>Jan</c:v>
                  </c:pt>
                  <c:pt idx="7">
                    <c:v>Feb</c:v>
                  </c:pt>
                  <c:pt idx="8">
                    <c:v>Mar</c:v>
                  </c:pt>
                  <c:pt idx="15">
                    <c:v>Apr</c:v>
                  </c:pt>
                  <c:pt idx="22">
                    <c:v>May</c:v>
                  </c:pt>
                  <c:pt idx="29">
                    <c:v>Jun</c:v>
                  </c:pt>
                  <c:pt idx="36">
                    <c:v>Jul</c:v>
                  </c:pt>
                  <c:pt idx="43">
                    <c:v>Aug</c:v>
                  </c:pt>
                  <c:pt idx="50">
                    <c:v>Sep</c:v>
                  </c:pt>
                  <c:pt idx="57">
                    <c:v>Oct</c:v>
                  </c:pt>
                  <c:pt idx="64">
                    <c:v>Nov</c:v>
                  </c:pt>
                  <c:pt idx="71">
                    <c:v>Dec</c:v>
                  </c:pt>
                </c:lvl>
              </c:multiLvlStrCache>
            </c:multiLvlStrRef>
          </c:cat>
          <c:val>
            <c:numRef>
              <c:f>'KPIs &amp; question answers with PT'!$J$96:$J$178</c:f>
              <c:numCache>
                <c:formatCode>_(* #,##0_);_(* \(#,##0\);_(* "-"??_);_(@_)</c:formatCode>
                <c:ptCount val="72"/>
                <c:pt idx="0">
                  <c:v>4700</c:v>
                </c:pt>
                <c:pt idx="1">
                  <c:v>5100</c:v>
                </c:pt>
                <c:pt idx="2">
                  <c:v>5100</c:v>
                </c:pt>
                <c:pt idx="3">
                  <c:v>5300</c:v>
                </c:pt>
                <c:pt idx="4">
                  <c:v>4900</c:v>
                </c:pt>
                <c:pt idx="5">
                  <c:v>5100</c:v>
                </c:pt>
                <c:pt idx="6">
                  <c:v>4000</c:v>
                </c:pt>
                <c:pt idx="7">
                  <c:v>28100</c:v>
                </c:pt>
                <c:pt idx="8">
                  <c:v>7950</c:v>
                </c:pt>
                <c:pt idx="9">
                  <c:v>4500</c:v>
                </c:pt>
                <c:pt idx="10">
                  <c:v>3500</c:v>
                </c:pt>
                <c:pt idx="11">
                  <c:v>2700</c:v>
                </c:pt>
                <c:pt idx="12">
                  <c:v>3400</c:v>
                </c:pt>
                <c:pt idx="13">
                  <c:v>4100</c:v>
                </c:pt>
                <c:pt idx="14">
                  <c:v>5600</c:v>
                </c:pt>
                <c:pt idx="15">
                  <c:v>2650</c:v>
                </c:pt>
                <c:pt idx="16">
                  <c:v>3750</c:v>
                </c:pt>
                <c:pt idx="17">
                  <c:v>4900</c:v>
                </c:pt>
                <c:pt idx="18">
                  <c:v>3600</c:v>
                </c:pt>
                <c:pt idx="19">
                  <c:v>3400</c:v>
                </c:pt>
                <c:pt idx="20">
                  <c:v>3350</c:v>
                </c:pt>
                <c:pt idx="21">
                  <c:v>3500</c:v>
                </c:pt>
                <c:pt idx="22">
                  <c:v>4100</c:v>
                </c:pt>
                <c:pt idx="23">
                  <c:v>3200</c:v>
                </c:pt>
                <c:pt idx="24">
                  <c:v>4150</c:v>
                </c:pt>
                <c:pt idx="25">
                  <c:v>5100</c:v>
                </c:pt>
                <c:pt idx="26">
                  <c:v>5750</c:v>
                </c:pt>
                <c:pt idx="27">
                  <c:v>4650</c:v>
                </c:pt>
                <c:pt idx="28">
                  <c:v>3100</c:v>
                </c:pt>
                <c:pt idx="29">
                  <c:v>5900</c:v>
                </c:pt>
                <c:pt idx="30">
                  <c:v>3600</c:v>
                </c:pt>
                <c:pt idx="31">
                  <c:v>3400</c:v>
                </c:pt>
                <c:pt idx="32">
                  <c:v>4300</c:v>
                </c:pt>
                <c:pt idx="33">
                  <c:v>3400</c:v>
                </c:pt>
                <c:pt idx="34">
                  <c:v>3500</c:v>
                </c:pt>
                <c:pt idx="35">
                  <c:v>6700</c:v>
                </c:pt>
                <c:pt idx="36">
                  <c:v>2600</c:v>
                </c:pt>
                <c:pt idx="37">
                  <c:v>4700</c:v>
                </c:pt>
                <c:pt idx="38">
                  <c:v>3800</c:v>
                </c:pt>
                <c:pt idx="39">
                  <c:v>5200</c:v>
                </c:pt>
                <c:pt idx="40">
                  <c:v>3900</c:v>
                </c:pt>
                <c:pt idx="41">
                  <c:v>3800</c:v>
                </c:pt>
                <c:pt idx="42">
                  <c:v>3150</c:v>
                </c:pt>
                <c:pt idx="43">
                  <c:v>2850</c:v>
                </c:pt>
                <c:pt idx="44">
                  <c:v>3400</c:v>
                </c:pt>
                <c:pt idx="45">
                  <c:v>3450</c:v>
                </c:pt>
                <c:pt idx="46">
                  <c:v>3400</c:v>
                </c:pt>
                <c:pt idx="47">
                  <c:v>3450</c:v>
                </c:pt>
                <c:pt idx="48">
                  <c:v>3400</c:v>
                </c:pt>
                <c:pt idx="49">
                  <c:v>4200</c:v>
                </c:pt>
                <c:pt idx="50">
                  <c:v>4300</c:v>
                </c:pt>
                <c:pt idx="51">
                  <c:v>4050</c:v>
                </c:pt>
                <c:pt idx="52">
                  <c:v>3800</c:v>
                </c:pt>
                <c:pt idx="53">
                  <c:v>3200</c:v>
                </c:pt>
                <c:pt idx="54">
                  <c:v>3500</c:v>
                </c:pt>
                <c:pt idx="55">
                  <c:v>4900</c:v>
                </c:pt>
                <c:pt idx="56">
                  <c:v>3300</c:v>
                </c:pt>
                <c:pt idx="57">
                  <c:v>3000</c:v>
                </c:pt>
                <c:pt idx="58">
                  <c:v>4600</c:v>
                </c:pt>
                <c:pt idx="59">
                  <c:v>6550</c:v>
                </c:pt>
                <c:pt idx="60">
                  <c:v>5000</c:v>
                </c:pt>
                <c:pt idx="61">
                  <c:v>4100</c:v>
                </c:pt>
                <c:pt idx="62">
                  <c:v>3500</c:v>
                </c:pt>
                <c:pt idx="63">
                  <c:v>3500</c:v>
                </c:pt>
                <c:pt idx="64">
                  <c:v>3600</c:v>
                </c:pt>
                <c:pt idx="65">
                  <c:v>3600</c:v>
                </c:pt>
                <c:pt idx="66">
                  <c:v>3000</c:v>
                </c:pt>
                <c:pt idx="67">
                  <c:v>4750</c:v>
                </c:pt>
                <c:pt idx="68">
                  <c:v>3900</c:v>
                </c:pt>
                <c:pt idx="69">
                  <c:v>6600</c:v>
                </c:pt>
                <c:pt idx="70">
                  <c:v>3700</c:v>
                </c:pt>
                <c:pt idx="71">
                  <c:v>33050</c:v>
                </c:pt>
              </c:numCache>
            </c:numRef>
          </c:val>
          <c:smooth val="0"/>
          <c:extLst>
            <c:ext xmlns:c16="http://schemas.microsoft.com/office/drawing/2014/chart" uri="{C3380CC4-5D6E-409C-BE32-E72D297353CC}">
              <c16:uniqueId val="{00000000-A4D9-406A-8BB8-80DC614C4909}"/>
            </c:ext>
          </c:extLst>
        </c:ser>
        <c:dLbls>
          <c:showLegendKey val="0"/>
          <c:showVal val="0"/>
          <c:showCatName val="0"/>
          <c:showSerName val="0"/>
          <c:showPercent val="0"/>
          <c:showBubbleSize val="0"/>
        </c:dLbls>
        <c:smooth val="0"/>
        <c:axId val="1102707951"/>
        <c:axId val="1102708911"/>
      </c:lineChart>
      <c:catAx>
        <c:axId val="110270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708911"/>
        <c:crosses val="autoZero"/>
        <c:auto val="1"/>
        <c:lblAlgn val="ctr"/>
        <c:lblOffset val="100"/>
        <c:noMultiLvlLbl val="0"/>
      </c:catAx>
      <c:valAx>
        <c:axId val="1102708911"/>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10270795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PT!PivotTable33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 &amp; question answers with PT'!$M$96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'KPIs &amp; question answers with PT'!$L$97:$L$105</c:f>
              <c:multiLvlStrCache>
                <c:ptCount val="7"/>
                <c:lvl>
                  <c:pt idx="0">
                    <c:v>Sunday</c:v>
                  </c:pt>
                  <c:pt idx="1">
                    <c:v>Monday</c:v>
                  </c:pt>
                  <c:pt idx="2">
                    <c:v>Tuesday</c:v>
                  </c:pt>
                  <c:pt idx="3">
                    <c:v>Wednesday</c:v>
                  </c:pt>
                  <c:pt idx="4">
                    <c:v>Thursday</c:v>
                  </c:pt>
                  <c:pt idx="5">
                    <c:v>Friday</c:v>
                  </c:pt>
                  <c:pt idx="6">
                    <c:v>Saturday</c:v>
                  </c:pt>
                </c:lvl>
                <c:lvl>
                  <c:pt idx="0">
                    <c:v>2019</c:v>
                  </c:pt>
                </c:lvl>
              </c:multiLvlStrCache>
            </c:multiLvlStrRef>
          </c:cat>
          <c:val>
            <c:numRef>
              <c:f>'KPIs &amp; question answers with PT'!$M$97:$M$105</c:f>
              <c:numCache>
                <c:formatCode>_(* #,##0_);_(* \(#,##0\);_(* "-"??_);_(@_)</c:formatCode>
                <c:ptCount val="7"/>
                <c:pt idx="0">
                  <c:v>48700</c:v>
                </c:pt>
                <c:pt idx="1">
                  <c:v>52000</c:v>
                </c:pt>
                <c:pt idx="2">
                  <c:v>51900</c:v>
                </c:pt>
                <c:pt idx="3">
                  <c:v>50750</c:v>
                </c:pt>
                <c:pt idx="4">
                  <c:v>49000</c:v>
                </c:pt>
                <c:pt idx="5">
                  <c:v>50300</c:v>
                </c:pt>
                <c:pt idx="6">
                  <c:v>48200</c:v>
                </c:pt>
              </c:numCache>
            </c:numRef>
          </c:val>
          <c:smooth val="0"/>
          <c:extLst>
            <c:ext xmlns:c16="http://schemas.microsoft.com/office/drawing/2014/chart" uri="{C3380CC4-5D6E-409C-BE32-E72D297353CC}">
              <c16:uniqueId val="{00000000-C56B-46CD-A008-7E183AA958C4}"/>
            </c:ext>
          </c:extLst>
        </c:ser>
        <c:dLbls>
          <c:showLegendKey val="0"/>
          <c:showVal val="0"/>
          <c:showCatName val="0"/>
          <c:showSerName val="0"/>
          <c:showPercent val="0"/>
          <c:showBubbleSize val="0"/>
        </c:dLbls>
        <c:marker val="1"/>
        <c:smooth val="0"/>
        <c:axId val="1545671551"/>
        <c:axId val="1663036863"/>
      </c:lineChart>
      <c:catAx>
        <c:axId val="154567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36863"/>
        <c:crosses val="autoZero"/>
        <c:auto val="1"/>
        <c:lblAlgn val="ctr"/>
        <c:lblOffset val="100"/>
        <c:noMultiLvlLbl val="0"/>
      </c:catAx>
      <c:valAx>
        <c:axId val="166303686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67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13757655293088"/>
          <c:y val="0.17825313502478857"/>
          <c:w val="0.49128937007874018"/>
          <c:h val="0.81881561679790027"/>
        </c:manualLayout>
      </c:layout>
      <c:doughnutChart>
        <c:varyColors val="1"/>
        <c:ser>
          <c:idx val="0"/>
          <c:order val="0"/>
          <c:tx>
            <c:strRef>
              <c:f>'KPIs &amp; question answers with PT'!$J$189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&amp; question answers with PT'!$I$190:$I$200</c:f>
              <c:strCache>
                <c:ptCount val="10"/>
                <c:pt idx="0">
                  <c:v> Chain</c:v>
                </c:pt>
                <c:pt idx="1">
                  <c:v> Jeans - Denim</c:v>
                </c:pt>
                <c:pt idx="2">
                  <c:v> Jeans - Lega</c:v>
                </c:pt>
                <c:pt idx="3">
                  <c:v> Jeans - Levis</c:v>
                </c:pt>
                <c:pt idx="4">
                  <c:v> Jeans - Zara</c:v>
                </c:pt>
                <c:pt idx="5">
                  <c:v> shirt</c:v>
                </c:pt>
                <c:pt idx="6">
                  <c:v> Shirt - Arrow</c:v>
                </c:pt>
                <c:pt idx="7">
                  <c:v> Shirt - PE</c:v>
                </c:pt>
                <c:pt idx="8">
                  <c:v> T-shirt</c:v>
                </c:pt>
                <c:pt idx="9">
                  <c:v> Wallet</c:v>
                </c:pt>
              </c:strCache>
            </c:strRef>
          </c:cat>
          <c:val>
            <c:numRef>
              <c:f>'KPIs &amp; question answers with PT'!$J$190:$J$200</c:f>
              <c:numCache>
                <c:formatCode>0</c:formatCode>
                <c:ptCount val="10"/>
                <c:pt idx="0">
                  <c:v>289.83333333333331</c:v>
                </c:pt>
                <c:pt idx="1">
                  <c:v>133.41463414634146</c:v>
                </c:pt>
                <c:pt idx="2">
                  <c:v>198.48275862068965</c:v>
                </c:pt>
                <c:pt idx="3">
                  <c:v>163.80487804878049</c:v>
                </c:pt>
                <c:pt idx="4">
                  <c:v>185.44186046511629</c:v>
                </c:pt>
                <c:pt idx="5">
                  <c:v>184.47619047619048</c:v>
                </c:pt>
                <c:pt idx="6">
                  <c:v>202.68421052631578</c:v>
                </c:pt>
                <c:pt idx="7">
                  <c:v>155.08695652173913</c:v>
                </c:pt>
                <c:pt idx="8">
                  <c:v>186.55882352941177</c:v>
                </c:pt>
                <c:pt idx="9">
                  <c:v>236.57142857142858</c:v>
                </c:pt>
              </c:numCache>
            </c:numRef>
          </c:val>
          <c:extLst>
            <c:ext xmlns:c16="http://schemas.microsoft.com/office/drawing/2014/chart" uri="{C3380CC4-5D6E-409C-BE32-E72D297353CC}">
              <c16:uniqueId val="{00000000-65A9-4361-89AA-E16561CC90A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PT!PivotTable26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question answers with PT'!$J$204</c:f>
              <c:strCache>
                <c:ptCount val="1"/>
                <c:pt idx="0">
                  <c:v>Count of Reciept no </c:v>
                </c:pt>
              </c:strCache>
            </c:strRef>
          </c:tx>
          <c:spPr>
            <a:solidFill>
              <a:schemeClr val="accent1"/>
            </a:solidFill>
            <a:ln>
              <a:noFill/>
            </a:ln>
            <a:effectLst/>
          </c:spPr>
          <c:invertIfNegative val="0"/>
          <c:cat>
            <c:strRef>
              <c:f>'KPIs &amp; question answers with PT'!$I$205:$I$215</c:f>
              <c:strCache>
                <c:ptCount val="10"/>
                <c:pt idx="0">
                  <c:v> Jeans - Levis</c:v>
                </c:pt>
                <c:pt idx="1">
                  <c:v> Jeans - Zara</c:v>
                </c:pt>
                <c:pt idx="2">
                  <c:v> T-shirt</c:v>
                </c:pt>
                <c:pt idx="3">
                  <c:v> Jeans - Denim</c:v>
                </c:pt>
                <c:pt idx="4">
                  <c:v> Jeans - Lega</c:v>
                </c:pt>
                <c:pt idx="5">
                  <c:v> Shirt - Arrow</c:v>
                </c:pt>
                <c:pt idx="6">
                  <c:v> Shirt - PE</c:v>
                </c:pt>
                <c:pt idx="7">
                  <c:v> shirt</c:v>
                </c:pt>
                <c:pt idx="8">
                  <c:v> Wallet</c:v>
                </c:pt>
                <c:pt idx="9">
                  <c:v> Chain</c:v>
                </c:pt>
              </c:strCache>
            </c:strRef>
          </c:cat>
          <c:val>
            <c:numRef>
              <c:f>'KPIs &amp; question answers with PT'!$J$205:$J$215</c:f>
              <c:numCache>
                <c:formatCode>General</c:formatCode>
                <c:ptCount val="10"/>
                <c:pt idx="0">
                  <c:v>82</c:v>
                </c:pt>
                <c:pt idx="1">
                  <c:v>43</c:v>
                </c:pt>
                <c:pt idx="2">
                  <c:v>68</c:v>
                </c:pt>
                <c:pt idx="3">
                  <c:v>41</c:v>
                </c:pt>
                <c:pt idx="4">
                  <c:v>29</c:v>
                </c:pt>
                <c:pt idx="5">
                  <c:v>19</c:v>
                </c:pt>
                <c:pt idx="6">
                  <c:v>23</c:v>
                </c:pt>
                <c:pt idx="7">
                  <c:v>21</c:v>
                </c:pt>
                <c:pt idx="8">
                  <c:v>21</c:v>
                </c:pt>
                <c:pt idx="9">
                  <c:v>18</c:v>
                </c:pt>
              </c:numCache>
            </c:numRef>
          </c:val>
          <c:extLst>
            <c:ext xmlns:c16="http://schemas.microsoft.com/office/drawing/2014/chart" uri="{C3380CC4-5D6E-409C-BE32-E72D297353CC}">
              <c16:uniqueId val="{00000000-8027-4803-8D7B-A4BAE1BC2240}"/>
            </c:ext>
          </c:extLst>
        </c:ser>
        <c:ser>
          <c:idx val="1"/>
          <c:order val="1"/>
          <c:tx>
            <c:strRef>
              <c:f>'KPIs &amp; question answers with PT'!$K$204</c:f>
              <c:strCache>
                <c:ptCount val="1"/>
                <c:pt idx="0">
                  <c:v>Sum of Sales after Discount</c:v>
                </c:pt>
              </c:strCache>
            </c:strRef>
          </c:tx>
          <c:spPr>
            <a:solidFill>
              <a:schemeClr val="accent2"/>
            </a:solidFill>
            <a:ln>
              <a:noFill/>
            </a:ln>
            <a:effectLst/>
          </c:spPr>
          <c:invertIfNegative val="0"/>
          <c:cat>
            <c:strRef>
              <c:f>'KPIs &amp; question answers with PT'!$I$205:$I$215</c:f>
              <c:strCache>
                <c:ptCount val="10"/>
                <c:pt idx="0">
                  <c:v> Jeans - Levis</c:v>
                </c:pt>
                <c:pt idx="1">
                  <c:v> Jeans - Zara</c:v>
                </c:pt>
                <c:pt idx="2">
                  <c:v> T-shirt</c:v>
                </c:pt>
                <c:pt idx="3">
                  <c:v> Jeans - Denim</c:v>
                </c:pt>
                <c:pt idx="4">
                  <c:v> Jeans - Lega</c:v>
                </c:pt>
                <c:pt idx="5">
                  <c:v> Shirt - Arrow</c:v>
                </c:pt>
                <c:pt idx="6">
                  <c:v> Shirt - PE</c:v>
                </c:pt>
                <c:pt idx="7">
                  <c:v> shirt</c:v>
                </c:pt>
                <c:pt idx="8">
                  <c:v> Wallet</c:v>
                </c:pt>
                <c:pt idx="9">
                  <c:v> Chain</c:v>
                </c:pt>
              </c:strCache>
            </c:strRef>
          </c:cat>
          <c:val>
            <c:numRef>
              <c:f>'KPIs &amp; question answers with PT'!$K$205:$K$215</c:f>
              <c:numCache>
                <c:formatCode>_(* #,##0_);_(* \(#,##0\);_(* "-"??_);_(@_)</c:formatCode>
                <c:ptCount val="10"/>
                <c:pt idx="0">
                  <c:v>106700</c:v>
                </c:pt>
                <c:pt idx="1">
                  <c:v>42300</c:v>
                </c:pt>
                <c:pt idx="2">
                  <c:v>42100</c:v>
                </c:pt>
                <c:pt idx="3">
                  <c:v>36805</c:v>
                </c:pt>
                <c:pt idx="4">
                  <c:v>29000</c:v>
                </c:pt>
                <c:pt idx="5">
                  <c:v>23800</c:v>
                </c:pt>
                <c:pt idx="6">
                  <c:v>20800</c:v>
                </c:pt>
                <c:pt idx="7">
                  <c:v>17850</c:v>
                </c:pt>
                <c:pt idx="8">
                  <c:v>13600</c:v>
                </c:pt>
                <c:pt idx="9">
                  <c:v>11400</c:v>
                </c:pt>
              </c:numCache>
            </c:numRef>
          </c:val>
          <c:extLst>
            <c:ext xmlns:c16="http://schemas.microsoft.com/office/drawing/2014/chart" uri="{C3380CC4-5D6E-409C-BE32-E72D297353CC}">
              <c16:uniqueId val="{00000001-8027-4803-8D7B-A4BAE1BC2240}"/>
            </c:ext>
          </c:extLst>
        </c:ser>
        <c:dLbls>
          <c:showLegendKey val="0"/>
          <c:showVal val="0"/>
          <c:showCatName val="0"/>
          <c:showSerName val="0"/>
          <c:showPercent val="0"/>
          <c:showBubbleSize val="0"/>
        </c:dLbls>
        <c:gapWidth val="219"/>
        <c:overlap val="-27"/>
        <c:axId val="1663080543"/>
        <c:axId val="1663079583"/>
      </c:barChart>
      <c:catAx>
        <c:axId val="166308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79583"/>
        <c:crosses val="autoZero"/>
        <c:auto val="1"/>
        <c:lblAlgn val="ctr"/>
        <c:lblOffset val="100"/>
        <c:noMultiLvlLbl val="0"/>
      </c:catAx>
      <c:valAx>
        <c:axId val="166307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8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PT!PivotTable2</c:name>
    <c:fmtId val="4"/>
  </c:pivotSource>
  <c:chart>
    <c:title>
      <c:tx>
        <c:rich>
          <a:bodyPr rot="0" spcFirstLastPara="1" vertOverflow="ellipsis" vert="horz" wrap="square" anchor="ctr" anchorCtr="1"/>
          <a:lstStyle/>
          <a:p>
            <a:pPr>
              <a:defRPr sz="1400" b="0" i="0" u="none" strike="noStrike" kern="1200" cap="none" spc="20" baseline="0">
                <a:solidFill>
                  <a:schemeClr val="accent3"/>
                </a:solidFill>
                <a:latin typeface="+mn-lt"/>
                <a:ea typeface="+mn-ea"/>
                <a:cs typeface="+mn-cs"/>
              </a:defRPr>
            </a:pPr>
            <a:r>
              <a:rPr lang="en-US">
                <a:solidFill>
                  <a:schemeClr val="accent3"/>
                </a:solidFill>
              </a:rPr>
              <a:t>Total</a:t>
            </a:r>
            <a:r>
              <a:rPr lang="en-US" baseline="0">
                <a:solidFill>
                  <a:schemeClr val="accent3"/>
                </a:solidFill>
              </a:rPr>
              <a:t> Sales Per Quarter </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accent3"/>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ADB5BD"/>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55186086415556E-2"/>
          <c:y val="0.2607801095139568"/>
          <c:w val="0.91675398956653975"/>
          <c:h val="0.47750146036806734"/>
        </c:manualLayout>
      </c:layout>
      <c:lineChart>
        <c:grouping val="stacked"/>
        <c:varyColors val="0"/>
        <c:ser>
          <c:idx val="0"/>
          <c:order val="0"/>
          <c:tx>
            <c:strRef>
              <c:f>'KPIs &amp; question answers with PT'!$B$7</c:f>
              <c:strCache>
                <c:ptCount val="1"/>
                <c:pt idx="0">
                  <c:v>Total</c:v>
                </c:pt>
              </c:strCache>
            </c:strRef>
          </c:tx>
          <c:spPr>
            <a:ln w="22225" cap="rnd" cmpd="sng" algn="ctr">
              <a:solidFill>
                <a:srgbClr val="ADB5BD"/>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'KPIs &amp; question answers with PT'!$A$8:$A$13</c:f>
              <c:multiLvlStrCache>
                <c:ptCount val="4"/>
                <c:lvl>
                  <c:pt idx="0">
                    <c:v>Qtr1</c:v>
                  </c:pt>
                  <c:pt idx="1">
                    <c:v>Qtr2</c:v>
                  </c:pt>
                  <c:pt idx="2">
                    <c:v>Qtr3</c:v>
                  </c:pt>
                  <c:pt idx="3">
                    <c:v>Qtr4</c:v>
                  </c:pt>
                </c:lvl>
                <c:lvl>
                  <c:pt idx="0">
                    <c:v>2019</c:v>
                  </c:pt>
                </c:lvl>
              </c:multiLvlStrCache>
            </c:multiLvlStrRef>
          </c:cat>
          <c:val>
            <c:numRef>
              <c:f>'KPIs &amp; question answers with PT'!$B$8:$B$13</c:f>
              <c:numCache>
                <c:formatCode>_(* #,##0_);_(* \(#,##0\);_(* "-"??_);_(@_)</c:formatCode>
                <c:ptCount val="4"/>
                <c:pt idx="0">
                  <c:v>94050</c:v>
                </c:pt>
                <c:pt idx="1">
                  <c:v>86000</c:v>
                </c:pt>
                <c:pt idx="2">
                  <c:v>78350</c:v>
                </c:pt>
                <c:pt idx="3">
                  <c:v>92450</c:v>
                </c:pt>
              </c:numCache>
            </c:numRef>
          </c:val>
          <c:smooth val="0"/>
          <c:extLst>
            <c:ext xmlns:c16="http://schemas.microsoft.com/office/drawing/2014/chart" uri="{C3380CC4-5D6E-409C-BE32-E72D297353CC}">
              <c16:uniqueId val="{00000000-1598-4C56-9FC9-A3ABD4E5E700}"/>
            </c:ext>
          </c:extLst>
        </c:ser>
        <c:dLbls>
          <c:showLegendKey val="0"/>
          <c:showVal val="0"/>
          <c:showCatName val="0"/>
          <c:showSerName val="0"/>
          <c:showPercent val="0"/>
          <c:showBubbleSize val="0"/>
        </c:dLbls>
        <c:dropLines>
          <c:spPr>
            <a:ln w="9525" cap="flat" cmpd="sng" algn="ctr">
              <a:solidFill>
                <a:schemeClr val="accent3">
                  <a:lumMod val="50000"/>
                  <a:alpha val="33000"/>
                </a:schemeClr>
              </a:solidFill>
              <a:round/>
            </a:ln>
            <a:effectLst>
              <a:outerShdw blurRad="50800" dist="50800" dir="5400000" algn="ctr" rotWithShape="0">
                <a:schemeClr val="accent3">
                  <a:lumMod val="50000"/>
                </a:schemeClr>
              </a:outerShdw>
            </a:effectLst>
          </c:spPr>
        </c:dropLines>
        <c:marker val="1"/>
        <c:smooth val="0"/>
        <c:axId val="1102618671"/>
        <c:axId val="1102626351"/>
      </c:lineChart>
      <c:catAx>
        <c:axId val="11026186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1102626351"/>
        <c:crosses val="autoZero"/>
        <c:auto val="1"/>
        <c:lblAlgn val="ctr"/>
        <c:lblOffset val="100"/>
        <c:noMultiLvlLbl val="0"/>
      </c:catAx>
      <c:valAx>
        <c:axId val="1102626351"/>
        <c:scaling>
          <c:orientation val="minMax"/>
        </c:scaling>
        <c:delete val="1"/>
        <c:axPos val="l"/>
        <c:numFmt formatCode="_(* #,##0_);_(* \(#,##0\);_(* &quot;-&quot;??_);_(@_)" sourceLinked="1"/>
        <c:majorTickMark val="none"/>
        <c:minorTickMark val="none"/>
        <c:tickLblPos val="nextTo"/>
        <c:crossAx val="110261867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PT!PivotTable3</c:name>
    <c:fmtId val="4"/>
  </c:pivotSource>
  <c:chart>
    <c:title>
      <c:tx>
        <c:rich>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r>
              <a:rPr lang="en-US">
                <a:solidFill>
                  <a:schemeClr val="accent3"/>
                </a:solidFill>
              </a:rPr>
              <a:t>Total</a:t>
            </a:r>
            <a:r>
              <a:rPr lang="en-US" baseline="0">
                <a:solidFill>
                  <a:schemeClr val="accent3"/>
                </a:solidFill>
              </a:rPr>
              <a:t> Sold Products</a:t>
            </a:r>
            <a:endParaRPr lang="en-US">
              <a:solidFill>
                <a:schemeClr val="accent3"/>
              </a:solidFill>
            </a:endParaRPr>
          </a:p>
        </c:rich>
      </c:tx>
      <c:layout>
        <c:manualLayout>
          <c:xMode val="edge"/>
          <c:yMode val="edge"/>
          <c:x val="0.28494359427623156"/>
          <c:y val="3.54639635866074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solidFill>
              <a:schemeClr val="bg1"/>
            </a:solid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 &amp; question answers with PT'!$B$27</c:f>
              <c:strCache>
                <c:ptCount val="1"/>
                <c:pt idx="0">
                  <c:v>Total</c:v>
                </c:pt>
              </c:strCache>
            </c:strRef>
          </c:tx>
          <c:spPr>
            <a:solidFill>
              <a:schemeClr val="accent3">
                <a:lumMod val="40000"/>
                <a:lumOff val="60000"/>
              </a:schemeClr>
            </a:solidFill>
            <a:ln>
              <a:solidFill>
                <a:schemeClr val="bg1"/>
              </a:solidFill>
            </a:ln>
            <a:effectLst/>
            <a:sp3d>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question answers with PT'!$A$28:$A$38</c:f>
              <c:strCache>
                <c:ptCount val="10"/>
                <c:pt idx="0">
                  <c:v> Chain</c:v>
                </c:pt>
                <c:pt idx="1">
                  <c:v> Jeans - Denim</c:v>
                </c:pt>
                <c:pt idx="2">
                  <c:v> Jeans - Lega</c:v>
                </c:pt>
                <c:pt idx="3">
                  <c:v> Jeans - Levis</c:v>
                </c:pt>
                <c:pt idx="4">
                  <c:v> Jeans - Zara</c:v>
                </c:pt>
                <c:pt idx="5">
                  <c:v> shirt</c:v>
                </c:pt>
                <c:pt idx="6">
                  <c:v> Shirt - Arrow</c:v>
                </c:pt>
                <c:pt idx="7">
                  <c:v> Shirt - PE</c:v>
                </c:pt>
                <c:pt idx="8">
                  <c:v> T-shirt</c:v>
                </c:pt>
                <c:pt idx="9">
                  <c:v> Wallet</c:v>
                </c:pt>
              </c:strCache>
            </c:strRef>
          </c:cat>
          <c:val>
            <c:numRef>
              <c:f>'KPIs &amp; question answers with PT'!$B$28:$B$38</c:f>
              <c:numCache>
                <c:formatCode>General</c:formatCode>
                <c:ptCount val="10"/>
                <c:pt idx="0">
                  <c:v>18</c:v>
                </c:pt>
                <c:pt idx="1">
                  <c:v>41</c:v>
                </c:pt>
                <c:pt idx="2">
                  <c:v>29</c:v>
                </c:pt>
                <c:pt idx="3">
                  <c:v>82</c:v>
                </c:pt>
                <c:pt idx="4">
                  <c:v>43</c:v>
                </c:pt>
                <c:pt idx="5">
                  <c:v>21</c:v>
                </c:pt>
                <c:pt idx="6">
                  <c:v>19</c:v>
                </c:pt>
                <c:pt idx="7">
                  <c:v>23</c:v>
                </c:pt>
                <c:pt idx="8">
                  <c:v>68</c:v>
                </c:pt>
                <c:pt idx="9">
                  <c:v>21</c:v>
                </c:pt>
              </c:numCache>
            </c:numRef>
          </c:val>
          <c:extLst>
            <c:ext xmlns:c16="http://schemas.microsoft.com/office/drawing/2014/chart" uri="{C3380CC4-5D6E-409C-BE32-E72D297353CC}">
              <c16:uniqueId val="{00000000-F90F-463A-8407-FF72FAD2A5DF}"/>
            </c:ext>
          </c:extLst>
        </c:ser>
        <c:dLbls>
          <c:showLegendKey val="0"/>
          <c:showVal val="0"/>
          <c:showCatName val="0"/>
          <c:showSerName val="0"/>
          <c:showPercent val="0"/>
          <c:showBubbleSize val="0"/>
        </c:dLbls>
        <c:gapWidth val="150"/>
        <c:shape val="box"/>
        <c:axId val="1102590351"/>
        <c:axId val="1102596111"/>
        <c:axId val="1178578959"/>
      </c:bar3DChart>
      <c:catAx>
        <c:axId val="1102590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02596111"/>
        <c:crosses val="autoZero"/>
        <c:auto val="1"/>
        <c:lblAlgn val="ctr"/>
        <c:lblOffset val="100"/>
        <c:noMultiLvlLbl val="0"/>
      </c:catAx>
      <c:valAx>
        <c:axId val="110259611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02590351"/>
        <c:crosses val="autoZero"/>
        <c:crossBetween val="between"/>
      </c:valAx>
      <c:serAx>
        <c:axId val="1178578959"/>
        <c:scaling>
          <c:orientation val="minMax"/>
        </c:scaling>
        <c:delete val="1"/>
        <c:axPos val="b"/>
        <c:majorTickMark val="none"/>
        <c:minorTickMark val="none"/>
        <c:tickLblPos val="nextTo"/>
        <c:crossAx val="110259611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PT!PivotTable6</c:name>
    <c:fmtId val="4"/>
  </c:pivotSource>
  <c:chart>
    <c:title>
      <c:tx>
        <c:rich>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r>
              <a:rPr lang="en-US">
                <a:solidFill>
                  <a:schemeClr val="accent3"/>
                </a:solidFill>
              </a:rPr>
              <a:t>On</a:t>
            </a:r>
            <a:r>
              <a:rPr lang="en-US" baseline="0">
                <a:solidFill>
                  <a:schemeClr val="accent3"/>
                </a:solidFill>
              </a:rPr>
              <a:t> Shop / Online Sales</a:t>
            </a:r>
          </a:p>
          <a:p>
            <a:pPr>
              <a:defRPr>
                <a:solidFill>
                  <a:schemeClr val="accent3"/>
                </a:solidFill>
              </a:defRPr>
            </a:pP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 &amp; question answers with PT'!$B$66</c:f>
              <c:strCache>
                <c:ptCount val="1"/>
                <c:pt idx="0">
                  <c:v>Total</c:v>
                </c:pt>
              </c:strCache>
            </c:strRef>
          </c:tx>
          <c:spPr>
            <a:solidFill>
              <a:schemeClr val="accent3">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'KPIs &amp; question answers with PT'!$A$67:$A$70</c:f>
              <c:multiLvlStrCache>
                <c:ptCount val="2"/>
                <c:lvl>
                  <c:pt idx="0">
                    <c:v>On Shop</c:v>
                  </c:pt>
                  <c:pt idx="1">
                    <c:v>Online Order</c:v>
                  </c:pt>
                </c:lvl>
                <c:lvl>
                  <c:pt idx="0">
                    <c:v>2019</c:v>
                  </c:pt>
                </c:lvl>
              </c:multiLvlStrCache>
            </c:multiLvlStrRef>
          </c:cat>
          <c:val>
            <c:numRef>
              <c:f>'KPIs &amp; question answers with PT'!$B$67:$B$70</c:f>
              <c:numCache>
                <c:formatCode>_(* #,##0_);_(* \(#,##0\);_(* "-"??_);_(@_)</c:formatCode>
                <c:ptCount val="2"/>
                <c:pt idx="0">
                  <c:v>323500</c:v>
                </c:pt>
                <c:pt idx="1">
                  <c:v>27350</c:v>
                </c:pt>
              </c:numCache>
            </c:numRef>
          </c:val>
          <c:extLst>
            <c:ext xmlns:c16="http://schemas.microsoft.com/office/drawing/2014/chart" uri="{C3380CC4-5D6E-409C-BE32-E72D297353CC}">
              <c16:uniqueId val="{00000000-75B8-4867-B854-4BFE4AEFAF8A}"/>
            </c:ext>
          </c:extLst>
        </c:ser>
        <c:dLbls>
          <c:showLegendKey val="0"/>
          <c:showVal val="0"/>
          <c:showCatName val="0"/>
          <c:showSerName val="0"/>
          <c:showPercent val="0"/>
          <c:showBubbleSize val="0"/>
        </c:dLbls>
        <c:gapWidth val="150"/>
        <c:shape val="box"/>
        <c:axId val="1588479583"/>
        <c:axId val="1588463263"/>
        <c:axId val="0"/>
      </c:bar3DChart>
      <c:catAx>
        <c:axId val="158847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588463263"/>
        <c:crosses val="autoZero"/>
        <c:auto val="1"/>
        <c:lblAlgn val="ctr"/>
        <c:lblOffset val="100"/>
        <c:noMultiLvlLbl val="0"/>
      </c:catAx>
      <c:valAx>
        <c:axId val="1588463263"/>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588479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PT!PivotTable7</c:name>
    <c:fmtId val="1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chemeClr val="accent3"/>
                </a:solidFill>
              </a:rPr>
              <a:t>Categories</a:t>
            </a:r>
            <a:r>
              <a:rPr lang="en-US" baseline="0">
                <a:solidFill>
                  <a:schemeClr val="accent3"/>
                </a:solidFill>
              </a:rPr>
              <a:t> Sales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553277199559375E-2"/>
          <c:y val="0.23639378579675177"/>
          <c:w val="0.91872848770121174"/>
          <c:h val="0.73175436792477278"/>
        </c:manualLayout>
      </c:layout>
      <c:pie3DChart>
        <c:varyColors val="1"/>
        <c:ser>
          <c:idx val="0"/>
          <c:order val="0"/>
          <c:tx>
            <c:strRef>
              <c:f>'KPIs &amp; question answers with PT'!$B$80</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E27-479A-BF0F-799474F853C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E27-479A-BF0F-799474F853C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E27-479A-BF0F-799474F853C2}"/>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E27-479A-BF0F-799474F853C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1-8E27-479A-BF0F-799474F853C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3-8E27-479A-BF0F-799474F853C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5-8E27-479A-BF0F-799474F853C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7-8E27-479A-BF0F-799474F853C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&amp; question answers with PT'!$A$81:$A$85</c:f>
              <c:strCache>
                <c:ptCount val="4"/>
                <c:pt idx="0">
                  <c:v>Accessories</c:v>
                </c:pt>
                <c:pt idx="1">
                  <c:v>Casual Wear</c:v>
                </c:pt>
                <c:pt idx="2">
                  <c:v>Formal</c:v>
                </c:pt>
                <c:pt idx="3">
                  <c:v>Semi Formal</c:v>
                </c:pt>
              </c:strCache>
            </c:strRef>
          </c:cat>
          <c:val>
            <c:numRef>
              <c:f>'KPIs &amp; question answers with PT'!$B$81:$B$85</c:f>
              <c:numCache>
                <c:formatCode>_(* #,##0_);_(* \(#,##0\);_(* "-"??_);_(@_)</c:formatCode>
                <c:ptCount val="4"/>
                <c:pt idx="0">
                  <c:v>25000</c:v>
                </c:pt>
                <c:pt idx="1">
                  <c:v>221300</c:v>
                </c:pt>
                <c:pt idx="2">
                  <c:v>41650</c:v>
                </c:pt>
                <c:pt idx="3">
                  <c:v>62900</c:v>
                </c:pt>
              </c:numCache>
            </c:numRef>
          </c:val>
          <c:extLst>
            <c:ext xmlns:c16="http://schemas.microsoft.com/office/drawing/2014/chart" uri="{C3380CC4-5D6E-409C-BE32-E72D297353CC}">
              <c16:uniqueId val="{00000008-8E27-479A-BF0F-799474F853C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PT!PivotTable8</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solidFill>
              </a:rPr>
              <a:t>Products</a:t>
            </a:r>
            <a:r>
              <a:rPr lang="en-US" baseline="0">
                <a:solidFill>
                  <a:schemeClr val="accent3"/>
                </a:solidFill>
              </a:rPr>
              <a:t> Percentage in Sales</a:t>
            </a:r>
          </a:p>
          <a:p>
            <a:pPr>
              <a:defRPr/>
            </a:pPr>
            <a:endParaRPr lang="en-US"/>
          </a:p>
        </c:rich>
      </c:tx>
      <c:layout>
        <c:manualLayout>
          <c:xMode val="edge"/>
          <c:yMode val="edge"/>
          <c:x val="0.2877594333065254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DB5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37798718369863E-2"/>
          <c:y val="9.9098103604516138E-2"/>
          <c:w val="0.83029232394428709"/>
          <c:h val="0.79081802274715662"/>
        </c:manualLayout>
      </c:layout>
      <c:areaChart>
        <c:grouping val="stacked"/>
        <c:varyColors val="0"/>
        <c:ser>
          <c:idx val="0"/>
          <c:order val="0"/>
          <c:tx>
            <c:strRef>
              <c:f>'KPIs &amp; question answers with PT'!$B$89</c:f>
              <c:strCache>
                <c:ptCount val="1"/>
                <c:pt idx="0">
                  <c:v>Percentage</c:v>
                </c:pt>
              </c:strCache>
            </c:strRef>
          </c:tx>
          <c:spPr>
            <a:solidFill>
              <a:srgbClr val="ADB5BD"/>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question answers with PT'!$A$90:$A$100</c:f>
              <c:strCache>
                <c:ptCount val="10"/>
                <c:pt idx="0">
                  <c:v> Chain</c:v>
                </c:pt>
                <c:pt idx="1">
                  <c:v> Jeans - Denim</c:v>
                </c:pt>
                <c:pt idx="2">
                  <c:v> Jeans - Lega</c:v>
                </c:pt>
                <c:pt idx="3">
                  <c:v> Jeans - Levis</c:v>
                </c:pt>
                <c:pt idx="4">
                  <c:v> Jeans - Zara</c:v>
                </c:pt>
                <c:pt idx="5">
                  <c:v> shirt</c:v>
                </c:pt>
                <c:pt idx="6">
                  <c:v> Shirt - Arrow</c:v>
                </c:pt>
                <c:pt idx="7">
                  <c:v> Shirt - PE</c:v>
                </c:pt>
                <c:pt idx="8">
                  <c:v> T-shirt</c:v>
                </c:pt>
                <c:pt idx="9">
                  <c:v> Wallet</c:v>
                </c:pt>
              </c:strCache>
            </c:strRef>
          </c:cat>
          <c:val>
            <c:numRef>
              <c:f>'KPIs &amp; question answers with PT'!$B$90:$B$100</c:f>
              <c:numCache>
                <c:formatCode>0.00%</c:formatCode>
                <c:ptCount val="10"/>
                <c:pt idx="0">
                  <c:v>3.2492518170158184E-2</c:v>
                </c:pt>
                <c:pt idx="1">
                  <c:v>0.12341456462875873</c:v>
                </c:pt>
                <c:pt idx="2">
                  <c:v>8.2656405871455035E-2</c:v>
                </c:pt>
                <c:pt idx="3">
                  <c:v>0.30411856918911218</c:v>
                </c:pt>
                <c:pt idx="4">
                  <c:v>0.12056434373663959</c:v>
                </c:pt>
                <c:pt idx="5">
                  <c:v>5.0876442924326637E-2</c:v>
                </c:pt>
                <c:pt idx="6">
                  <c:v>6.7835257232435511E-2</c:v>
                </c:pt>
                <c:pt idx="7">
                  <c:v>5.9284594556078096E-2</c:v>
                </c:pt>
                <c:pt idx="8">
                  <c:v>0.11999429955821576</c:v>
                </c:pt>
                <c:pt idx="9">
                  <c:v>3.8763004132820293E-2</c:v>
                </c:pt>
              </c:numCache>
            </c:numRef>
          </c:val>
          <c:extLst>
            <c:ext xmlns:c16="http://schemas.microsoft.com/office/drawing/2014/chart" uri="{C3380CC4-5D6E-409C-BE32-E72D297353CC}">
              <c16:uniqueId val="{00000000-60CD-4E0B-8C8E-BD7AB7186EA5}"/>
            </c:ext>
          </c:extLst>
        </c:ser>
        <c:dLbls>
          <c:showLegendKey val="0"/>
          <c:showVal val="0"/>
          <c:showCatName val="0"/>
          <c:showSerName val="0"/>
          <c:showPercent val="0"/>
          <c:showBubbleSize val="0"/>
        </c:dLbls>
        <c:axId val="1545734911"/>
        <c:axId val="1545736351"/>
      </c:areaChart>
      <c:barChart>
        <c:barDir val="col"/>
        <c:grouping val="clustered"/>
        <c:varyColors val="0"/>
        <c:ser>
          <c:idx val="1"/>
          <c:order val="1"/>
          <c:tx>
            <c:strRef>
              <c:f>'KPIs &amp; question answers with PT'!$C$89</c:f>
              <c:strCache>
                <c:ptCount val="1"/>
                <c:pt idx="0">
                  <c:v>Sum of Item Amount2</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question answers with PT'!$A$90:$A$100</c:f>
              <c:strCache>
                <c:ptCount val="10"/>
                <c:pt idx="0">
                  <c:v> Chain</c:v>
                </c:pt>
                <c:pt idx="1">
                  <c:v> Jeans - Denim</c:v>
                </c:pt>
                <c:pt idx="2">
                  <c:v> Jeans - Lega</c:v>
                </c:pt>
                <c:pt idx="3">
                  <c:v> Jeans - Levis</c:v>
                </c:pt>
                <c:pt idx="4">
                  <c:v> Jeans - Zara</c:v>
                </c:pt>
                <c:pt idx="5">
                  <c:v> shirt</c:v>
                </c:pt>
                <c:pt idx="6">
                  <c:v> Shirt - Arrow</c:v>
                </c:pt>
                <c:pt idx="7">
                  <c:v> Shirt - PE</c:v>
                </c:pt>
                <c:pt idx="8">
                  <c:v> T-shirt</c:v>
                </c:pt>
                <c:pt idx="9">
                  <c:v> Wallet</c:v>
                </c:pt>
              </c:strCache>
            </c:strRef>
          </c:cat>
          <c:val>
            <c:numRef>
              <c:f>'KPIs &amp; question answers with PT'!$C$90:$C$100</c:f>
              <c:numCache>
                <c:formatCode>_(* #,##0_);_(* \(#,##0\);_(* "-"??_);_(@_)</c:formatCode>
                <c:ptCount val="10"/>
                <c:pt idx="0">
                  <c:v>11400</c:v>
                </c:pt>
                <c:pt idx="1">
                  <c:v>43300</c:v>
                </c:pt>
                <c:pt idx="2">
                  <c:v>29000</c:v>
                </c:pt>
                <c:pt idx="3">
                  <c:v>106700</c:v>
                </c:pt>
                <c:pt idx="4">
                  <c:v>42300</c:v>
                </c:pt>
                <c:pt idx="5">
                  <c:v>17850</c:v>
                </c:pt>
                <c:pt idx="6">
                  <c:v>23800</c:v>
                </c:pt>
                <c:pt idx="7">
                  <c:v>20800</c:v>
                </c:pt>
                <c:pt idx="8">
                  <c:v>42100</c:v>
                </c:pt>
                <c:pt idx="9">
                  <c:v>13600</c:v>
                </c:pt>
              </c:numCache>
            </c:numRef>
          </c:val>
          <c:extLst>
            <c:ext xmlns:c16="http://schemas.microsoft.com/office/drawing/2014/chart" uri="{C3380CC4-5D6E-409C-BE32-E72D297353CC}">
              <c16:uniqueId val="{00000001-60CD-4E0B-8C8E-BD7AB7186EA5}"/>
            </c:ext>
          </c:extLst>
        </c:ser>
        <c:dLbls>
          <c:showLegendKey val="0"/>
          <c:showVal val="0"/>
          <c:showCatName val="0"/>
          <c:showSerName val="0"/>
          <c:showPercent val="0"/>
          <c:showBubbleSize val="0"/>
        </c:dLbls>
        <c:gapWidth val="219"/>
        <c:overlap val="-27"/>
        <c:axId val="1545747871"/>
        <c:axId val="1545742111"/>
      </c:barChart>
      <c:catAx>
        <c:axId val="154573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5736351"/>
        <c:crosses val="autoZero"/>
        <c:auto val="1"/>
        <c:lblAlgn val="ctr"/>
        <c:lblOffset val="100"/>
        <c:noMultiLvlLbl val="0"/>
      </c:catAx>
      <c:valAx>
        <c:axId val="1545736351"/>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34911"/>
        <c:crosses val="autoZero"/>
        <c:crossBetween val="between"/>
      </c:valAx>
      <c:valAx>
        <c:axId val="154574211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47871"/>
        <c:crosses val="max"/>
        <c:crossBetween val="between"/>
      </c:valAx>
      <c:catAx>
        <c:axId val="1545747871"/>
        <c:scaling>
          <c:orientation val="minMax"/>
        </c:scaling>
        <c:delete val="1"/>
        <c:axPos val="b"/>
        <c:numFmt formatCode="General" sourceLinked="1"/>
        <c:majorTickMark val="out"/>
        <c:minorTickMark val="none"/>
        <c:tickLblPos val="nextTo"/>
        <c:crossAx val="154574211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solidFill>
              </a:rPr>
              <a:t>Monthly</a:t>
            </a:r>
            <a:r>
              <a:rPr lang="en-US" baseline="0">
                <a:solidFill>
                  <a:schemeClr val="accent3"/>
                </a:solidFill>
              </a:rPr>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18FB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 &amp; question answers with PT'!$B$114</c:f>
              <c:strCache>
                <c:ptCount val="1"/>
                <c:pt idx="0">
                  <c:v>Total</c:v>
                </c:pt>
              </c:strCache>
            </c:strRef>
          </c:tx>
          <c:spPr>
            <a:solidFill>
              <a:srgbClr val="818FB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'KPIs &amp; question answers with PT'!$A$115:$A$128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'KPIs &amp; question answers with PT'!$B$115:$B$128</c:f>
              <c:numCache>
                <c:formatCode>_(* #,##0_);_(* \(#,##0\);_(* "-"??_);_(@_)</c:formatCode>
                <c:ptCount val="12"/>
                <c:pt idx="0">
                  <c:v>34200</c:v>
                </c:pt>
                <c:pt idx="1">
                  <c:v>28100</c:v>
                </c:pt>
                <c:pt idx="2">
                  <c:v>31750</c:v>
                </c:pt>
                <c:pt idx="3">
                  <c:v>25150</c:v>
                </c:pt>
                <c:pt idx="4">
                  <c:v>30050</c:v>
                </c:pt>
                <c:pt idx="5">
                  <c:v>30800</c:v>
                </c:pt>
                <c:pt idx="6">
                  <c:v>27150</c:v>
                </c:pt>
                <c:pt idx="7">
                  <c:v>24150</c:v>
                </c:pt>
                <c:pt idx="8">
                  <c:v>27050</c:v>
                </c:pt>
                <c:pt idx="9">
                  <c:v>30250</c:v>
                </c:pt>
                <c:pt idx="10">
                  <c:v>29150</c:v>
                </c:pt>
                <c:pt idx="11">
                  <c:v>33050</c:v>
                </c:pt>
              </c:numCache>
            </c:numRef>
          </c:val>
          <c:extLst>
            <c:ext xmlns:c16="http://schemas.microsoft.com/office/drawing/2014/chart" uri="{C3380CC4-5D6E-409C-BE32-E72D297353CC}">
              <c16:uniqueId val="{00000000-36DE-4AAF-9ACC-C6C15E0208C5}"/>
            </c:ext>
          </c:extLst>
        </c:ser>
        <c:dLbls>
          <c:showLegendKey val="0"/>
          <c:showVal val="0"/>
          <c:showCatName val="0"/>
          <c:showSerName val="0"/>
          <c:showPercent val="0"/>
          <c:showBubbleSize val="0"/>
        </c:dLbls>
        <c:gapWidth val="150"/>
        <c:shape val="box"/>
        <c:axId val="1545689791"/>
        <c:axId val="1545683551"/>
        <c:axId val="0"/>
      </c:bar3DChart>
      <c:catAx>
        <c:axId val="1545689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5683551"/>
        <c:crosses val="autoZero"/>
        <c:auto val="1"/>
        <c:lblAlgn val="ctr"/>
        <c:lblOffset val="100"/>
        <c:noMultiLvlLbl val="0"/>
      </c:catAx>
      <c:valAx>
        <c:axId val="1545683551"/>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54568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PT!PivotTable33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2">
                <a:lumMod val="75000"/>
              </a:schemeClr>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2.2160476310647128E-2"/>
          <c:y val="0.15936120971677792"/>
          <c:w val="0.93905869014572041"/>
          <c:h val="0.62923338112669214"/>
        </c:manualLayout>
      </c:layout>
      <c:lineChart>
        <c:grouping val="stacked"/>
        <c:varyColors val="0"/>
        <c:ser>
          <c:idx val="0"/>
          <c:order val="0"/>
          <c:tx>
            <c:strRef>
              <c:f>'KPIs &amp; question answers with PT'!$M$96</c:f>
              <c:strCache>
                <c:ptCount val="1"/>
                <c:pt idx="0">
                  <c:v>Total</c:v>
                </c:pt>
              </c:strCache>
            </c:strRef>
          </c:tx>
          <c:spPr>
            <a:ln w="28575" cap="rnd">
              <a:solidFill>
                <a:schemeClr val="bg2">
                  <a:lumMod val="7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'KPIs &amp; question answers with PT'!$L$97:$L$105</c:f>
              <c:multiLvlStrCache>
                <c:ptCount val="7"/>
                <c:lvl>
                  <c:pt idx="0">
                    <c:v>Sunday</c:v>
                  </c:pt>
                  <c:pt idx="1">
                    <c:v>Monday</c:v>
                  </c:pt>
                  <c:pt idx="2">
                    <c:v>Tuesday</c:v>
                  </c:pt>
                  <c:pt idx="3">
                    <c:v>Wednesday</c:v>
                  </c:pt>
                  <c:pt idx="4">
                    <c:v>Thursday</c:v>
                  </c:pt>
                  <c:pt idx="5">
                    <c:v>Friday</c:v>
                  </c:pt>
                  <c:pt idx="6">
                    <c:v>Saturday</c:v>
                  </c:pt>
                </c:lvl>
                <c:lvl>
                  <c:pt idx="0">
                    <c:v>2019</c:v>
                  </c:pt>
                </c:lvl>
              </c:multiLvlStrCache>
            </c:multiLvlStrRef>
          </c:cat>
          <c:val>
            <c:numRef>
              <c:f>'KPIs &amp; question answers with PT'!$M$97:$M$105</c:f>
              <c:numCache>
                <c:formatCode>_(* #,##0_);_(* \(#,##0\);_(* "-"??_);_(@_)</c:formatCode>
                <c:ptCount val="7"/>
                <c:pt idx="0">
                  <c:v>48700</c:v>
                </c:pt>
                <c:pt idx="1">
                  <c:v>52000</c:v>
                </c:pt>
                <c:pt idx="2">
                  <c:v>51900</c:v>
                </c:pt>
                <c:pt idx="3">
                  <c:v>50750</c:v>
                </c:pt>
                <c:pt idx="4">
                  <c:v>49000</c:v>
                </c:pt>
                <c:pt idx="5">
                  <c:v>50300</c:v>
                </c:pt>
                <c:pt idx="6">
                  <c:v>48200</c:v>
                </c:pt>
              </c:numCache>
            </c:numRef>
          </c:val>
          <c:smooth val="0"/>
          <c:extLst>
            <c:ext xmlns:c16="http://schemas.microsoft.com/office/drawing/2014/chart" uri="{C3380CC4-5D6E-409C-BE32-E72D297353CC}">
              <c16:uniqueId val="{00000000-4589-445E-8828-F7405D2F692E}"/>
            </c:ext>
          </c:extLst>
        </c:ser>
        <c:dLbls>
          <c:showLegendKey val="0"/>
          <c:showVal val="0"/>
          <c:showCatName val="0"/>
          <c:showSerName val="0"/>
          <c:showPercent val="0"/>
          <c:showBubbleSize val="0"/>
        </c:dLbls>
        <c:marker val="1"/>
        <c:smooth val="0"/>
        <c:axId val="1545671551"/>
        <c:axId val="1663036863"/>
      </c:lineChart>
      <c:catAx>
        <c:axId val="154567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36863"/>
        <c:crosses val="autoZero"/>
        <c:auto val="1"/>
        <c:lblAlgn val="ctr"/>
        <c:lblOffset val="100"/>
        <c:noMultiLvlLbl val="0"/>
      </c:catAx>
      <c:valAx>
        <c:axId val="1663036863"/>
        <c:scaling>
          <c:orientation val="minMax"/>
        </c:scaling>
        <c:delete val="1"/>
        <c:axPos val="l"/>
        <c:majorGridlines>
          <c:spPr>
            <a:ln w="9525" cap="flat" cmpd="sng" algn="ctr">
              <a:noFill/>
              <a:round/>
            </a:ln>
            <a:effectLst/>
          </c:spPr>
        </c:majorGridlines>
        <c:numFmt formatCode="_(* #,##0_);_(* \(#,##0\);_(* &quot;-&quot;??_);_(@_)" sourceLinked="1"/>
        <c:majorTickMark val="none"/>
        <c:minorTickMark val="none"/>
        <c:tickLblPos val="nextTo"/>
        <c:crossAx val="154567155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PT!PivotTable25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rPr>
              <a:t>Products</a:t>
            </a:r>
            <a:r>
              <a:rPr lang="en-US" baseline="0">
                <a:solidFill>
                  <a:schemeClr val="bg2"/>
                </a:solidFill>
              </a:rPr>
              <a:t> Demand</a:t>
            </a:r>
            <a:endParaRPr lang="en-US">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pivotFmt>
    </c:pivotFmts>
    <c:plotArea>
      <c:layout>
        <c:manualLayout>
          <c:layoutTarget val="inner"/>
          <c:xMode val="edge"/>
          <c:yMode val="edge"/>
          <c:x val="0.22913757655293088"/>
          <c:y val="0.17825313502478857"/>
          <c:w val="0.49128937007874018"/>
          <c:h val="0.81881561679790027"/>
        </c:manualLayout>
      </c:layout>
      <c:doughnutChart>
        <c:varyColors val="1"/>
        <c:ser>
          <c:idx val="0"/>
          <c:order val="0"/>
          <c:tx>
            <c:strRef>
              <c:f>'KPIs &amp; question answers with PT'!$J$189</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B2C9-4240-B73C-46CCA2BF3E12}"/>
              </c:ext>
            </c:extLst>
          </c:dPt>
          <c:dPt>
            <c:idx val="1"/>
            <c:bubble3D val="0"/>
            <c:spPr>
              <a:solidFill>
                <a:schemeClr val="accent2"/>
              </a:solidFill>
              <a:ln w="19050">
                <a:noFill/>
              </a:ln>
              <a:effectLst/>
            </c:spPr>
            <c:extLst>
              <c:ext xmlns:c16="http://schemas.microsoft.com/office/drawing/2014/chart" uri="{C3380CC4-5D6E-409C-BE32-E72D297353CC}">
                <c16:uniqueId val="{00000003-B2C9-4240-B73C-46CCA2BF3E12}"/>
              </c:ext>
            </c:extLst>
          </c:dPt>
          <c:dPt>
            <c:idx val="2"/>
            <c:bubble3D val="0"/>
            <c:spPr>
              <a:solidFill>
                <a:schemeClr val="accent3"/>
              </a:solidFill>
              <a:ln w="19050">
                <a:noFill/>
              </a:ln>
              <a:effectLst/>
            </c:spPr>
            <c:extLst>
              <c:ext xmlns:c16="http://schemas.microsoft.com/office/drawing/2014/chart" uri="{C3380CC4-5D6E-409C-BE32-E72D297353CC}">
                <c16:uniqueId val="{00000005-B2C9-4240-B73C-46CCA2BF3E12}"/>
              </c:ext>
            </c:extLst>
          </c:dPt>
          <c:dPt>
            <c:idx val="3"/>
            <c:bubble3D val="0"/>
            <c:spPr>
              <a:solidFill>
                <a:schemeClr val="accent4"/>
              </a:solidFill>
              <a:ln w="19050">
                <a:noFill/>
              </a:ln>
              <a:effectLst/>
            </c:spPr>
            <c:extLst>
              <c:ext xmlns:c16="http://schemas.microsoft.com/office/drawing/2014/chart" uri="{C3380CC4-5D6E-409C-BE32-E72D297353CC}">
                <c16:uniqueId val="{00000007-B2C9-4240-B73C-46CCA2BF3E12}"/>
              </c:ext>
            </c:extLst>
          </c:dPt>
          <c:dPt>
            <c:idx val="4"/>
            <c:bubble3D val="0"/>
            <c:spPr>
              <a:solidFill>
                <a:schemeClr val="accent5"/>
              </a:solidFill>
              <a:ln w="19050">
                <a:noFill/>
              </a:ln>
              <a:effectLst/>
            </c:spPr>
            <c:extLst>
              <c:ext xmlns:c16="http://schemas.microsoft.com/office/drawing/2014/chart" uri="{C3380CC4-5D6E-409C-BE32-E72D297353CC}">
                <c16:uniqueId val="{00000009-B2C9-4240-B73C-46CCA2BF3E12}"/>
              </c:ext>
            </c:extLst>
          </c:dPt>
          <c:dPt>
            <c:idx val="5"/>
            <c:bubble3D val="0"/>
            <c:spPr>
              <a:solidFill>
                <a:schemeClr val="accent6"/>
              </a:solidFill>
              <a:ln w="19050">
                <a:noFill/>
              </a:ln>
              <a:effectLst/>
            </c:spPr>
            <c:extLst>
              <c:ext xmlns:c16="http://schemas.microsoft.com/office/drawing/2014/chart" uri="{C3380CC4-5D6E-409C-BE32-E72D297353CC}">
                <c16:uniqueId val="{0000000B-B2C9-4240-B73C-46CCA2BF3E12}"/>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B2C9-4240-B73C-46CCA2BF3E12}"/>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B2C9-4240-B73C-46CCA2BF3E12}"/>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B2C9-4240-B73C-46CCA2BF3E12}"/>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B2C9-4240-B73C-46CCA2BF3E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&amp; question answers with PT'!$I$190:$I$200</c:f>
              <c:strCache>
                <c:ptCount val="10"/>
                <c:pt idx="0">
                  <c:v> Chain</c:v>
                </c:pt>
                <c:pt idx="1">
                  <c:v> Jeans - Denim</c:v>
                </c:pt>
                <c:pt idx="2">
                  <c:v> Jeans - Lega</c:v>
                </c:pt>
                <c:pt idx="3">
                  <c:v> Jeans - Levis</c:v>
                </c:pt>
                <c:pt idx="4">
                  <c:v> Jeans - Zara</c:v>
                </c:pt>
                <c:pt idx="5">
                  <c:v> shirt</c:v>
                </c:pt>
                <c:pt idx="6">
                  <c:v> Shirt - Arrow</c:v>
                </c:pt>
                <c:pt idx="7">
                  <c:v> Shirt - PE</c:v>
                </c:pt>
                <c:pt idx="8">
                  <c:v> T-shirt</c:v>
                </c:pt>
                <c:pt idx="9">
                  <c:v> Wallet</c:v>
                </c:pt>
              </c:strCache>
            </c:strRef>
          </c:cat>
          <c:val>
            <c:numRef>
              <c:f>'KPIs &amp; question answers with PT'!$J$190:$J$200</c:f>
              <c:numCache>
                <c:formatCode>0</c:formatCode>
                <c:ptCount val="10"/>
                <c:pt idx="0">
                  <c:v>289.83333333333331</c:v>
                </c:pt>
                <c:pt idx="1">
                  <c:v>133.41463414634146</c:v>
                </c:pt>
                <c:pt idx="2">
                  <c:v>198.48275862068965</c:v>
                </c:pt>
                <c:pt idx="3">
                  <c:v>163.80487804878049</c:v>
                </c:pt>
                <c:pt idx="4">
                  <c:v>185.44186046511629</c:v>
                </c:pt>
                <c:pt idx="5">
                  <c:v>184.47619047619048</c:v>
                </c:pt>
                <c:pt idx="6">
                  <c:v>202.68421052631578</c:v>
                </c:pt>
                <c:pt idx="7">
                  <c:v>155.08695652173913</c:v>
                </c:pt>
                <c:pt idx="8">
                  <c:v>186.55882352941177</c:v>
                </c:pt>
                <c:pt idx="9">
                  <c:v>236.57142857142858</c:v>
                </c:pt>
              </c:numCache>
            </c:numRef>
          </c:val>
          <c:extLst>
            <c:ext xmlns:c16="http://schemas.microsoft.com/office/drawing/2014/chart" uri="{C3380CC4-5D6E-409C-BE32-E72D297353CC}">
              <c16:uniqueId val="{00000014-B2C9-4240-B73C-46CCA2BF3E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 with pivot tables.xlsx]KPIs &amp; question answers with PT!PivotTable26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rPr>
              <a:t>Products</a:t>
            </a:r>
            <a:r>
              <a:rPr lang="en-US" baseline="0">
                <a:solidFill>
                  <a:schemeClr val="bg2"/>
                </a:solidFill>
              </a:rPr>
              <a:t> Revenue</a:t>
            </a:r>
            <a:endParaRPr lang="en-US">
              <a:solidFill>
                <a:schemeClr val="bg2"/>
              </a:solidFill>
            </a:endParaRPr>
          </a:p>
        </c:rich>
      </c:tx>
      <c:layout>
        <c:manualLayout>
          <c:xMode val="edge"/>
          <c:yMode val="edge"/>
          <c:x val="0.32891888167793532"/>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42882251285031E-2"/>
          <c:y val="0.17490522018081076"/>
          <c:w val="0.76042022610626836"/>
          <c:h val="0.5006758530183727"/>
        </c:manualLayout>
      </c:layout>
      <c:barChart>
        <c:barDir val="col"/>
        <c:grouping val="clustered"/>
        <c:varyColors val="0"/>
        <c:ser>
          <c:idx val="0"/>
          <c:order val="0"/>
          <c:tx>
            <c:strRef>
              <c:f>'KPIs &amp; question answers with PT'!$J$204</c:f>
              <c:strCache>
                <c:ptCount val="1"/>
                <c:pt idx="0">
                  <c:v>Count of Reciept no </c:v>
                </c:pt>
              </c:strCache>
            </c:strRef>
          </c:tx>
          <c:spPr>
            <a:solidFill>
              <a:schemeClr val="accent1"/>
            </a:solidFill>
            <a:ln>
              <a:noFill/>
            </a:ln>
            <a:effectLst/>
          </c:spPr>
          <c:invertIfNegative val="0"/>
          <c:cat>
            <c:strRef>
              <c:f>'KPIs &amp; question answers with PT'!$I$205:$I$215</c:f>
              <c:strCache>
                <c:ptCount val="10"/>
                <c:pt idx="0">
                  <c:v> Jeans - Levis</c:v>
                </c:pt>
                <c:pt idx="1">
                  <c:v> Jeans - Zara</c:v>
                </c:pt>
                <c:pt idx="2">
                  <c:v> T-shirt</c:v>
                </c:pt>
                <c:pt idx="3">
                  <c:v> Jeans - Denim</c:v>
                </c:pt>
                <c:pt idx="4">
                  <c:v> Jeans - Lega</c:v>
                </c:pt>
                <c:pt idx="5">
                  <c:v> Shirt - Arrow</c:v>
                </c:pt>
                <c:pt idx="6">
                  <c:v> Shirt - PE</c:v>
                </c:pt>
                <c:pt idx="7">
                  <c:v> shirt</c:v>
                </c:pt>
                <c:pt idx="8">
                  <c:v> Wallet</c:v>
                </c:pt>
                <c:pt idx="9">
                  <c:v> Chain</c:v>
                </c:pt>
              </c:strCache>
            </c:strRef>
          </c:cat>
          <c:val>
            <c:numRef>
              <c:f>'KPIs &amp; question answers with PT'!$J$205:$J$215</c:f>
              <c:numCache>
                <c:formatCode>General</c:formatCode>
                <c:ptCount val="10"/>
                <c:pt idx="0">
                  <c:v>82</c:v>
                </c:pt>
                <c:pt idx="1">
                  <c:v>43</c:v>
                </c:pt>
                <c:pt idx="2">
                  <c:v>68</c:v>
                </c:pt>
                <c:pt idx="3">
                  <c:v>41</c:v>
                </c:pt>
                <c:pt idx="4">
                  <c:v>29</c:v>
                </c:pt>
                <c:pt idx="5">
                  <c:v>19</c:v>
                </c:pt>
                <c:pt idx="6">
                  <c:v>23</c:v>
                </c:pt>
                <c:pt idx="7">
                  <c:v>21</c:v>
                </c:pt>
                <c:pt idx="8">
                  <c:v>21</c:v>
                </c:pt>
                <c:pt idx="9">
                  <c:v>18</c:v>
                </c:pt>
              </c:numCache>
            </c:numRef>
          </c:val>
          <c:extLst>
            <c:ext xmlns:c16="http://schemas.microsoft.com/office/drawing/2014/chart" uri="{C3380CC4-5D6E-409C-BE32-E72D297353CC}">
              <c16:uniqueId val="{00000000-D521-4B2E-82E4-FE3AE4008E3F}"/>
            </c:ext>
          </c:extLst>
        </c:ser>
        <c:ser>
          <c:idx val="1"/>
          <c:order val="1"/>
          <c:tx>
            <c:strRef>
              <c:f>'KPIs &amp; question answers with PT'!$K$204</c:f>
              <c:strCache>
                <c:ptCount val="1"/>
                <c:pt idx="0">
                  <c:v>Sum of Sales after Discount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question answers with PT'!$I$205:$I$215</c:f>
              <c:strCache>
                <c:ptCount val="10"/>
                <c:pt idx="0">
                  <c:v> Jeans - Levis</c:v>
                </c:pt>
                <c:pt idx="1">
                  <c:v> Jeans - Zara</c:v>
                </c:pt>
                <c:pt idx="2">
                  <c:v> T-shirt</c:v>
                </c:pt>
                <c:pt idx="3">
                  <c:v> Jeans - Denim</c:v>
                </c:pt>
                <c:pt idx="4">
                  <c:v> Jeans - Lega</c:v>
                </c:pt>
                <c:pt idx="5">
                  <c:v> Shirt - Arrow</c:v>
                </c:pt>
                <c:pt idx="6">
                  <c:v> Shirt - PE</c:v>
                </c:pt>
                <c:pt idx="7">
                  <c:v> shirt</c:v>
                </c:pt>
                <c:pt idx="8">
                  <c:v> Wallet</c:v>
                </c:pt>
                <c:pt idx="9">
                  <c:v> Chain</c:v>
                </c:pt>
              </c:strCache>
            </c:strRef>
          </c:cat>
          <c:val>
            <c:numRef>
              <c:f>'KPIs &amp; question answers with PT'!$K$205:$K$215</c:f>
              <c:numCache>
                <c:formatCode>_(* #,##0_);_(* \(#,##0\);_(* "-"??_);_(@_)</c:formatCode>
                <c:ptCount val="10"/>
                <c:pt idx="0">
                  <c:v>106700</c:v>
                </c:pt>
                <c:pt idx="1">
                  <c:v>42300</c:v>
                </c:pt>
                <c:pt idx="2">
                  <c:v>42100</c:v>
                </c:pt>
                <c:pt idx="3">
                  <c:v>36805</c:v>
                </c:pt>
                <c:pt idx="4">
                  <c:v>29000</c:v>
                </c:pt>
                <c:pt idx="5">
                  <c:v>23800</c:v>
                </c:pt>
                <c:pt idx="6">
                  <c:v>20800</c:v>
                </c:pt>
                <c:pt idx="7">
                  <c:v>17850</c:v>
                </c:pt>
                <c:pt idx="8">
                  <c:v>13600</c:v>
                </c:pt>
                <c:pt idx="9">
                  <c:v>11400</c:v>
                </c:pt>
              </c:numCache>
            </c:numRef>
          </c:val>
          <c:extLst>
            <c:ext xmlns:c16="http://schemas.microsoft.com/office/drawing/2014/chart" uri="{C3380CC4-5D6E-409C-BE32-E72D297353CC}">
              <c16:uniqueId val="{00000001-D521-4B2E-82E4-FE3AE4008E3F}"/>
            </c:ext>
          </c:extLst>
        </c:ser>
        <c:dLbls>
          <c:showLegendKey val="0"/>
          <c:showVal val="0"/>
          <c:showCatName val="0"/>
          <c:showSerName val="0"/>
          <c:showPercent val="0"/>
          <c:showBubbleSize val="0"/>
        </c:dLbls>
        <c:gapWidth val="219"/>
        <c:overlap val="-27"/>
        <c:axId val="1663080543"/>
        <c:axId val="1663079583"/>
      </c:barChart>
      <c:catAx>
        <c:axId val="166308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3079583"/>
        <c:crosses val="autoZero"/>
        <c:auto val="1"/>
        <c:lblAlgn val="ctr"/>
        <c:lblOffset val="100"/>
        <c:noMultiLvlLbl val="0"/>
      </c:catAx>
      <c:valAx>
        <c:axId val="166307958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66308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chart" Target="../charts/chart27.xml"/><Relationship Id="rId3" Type="http://schemas.openxmlformats.org/officeDocument/2006/relationships/image" Target="../media/image8.png"/><Relationship Id="rId7" Type="http://schemas.openxmlformats.org/officeDocument/2006/relationships/image" Target="../media/image11.svg"/><Relationship Id="rId12" Type="http://schemas.openxmlformats.org/officeDocument/2006/relationships/chart" Target="../charts/chart26.xml"/><Relationship Id="rId17" Type="http://schemas.openxmlformats.org/officeDocument/2006/relationships/chart" Target="../charts/chart31.xml"/><Relationship Id="rId2" Type="http://schemas.microsoft.com/office/2007/relationships/hdphoto" Target="../media/hdphoto1.wdp"/><Relationship Id="rId16" Type="http://schemas.openxmlformats.org/officeDocument/2006/relationships/chart" Target="../charts/chart30.xml"/><Relationship Id="rId1" Type="http://schemas.openxmlformats.org/officeDocument/2006/relationships/image" Target="../media/image7.png"/><Relationship Id="rId6" Type="http://schemas.openxmlformats.org/officeDocument/2006/relationships/image" Target="../media/image10.png"/><Relationship Id="rId11" Type="http://schemas.openxmlformats.org/officeDocument/2006/relationships/chart" Target="../charts/chart25.xml"/><Relationship Id="rId5" Type="http://schemas.openxmlformats.org/officeDocument/2006/relationships/chart" Target="../charts/chart23.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image" Target="../media/image9.svg"/><Relationship Id="rId9" Type="http://schemas.openxmlformats.org/officeDocument/2006/relationships/image" Target="../media/image13.svg"/><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oneCell">
    <xdr:from>
      <xdr:col>10</xdr:col>
      <xdr:colOff>298938</xdr:colOff>
      <xdr:row>65</xdr:row>
      <xdr:rowOff>56109</xdr:rowOff>
    </xdr:from>
    <xdr:to>
      <xdr:col>11</xdr:col>
      <xdr:colOff>584556</xdr:colOff>
      <xdr:row>78</xdr:row>
      <xdr:rowOff>17584</xdr:rowOff>
    </xdr:to>
    <mc:AlternateContent xmlns:mc="http://schemas.openxmlformats.org/markup-compatibility/2006" xmlns:a14="http://schemas.microsoft.com/office/drawing/2010/main">
      <mc:Choice Requires="a14">
        <xdr:graphicFrame macro="">
          <xdr:nvGraphicFramePr>
            <xdr:cNvPr id="20" name="year 2">
              <a:extLst>
                <a:ext uri="{FF2B5EF4-FFF2-40B4-BE49-F238E27FC236}">
                  <a16:creationId xmlns:a16="http://schemas.microsoft.com/office/drawing/2014/main" id="{2DE7DE57-C393-6ED0-EB90-88D37E4A267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401907" y="11867109"/>
              <a:ext cx="766264" cy="232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20514</xdr:colOff>
      <xdr:row>65</xdr:row>
      <xdr:rowOff>73268</xdr:rowOff>
    </xdr:from>
    <xdr:to>
      <xdr:col>10</xdr:col>
      <xdr:colOff>205153</xdr:colOff>
      <xdr:row>80</xdr:row>
      <xdr:rowOff>90853</xdr:rowOff>
    </xdr:to>
    <xdr:graphicFrame macro="">
      <xdr:nvGraphicFramePr>
        <xdr:cNvPr id="22" name="Chart 21">
          <a:extLst>
            <a:ext uri="{FF2B5EF4-FFF2-40B4-BE49-F238E27FC236}">
              <a16:creationId xmlns:a16="http://schemas.microsoft.com/office/drawing/2014/main" id="{B5139F07-6B1D-746B-87E2-7EB75B17A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118259</xdr:colOff>
      <xdr:row>4</xdr:row>
      <xdr:rowOff>78922</xdr:rowOff>
    </xdr:from>
    <xdr:to>
      <xdr:col>31</xdr:col>
      <xdr:colOff>512618</xdr:colOff>
      <xdr:row>49</xdr:row>
      <xdr:rowOff>0</xdr:rowOff>
    </xdr:to>
    <xdr:sp macro="" textlink="">
      <xdr:nvSpPr>
        <xdr:cNvPr id="3" name="Rectangle: Rounded Corners 2">
          <a:extLst>
            <a:ext uri="{FF2B5EF4-FFF2-40B4-BE49-F238E27FC236}">
              <a16:creationId xmlns:a16="http://schemas.microsoft.com/office/drawing/2014/main" id="{53FE3F05-F65A-2C41-C34E-5FE3D0F84670}"/>
            </a:ext>
          </a:extLst>
        </xdr:cNvPr>
        <xdr:cNvSpPr/>
      </xdr:nvSpPr>
      <xdr:spPr>
        <a:xfrm>
          <a:off x="2556659" y="799358"/>
          <a:ext cx="16853559" cy="8025987"/>
        </a:xfrm>
        <a:prstGeom prst="roundRect">
          <a:avLst/>
        </a:prstGeom>
        <a:solidFill>
          <a:srgbClr val="36306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318098</xdr:colOff>
      <xdr:row>4</xdr:row>
      <xdr:rowOff>9404</xdr:rowOff>
    </xdr:from>
    <xdr:to>
      <xdr:col>24</xdr:col>
      <xdr:colOff>312779</xdr:colOff>
      <xdr:row>10</xdr:row>
      <xdr:rowOff>147702</xdr:rowOff>
    </xdr:to>
    <xdr:sp macro="" textlink="">
      <xdr:nvSpPr>
        <xdr:cNvPr id="4" name="TextBox 3">
          <a:extLst>
            <a:ext uri="{FF2B5EF4-FFF2-40B4-BE49-F238E27FC236}">
              <a16:creationId xmlns:a16="http://schemas.microsoft.com/office/drawing/2014/main" id="{27B68DBA-E484-8AA4-02BA-53A4562AA5D5}"/>
            </a:ext>
          </a:extLst>
        </xdr:cNvPr>
        <xdr:cNvSpPr txBox="1"/>
      </xdr:nvSpPr>
      <xdr:spPr>
        <a:xfrm>
          <a:off x="7023698" y="729840"/>
          <a:ext cx="7919481" cy="1218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a:solidFill>
                <a:srgbClr val="F5E8C7"/>
              </a:solidFill>
            </a:rPr>
            <a:t>Town</a:t>
          </a:r>
          <a:r>
            <a:rPr lang="en-US" sz="4400" baseline="0">
              <a:solidFill>
                <a:srgbClr val="F5E8C7"/>
              </a:solidFill>
            </a:rPr>
            <a:t> Team sales dashboard</a:t>
          </a:r>
          <a:endParaRPr lang="en-US" sz="4400">
            <a:solidFill>
              <a:srgbClr val="F5E8C7"/>
            </a:solidFill>
          </a:endParaRPr>
        </a:p>
      </xdr:txBody>
    </xdr:sp>
    <xdr:clientData/>
  </xdr:twoCellAnchor>
  <xdr:twoCellAnchor>
    <xdr:from>
      <xdr:col>4</xdr:col>
      <xdr:colOff>392440</xdr:colOff>
      <xdr:row>11</xdr:row>
      <xdr:rowOff>124690</xdr:rowOff>
    </xdr:from>
    <xdr:to>
      <xdr:col>11</xdr:col>
      <xdr:colOff>152399</xdr:colOff>
      <xdr:row>17</xdr:row>
      <xdr:rowOff>126282</xdr:rowOff>
    </xdr:to>
    <xdr:sp macro="" textlink="">
      <xdr:nvSpPr>
        <xdr:cNvPr id="5" name="TextBox 4">
          <a:extLst>
            <a:ext uri="{FF2B5EF4-FFF2-40B4-BE49-F238E27FC236}">
              <a16:creationId xmlns:a16="http://schemas.microsoft.com/office/drawing/2014/main" id="{FD8D62E3-BAA7-B4BB-2B43-13AC636EC1D5}"/>
            </a:ext>
          </a:extLst>
        </xdr:cNvPr>
        <xdr:cNvSpPr txBox="1"/>
      </xdr:nvSpPr>
      <xdr:spPr>
        <a:xfrm>
          <a:off x="2830840" y="2105890"/>
          <a:ext cx="4027159" cy="1082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500">
              <a:solidFill>
                <a:srgbClr val="F5E8C7"/>
              </a:solidFill>
            </a:rPr>
            <a:t>Total</a:t>
          </a:r>
          <a:r>
            <a:rPr lang="en-US" sz="3500" baseline="0">
              <a:solidFill>
                <a:srgbClr val="F5E8C7"/>
              </a:solidFill>
            </a:rPr>
            <a:t> sales</a:t>
          </a:r>
          <a:endParaRPr lang="en-US" sz="3500">
            <a:solidFill>
              <a:srgbClr val="F5E8C7"/>
            </a:solidFill>
          </a:endParaRPr>
        </a:p>
      </xdr:txBody>
    </xdr:sp>
    <xdr:clientData/>
  </xdr:twoCellAnchor>
  <xdr:twoCellAnchor>
    <xdr:from>
      <xdr:col>4</xdr:col>
      <xdr:colOff>392440</xdr:colOff>
      <xdr:row>15</xdr:row>
      <xdr:rowOff>56310</xdr:rowOff>
    </xdr:from>
    <xdr:to>
      <xdr:col>11</xdr:col>
      <xdr:colOff>152399</xdr:colOff>
      <xdr:row>21</xdr:row>
      <xdr:rowOff>59407</xdr:rowOff>
    </xdr:to>
    <xdr:sp macro="" textlink="#REF!">
      <xdr:nvSpPr>
        <xdr:cNvPr id="6" name="TextBox 5">
          <a:extLst>
            <a:ext uri="{FF2B5EF4-FFF2-40B4-BE49-F238E27FC236}">
              <a16:creationId xmlns:a16="http://schemas.microsoft.com/office/drawing/2014/main" id="{15550745-3161-6D18-74EC-B1D0A59B9F74}"/>
            </a:ext>
          </a:extLst>
        </xdr:cNvPr>
        <xdr:cNvSpPr txBox="1"/>
      </xdr:nvSpPr>
      <xdr:spPr>
        <a:xfrm>
          <a:off x="2830840" y="2757946"/>
          <a:ext cx="4027159" cy="108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6D62A1-FE52-45F0-BB19-033B3DD086BF}" type="TxLink">
            <a:rPr lang="en-US" sz="3000" b="0" i="0" u="none" strike="noStrike">
              <a:solidFill>
                <a:srgbClr val="F5E8C7"/>
              </a:solidFill>
              <a:latin typeface="Calibri"/>
              <a:ea typeface="Calibri"/>
              <a:cs typeface="Calibri"/>
            </a:rPr>
            <a:pPr algn="ctr"/>
            <a:t>EGP 988,000</a:t>
          </a:fld>
          <a:endParaRPr lang="en-US" sz="3000">
            <a:solidFill>
              <a:srgbClr val="F5E8C7"/>
            </a:solidFill>
          </a:endParaRPr>
        </a:p>
      </xdr:txBody>
    </xdr:sp>
    <xdr:clientData/>
  </xdr:twoCellAnchor>
  <xdr:twoCellAnchor>
    <xdr:from>
      <xdr:col>4</xdr:col>
      <xdr:colOff>392440</xdr:colOff>
      <xdr:row>18</xdr:row>
      <xdr:rowOff>169543</xdr:rowOff>
    </xdr:from>
    <xdr:to>
      <xdr:col>11</xdr:col>
      <xdr:colOff>152399</xdr:colOff>
      <xdr:row>24</xdr:row>
      <xdr:rowOff>171134</xdr:rowOff>
    </xdr:to>
    <xdr:sp macro="" textlink="">
      <xdr:nvSpPr>
        <xdr:cNvPr id="7" name="TextBox 6">
          <a:extLst>
            <a:ext uri="{FF2B5EF4-FFF2-40B4-BE49-F238E27FC236}">
              <a16:creationId xmlns:a16="http://schemas.microsoft.com/office/drawing/2014/main" id="{9123343B-1A82-2BAD-4F7F-00031E0FE8C7}"/>
            </a:ext>
          </a:extLst>
        </xdr:cNvPr>
        <xdr:cNvSpPr txBox="1"/>
      </xdr:nvSpPr>
      <xdr:spPr>
        <a:xfrm>
          <a:off x="2830840" y="3411507"/>
          <a:ext cx="4027159" cy="1082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500">
              <a:solidFill>
                <a:srgbClr val="F5E8C7"/>
              </a:solidFill>
            </a:rPr>
            <a:t># of producs </a:t>
          </a:r>
        </a:p>
      </xdr:txBody>
    </xdr:sp>
    <xdr:clientData/>
  </xdr:twoCellAnchor>
  <xdr:twoCellAnchor>
    <xdr:from>
      <xdr:col>4</xdr:col>
      <xdr:colOff>392440</xdr:colOff>
      <xdr:row>22</xdr:row>
      <xdr:rowOff>101161</xdr:rowOff>
    </xdr:from>
    <xdr:to>
      <xdr:col>11</xdr:col>
      <xdr:colOff>152399</xdr:colOff>
      <xdr:row>28</xdr:row>
      <xdr:rowOff>104256</xdr:rowOff>
    </xdr:to>
    <xdr:sp macro="" textlink="#REF!">
      <xdr:nvSpPr>
        <xdr:cNvPr id="8" name="TextBox 7">
          <a:extLst>
            <a:ext uri="{FF2B5EF4-FFF2-40B4-BE49-F238E27FC236}">
              <a16:creationId xmlns:a16="http://schemas.microsoft.com/office/drawing/2014/main" id="{CCE992F8-9675-9060-2B15-BF1F6AAB7E17}"/>
            </a:ext>
          </a:extLst>
        </xdr:cNvPr>
        <xdr:cNvSpPr txBox="1"/>
      </xdr:nvSpPr>
      <xdr:spPr>
        <a:xfrm>
          <a:off x="2830840" y="4063561"/>
          <a:ext cx="4027159" cy="1083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D62CC9-DDD8-44F3-B706-C6093D22D930}" type="TxLink">
            <a:rPr lang="en-US" sz="3000" b="0" i="0" u="none" strike="noStrike">
              <a:solidFill>
                <a:srgbClr val="F5E8C7"/>
              </a:solidFill>
              <a:latin typeface="Calibri"/>
              <a:ea typeface="Calibri"/>
              <a:cs typeface="Calibri"/>
            </a:rPr>
            <a:pPr marL="0" indent="0" algn="ctr"/>
            <a:t>10</a:t>
          </a:fld>
          <a:endParaRPr lang="en-US" sz="3000" b="0" i="0" u="none" strike="noStrike">
            <a:solidFill>
              <a:srgbClr val="F5E8C7"/>
            </a:solidFill>
            <a:latin typeface="Calibri"/>
            <a:ea typeface="Calibri"/>
            <a:cs typeface="Calibri"/>
          </a:endParaRPr>
        </a:p>
      </xdr:txBody>
    </xdr:sp>
    <xdr:clientData/>
  </xdr:twoCellAnchor>
  <xdr:twoCellAnchor>
    <xdr:from>
      <xdr:col>4</xdr:col>
      <xdr:colOff>392440</xdr:colOff>
      <xdr:row>26</xdr:row>
      <xdr:rowOff>34284</xdr:rowOff>
    </xdr:from>
    <xdr:to>
      <xdr:col>11</xdr:col>
      <xdr:colOff>152399</xdr:colOff>
      <xdr:row>32</xdr:row>
      <xdr:rowOff>38652</xdr:rowOff>
    </xdr:to>
    <xdr:sp macro="" textlink="">
      <xdr:nvSpPr>
        <xdr:cNvPr id="9" name="TextBox 8">
          <a:extLst>
            <a:ext uri="{FF2B5EF4-FFF2-40B4-BE49-F238E27FC236}">
              <a16:creationId xmlns:a16="http://schemas.microsoft.com/office/drawing/2014/main" id="{486AB848-46FB-1734-DA19-B02B39345D43}"/>
            </a:ext>
          </a:extLst>
        </xdr:cNvPr>
        <xdr:cNvSpPr txBox="1"/>
      </xdr:nvSpPr>
      <xdr:spPr>
        <a:xfrm>
          <a:off x="2830840" y="4717120"/>
          <a:ext cx="4027159" cy="1085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500">
              <a:solidFill>
                <a:srgbClr val="F5E8C7"/>
              </a:solidFill>
            </a:rPr>
            <a:t>Avg of quantity </a:t>
          </a:r>
        </a:p>
      </xdr:txBody>
    </xdr:sp>
    <xdr:clientData/>
  </xdr:twoCellAnchor>
  <xdr:twoCellAnchor>
    <xdr:from>
      <xdr:col>4</xdr:col>
      <xdr:colOff>392440</xdr:colOff>
      <xdr:row>29</xdr:row>
      <xdr:rowOff>148788</xdr:rowOff>
    </xdr:from>
    <xdr:to>
      <xdr:col>11</xdr:col>
      <xdr:colOff>152399</xdr:colOff>
      <xdr:row>35</xdr:row>
      <xdr:rowOff>149109</xdr:rowOff>
    </xdr:to>
    <xdr:sp macro="" textlink="#REF!">
      <xdr:nvSpPr>
        <xdr:cNvPr id="10" name="TextBox 9">
          <a:extLst>
            <a:ext uri="{FF2B5EF4-FFF2-40B4-BE49-F238E27FC236}">
              <a16:creationId xmlns:a16="http://schemas.microsoft.com/office/drawing/2014/main" id="{925122E5-F7D4-1D88-DAF8-DF8AF151200B}"/>
            </a:ext>
          </a:extLst>
        </xdr:cNvPr>
        <xdr:cNvSpPr txBox="1"/>
      </xdr:nvSpPr>
      <xdr:spPr>
        <a:xfrm>
          <a:off x="2830840" y="5371952"/>
          <a:ext cx="4027159" cy="10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CCB83C-1227-4E53-9605-036D3B2B53DF}" type="TxLink">
            <a:rPr lang="en-US" sz="3000" b="0" i="0" u="none" strike="noStrike">
              <a:solidFill>
                <a:srgbClr val="F5E8C7"/>
              </a:solidFill>
              <a:latin typeface="Calibri"/>
              <a:ea typeface="Calibri"/>
              <a:cs typeface="Calibri"/>
            </a:rPr>
            <a:pPr marL="0" indent="0" algn="ctr"/>
            <a:t>1</a:t>
          </a:fld>
          <a:endParaRPr lang="en-US" sz="3000" b="0" i="0" u="none" strike="noStrike">
            <a:solidFill>
              <a:srgbClr val="F5E8C7"/>
            </a:solidFill>
            <a:latin typeface="Calibri"/>
            <a:ea typeface="Calibri"/>
            <a:cs typeface="Calibri"/>
          </a:endParaRPr>
        </a:p>
      </xdr:txBody>
    </xdr:sp>
    <xdr:clientData/>
  </xdr:twoCellAnchor>
  <xdr:twoCellAnchor>
    <xdr:from>
      <xdr:col>4</xdr:col>
      <xdr:colOff>392440</xdr:colOff>
      <xdr:row>33</xdr:row>
      <xdr:rowOff>79136</xdr:rowOff>
    </xdr:from>
    <xdr:to>
      <xdr:col>11</xdr:col>
      <xdr:colOff>152399</xdr:colOff>
      <xdr:row>39</xdr:row>
      <xdr:rowOff>80726</xdr:rowOff>
    </xdr:to>
    <xdr:sp macro="" textlink="">
      <xdr:nvSpPr>
        <xdr:cNvPr id="11" name="TextBox 10">
          <a:extLst>
            <a:ext uri="{FF2B5EF4-FFF2-40B4-BE49-F238E27FC236}">
              <a16:creationId xmlns:a16="http://schemas.microsoft.com/office/drawing/2014/main" id="{45349A09-C6E9-9258-C70A-D4CBC2D163E9}"/>
            </a:ext>
          </a:extLst>
        </xdr:cNvPr>
        <xdr:cNvSpPr txBox="1"/>
      </xdr:nvSpPr>
      <xdr:spPr>
        <a:xfrm>
          <a:off x="2830840" y="6022736"/>
          <a:ext cx="4027159" cy="1082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500">
              <a:solidFill>
                <a:srgbClr val="F5E8C7"/>
              </a:solidFill>
            </a:rPr>
            <a:t># of transaction </a:t>
          </a:r>
        </a:p>
      </xdr:txBody>
    </xdr:sp>
    <xdr:clientData/>
  </xdr:twoCellAnchor>
  <xdr:twoCellAnchor>
    <xdr:from>
      <xdr:col>4</xdr:col>
      <xdr:colOff>392440</xdr:colOff>
      <xdr:row>37</xdr:row>
      <xdr:rowOff>10757</xdr:rowOff>
    </xdr:from>
    <xdr:to>
      <xdr:col>11</xdr:col>
      <xdr:colOff>152399</xdr:colOff>
      <xdr:row>43</xdr:row>
      <xdr:rowOff>13854</xdr:rowOff>
    </xdr:to>
    <xdr:sp macro="" textlink="#REF!">
      <xdr:nvSpPr>
        <xdr:cNvPr id="12" name="TextBox 11">
          <a:extLst>
            <a:ext uri="{FF2B5EF4-FFF2-40B4-BE49-F238E27FC236}">
              <a16:creationId xmlns:a16="http://schemas.microsoft.com/office/drawing/2014/main" id="{20A204D0-1FB9-7648-D62A-A6C2AFF9DC45}"/>
            </a:ext>
          </a:extLst>
        </xdr:cNvPr>
        <xdr:cNvSpPr txBox="1"/>
      </xdr:nvSpPr>
      <xdr:spPr>
        <a:xfrm>
          <a:off x="2830840" y="6674793"/>
          <a:ext cx="4027159" cy="108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781DBE-8153-48D3-AB7E-3AA67A715906}" type="TxLink">
            <a:rPr lang="en-US" sz="3000" b="0" i="0" u="none" strike="noStrike">
              <a:solidFill>
                <a:srgbClr val="F5E8C7"/>
              </a:solidFill>
              <a:latin typeface="Calibri"/>
              <a:ea typeface="Calibri"/>
              <a:cs typeface="Calibri"/>
            </a:rPr>
            <a:pPr marL="0" indent="0" algn="ctr"/>
            <a:t>1038</a:t>
          </a:fld>
          <a:endParaRPr lang="en-US" sz="3000" b="0" i="0" u="none" strike="noStrike">
            <a:solidFill>
              <a:srgbClr val="F5E8C7"/>
            </a:solidFill>
            <a:latin typeface="Calibri"/>
            <a:ea typeface="Calibri"/>
            <a:cs typeface="Calibri"/>
          </a:endParaRPr>
        </a:p>
      </xdr:txBody>
    </xdr:sp>
    <xdr:clientData/>
  </xdr:twoCellAnchor>
  <xdr:twoCellAnchor>
    <xdr:from>
      <xdr:col>11</xdr:col>
      <xdr:colOff>541068</xdr:colOff>
      <xdr:row>12</xdr:row>
      <xdr:rowOff>105131</xdr:rowOff>
    </xdr:from>
    <xdr:to>
      <xdr:col>31</xdr:col>
      <xdr:colOff>65314</xdr:colOff>
      <xdr:row>30</xdr:row>
      <xdr:rowOff>69273</xdr:rowOff>
    </xdr:to>
    <xdr:graphicFrame macro="">
      <xdr:nvGraphicFramePr>
        <xdr:cNvPr id="13" name="Chart 12">
          <a:extLst>
            <a:ext uri="{FF2B5EF4-FFF2-40B4-BE49-F238E27FC236}">
              <a16:creationId xmlns:a16="http://schemas.microsoft.com/office/drawing/2014/main" id="{B3655FDA-7397-4DE2-A4A1-D1A412FCA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287031</xdr:colOff>
      <xdr:row>32</xdr:row>
      <xdr:rowOff>71296</xdr:rowOff>
    </xdr:from>
    <xdr:to>
      <xdr:col>20</xdr:col>
      <xdr:colOff>400544</xdr:colOff>
      <xdr:row>47</xdr:row>
      <xdr:rowOff>109319</xdr:rowOff>
    </xdr:to>
    <xdr:graphicFrame macro="">
      <xdr:nvGraphicFramePr>
        <xdr:cNvPr id="14" name="Chart 13">
          <a:extLst>
            <a:ext uri="{FF2B5EF4-FFF2-40B4-BE49-F238E27FC236}">
              <a16:creationId xmlns:a16="http://schemas.microsoft.com/office/drawing/2014/main" id="{B4A07462-77BB-468C-81EC-1BF12660C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180035</xdr:colOff>
      <xdr:row>32</xdr:row>
      <xdr:rowOff>26894</xdr:rowOff>
    </xdr:from>
    <xdr:to>
      <xdr:col>28</xdr:col>
      <xdr:colOff>591671</xdr:colOff>
      <xdr:row>47</xdr:row>
      <xdr:rowOff>123465</xdr:rowOff>
    </xdr:to>
    <xdr:graphicFrame macro="">
      <xdr:nvGraphicFramePr>
        <xdr:cNvPr id="15" name="Chart 14">
          <a:extLst>
            <a:ext uri="{FF2B5EF4-FFF2-40B4-BE49-F238E27FC236}">
              <a16:creationId xmlns:a16="http://schemas.microsoft.com/office/drawing/2014/main" id="{AA6ED497-A64B-4F6D-B851-60A7B8B60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180474</xdr:colOff>
      <xdr:row>0</xdr:row>
      <xdr:rowOff>100263</xdr:rowOff>
    </xdr:from>
    <xdr:to>
      <xdr:col>8</xdr:col>
      <xdr:colOff>384848</xdr:colOff>
      <xdr:row>28</xdr:row>
      <xdr:rowOff>53878</xdr:rowOff>
    </xdr:to>
    <xdr:sp macro="" textlink="">
      <xdr:nvSpPr>
        <xdr:cNvPr id="2" name="TextBox 1">
          <a:extLst>
            <a:ext uri="{FF2B5EF4-FFF2-40B4-BE49-F238E27FC236}">
              <a16:creationId xmlns:a16="http://schemas.microsoft.com/office/drawing/2014/main" id="{7E121920-ED04-E724-7350-DC69A2A81C9A}"/>
            </a:ext>
          </a:extLst>
        </xdr:cNvPr>
        <xdr:cNvSpPr txBox="1"/>
      </xdr:nvSpPr>
      <xdr:spPr>
        <a:xfrm>
          <a:off x="180474" y="100263"/>
          <a:ext cx="5068859" cy="51259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Total Sales:</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total sales amount for the entire period?</a:t>
          </a:r>
        </a:p>
        <a:p>
          <a:r>
            <a:rPr lang="en-US" sz="1100" b="1" i="0">
              <a:solidFill>
                <a:schemeClr val="dk1"/>
              </a:solidFill>
              <a:effectLst/>
              <a:latin typeface="+mn-lt"/>
              <a:ea typeface="+mn-ea"/>
              <a:cs typeface="+mn-cs"/>
            </a:rPr>
            <a:t>Sales by Item:</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total quantity sold and total</a:t>
          </a:r>
          <a:r>
            <a:rPr lang="en-US" sz="1100" b="0" i="0" baseline="0">
              <a:solidFill>
                <a:schemeClr val="dk1"/>
              </a:solidFill>
              <a:effectLst/>
              <a:latin typeface="+mn-lt"/>
              <a:ea typeface="+mn-ea"/>
              <a:cs typeface="+mn-cs"/>
            </a:rPr>
            <a:t> sales</a:t>
          </a:r>
          <a:r>
            <a:rPr lang="en-US" sz="1100" b="0" i="0">
              <a:solidFill>
                <a:schemeClr val="dk1"/>
              </a:solidFill>
              <a:effectLst/>
              <a:latin typeface="+mn-lt"/>
              <a:ea typeface="+mn-ea"/>
              <a:cs typeface="+mn-cs"/>
            </a:rPr>
            <a:t> generated for each item?</a:t>
          </a:r>
        </a:p>
        <a:p>
          <a:pPr lvl="1"/>
          <a:r>
            <a:rPr lang="en-US" sz="1100" b="0" i="0">
              <a:solidFill>
                <a:schemeClr val="dk1"/>
              </a:solidFill>
              <a:effectLst/>
              <a:latin typeface="+mn-lt"/>
              <a:ea typeface="+mn-ea"/>
              <a:cs typeface="+mn-cs"/>
            </a:rPr>
            <a:t>Which item has the highest sales quantity?</a:t>
          </a:r>
        </a:p>
        <a:p>
          <a:r>
            <a:rPr lang="en-US" sz="1100" b="1" i="0">
              <a:solidFill>
                <a:schemeClr val="dk1"/>
              </a:solidFill>
              <a:effectLst/>
              <a:latin typeface="+mn-lt"/>
              <a:ea typeface="+mn-ea"/>
              <a:cs typeface="+mn-cs"/>
            </a:rPr>
            <a:t>Sales by Category:</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How much revenue is generated from each category?</a:t>
          </a:r>
        </a:p>
        <a:p>
          <a:pPr lvl="1"/>
          <a:r>
            <a:rPr lang="en-US" sz="1100" b="0" i="0">
              <a:solidFill>
                <a:schemeClr val="dk1"/>
              </a:solidFill>
              <a:effectLst/>
              <a:latin typeface="+mn-lt"/>
              <a:ea typeface="+mn-ea"/>
              <a:cs typeface="+mn-cs"/>
            </a:rPr>
            <a:t>Which category contributes the most to total sales?</a:t>
          </a:r>
        </a:p>
        <a:p>
          <a:r>
            <a:rPr lang="en-US" sz="1100" b="1" i="0">
              <a:solidFill>
                <a:schemeClr val="dk1"/>
              </a:solidFill>
              <a:effectLst/>
              <a:latin typeface="+mn-lt"/>
              <a:ea typeface="+mn-ea"/>
              <a:cs typeface="+mn-cs"/>
            </a:rPr>
            <a:t>Order Types Analysis:</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distribution of sales between "On Shop" and "Online Order"?</a:t>
          </a:r>
        </a:p>
        <a:p>
          <a:pPr lvl="1"/>
          <a:r>
            <a:rPr lang="en-US" sz="1100" b="0" i="0">
              <a:solidFill>
                <a:schemeClr val="dk1"/>
              </a:solidFill>
              <a:effectLst/>
              <a:latin typeface="+mn-lt"/>
              <a:ea typeface="+mn-ea"/>
              <a:cs typeface="+mn-cs"/>
            </a:rPr>
            <a:t>Is there a significant difference in sales between the two order types?</a:t>
          </a:r>
        </a:p>
        <a:p>
          <a:r>
            <a:rPr lang="en-US" sz="1100" b="1" i="0">
              <a:solidFill>
                <a:schemeClr val="dk1"/>
              </a:solidFill>
              <a:effectLst/>
              <a:latin typeface="+mn-lt"/>
              <a:ea typeface="+mn-ea"/>
              <a:cs typeface="+mn-cs"/>
            </a:rPr>
            <a:t>Monthly Sales:</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monthly trend in sales for the given period?</a:t>
          </a:r>
        </a:p>
        <a:p>
          <a:pPr lvl="1"/>
          <a:r>
            <a:rPr lang="en-US" sz="1100" b="0" i="0">
              <a:solidFill>
                <a:schemeClr val="dk1"/>
              </a:solidFill>
              <a:effectLst/>
              <a:latin typeface="+mn-lt"/>
              <a:ea typeface="+mn-ea"/>
              <a:cs typeface="+mn-cs"/>
            </a:rPr>
            <a:t>Are there any seasonal patterns or fluctuations in sales?</a:t>
          </a:r>
        </a:p>
        <a:p>
          <a:r>
            <a:rPr lang="en-US" sz="1100" b="1" i="0">
              <a:solidFill>
                <a:schemeClr val="dk1"/>
              </a:solidFill>
              <a:effectLst/>
              <a:latin typeface="+mn-lt"/>
              <a:ea typeface="+mn-ea"/>
              <a:cs typeface="+mn-cs"/>
            </a:rPr>
            <a:t>Top Selling Items:</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Identify the top 5 best-selling items based on quantity sold and revenue generated.</a:t>
          </a:r>
        </a:p>
        <a:p>
          <a:r>
            <a:rPr lang="en-US" sz="1100" b="1" i="0">
              <a:solidFill>
                <a:schemeClr val="dk1"/>
              </a:solidFill>
              <a:effectLst/>
              <a:latin typeface="+mn-lt"/>
              <a:ea typeface="+mn-ea"/>
              <a:cs typeface="+mn-cs"/>
            </a:rPr>
            <a:t>Average Selling Price:</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average selling price for each item and category?</a:t>
          </a:r>
        </a:p>
        <a:p>
          <a:r>
            <a:rPr lang="en-US" sz="1100" b="1" i="0">
              <a:solidFill>
                <a:schemeClr val="dk1"/>
              </a:solidFill>
              <a:effectLst/>
              <a:latin typeface="+mn-lt"/>
              <a:ea typeface="+mn-ea"/>
              <a:cs typeface="+mn-cs"/>
            </a:rPr>
            <a:t>Sales by Date:</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How do sales vary on different days of the month?</a:t>
          </a:r>
        </a:p>
        <a:p>
          <a:r>
            <a:rPr lang="en-US" sz="1100" b="1" i="0">
              <a:solidFill>
                <a:schemeClr val="dk1"/>
              </a:solidFill>
              <a:effectLst/>
              <a:latin typeface="+mn-lt"/>
              <a:ea typeface="+mn-ea"/>
              <a:cs typeface="+mn-cs"/>
            </a:rPr>
            <a:t>Customer Behavior:</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average quantity of items purchased per order?</a:t>
          </a:r>
        </a:p>
        <a:p>
          <a:pPr lvl="1"/>
          <a:r>
            <a:rPr lang="en-US" sz="1100" b="0" i="0">
              <a:solidFill>
                <a:schemeClr val="dk1"/>
              </a:solidFill>
              <a:effectLst/>
              <a:latin typeface="+mn-lt"/>
              <a:ea typeface="+mn-ea"/>
              <a:cs typeface="+mn-cs"/>
            </a:rPr>
            <a:t>Are there any trends in customer buying behavior?</a:t>
          </a:r>
        </a:p>
        <a:p>
          <a:r>
            <a:rPr lang="en-US" sz="1100" b="1" i="0">
              <a:solidFill>
                <a:schemeClr val="dk1"/>
              </a:solidFill>
              <a:effectLst/>
              <a:latin typeface="+mn-lt"/>
              <a:ea typeface="+mn-ea"/>
              <a:cs typeface="+mn-cs"/>
            </a:rPr>
            <a:t>Popular Brands:</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Identify the most popular brand based on sales quantity and revenue.</a:t>
          </a:r>
        </a:p>
        <a:p>
          <a:r>
            <a:rPr lang="en-US" sz="1100" b="1" i="0">
              <a:solidFill>
                <a:schemeClr val="dk1"/>
              </a:solidFill>
              <a:effectLst/>
              <a:latin typeface="+mn-lt"/>
              <a:ea typeface="+mn-ea"/>
              <a:cs typeface="+mn-cs"/>
            </a:rPr>
            <a:t>Semi Formal vs. Casual Wear:</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Compare the sales performance of Semi Formal and Casual Wear items.</a:t>
          </a:r>
        </a:p>
        <a:p>
          <a:pPr lvl="1"/>
          <a:r>
            <a:rPr lang="en-US" sz="1100" b="0" i="0">
              <a:solidFill>
                <a:schemeClr val="dk1"/>
              </a:solidFill>
              <a:effectLst/>
              <a:latin typeface="+mn-lt"/>
              <a:ea typeface="+mn-ea"/>
              <a:cs typeface="+mn-cs"/>
            </a:rPr>
            <a:t>Identify the top-selling item in each category.</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247518</xdr:colOff>
      <xdr:row>1</xdr:row>
      <xdr:rowOff>38889</xdr:rowOff>
    </xdr:from>
    <xdr:to>
      <xdr:col>8</xdr:col>
      <xdr:colOff>80233</xdr:colOff>
      <xdr:row>11</xdr:row>
      <xdr:rowOff>131546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851863" y="222820"/>
          <a:ext cx="4063129" cy="1931967"/>
        </a:xfrm>
        <a:prstGeom prst="rect">
          <a:avLst/>
        </a:prstGeom>
      </xdr:spPr>
    </xdr:pic>
    <xdr:clientData/>
  </xdr:twoCellAnchor>
  <xdr:twoCellAnchor editAs="oneCell">
    <xdr:from>
      <xdr:col>8</xdr:col>
      <xdr:colOff>512379</xdr:colOff>
      <xdr:row>2</xdr:row>
      <xdr:rowOff>170792</xdr:rowOff>
    </xdr:from>
    <xdr:to>
      <xdr:col>15</xdr:col>
      <xdr:colOff>457040</xdr:colOff>
      <xdr:row>13</xdr:row>
      <xdr:rowOff>9882</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5347138" y="538654"/>
          <a:ext cx="4175074" cy="1862331"/>
        </a:xfrm>
        <a:prstGeom prst="rect">
          <a:avLst/>
        </a:prstGeom>
      </xdr:spPr>
    </xdr:pic>
    <xdr:clientData/>
  </xdr:twoCellAnchor>
  <xdr:twoCellAnchor editAs="oneCell">
    <xdr:from>
      <xdr:col>17</xdr:col>
      <xdr:colOff>21810</xdr:colOff>
      <xdr:row>7</xdr:row>
      <xdr:rowOff>21021</xdr:rowOff>
    </xdr:from>
    <xdr:to>
      <xdr:col>24</xdr:col>
      <xdr:colOff>62648</xdr:colOff>
      <xdr:row>12</xdr:row>
      <xdr:rowOff>52634</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0295672" y="1308538"/>
          <a:ext cx="4271252" cy="951268"/>
        </a:xfrm>
        <a:prstGeom prst="rect">
          <a:avLst/>
        </a:prstGeom>
      </xdr:spPr>
    </xdr:pic>
    <xdr:clientData/>
  </xdr:twoCellAnchor>
  <xdr:twoCellAnchor editAs="oneCell">
    <xdr:from>
      <xdr:col>20</xdr:col>
      <xdr:colOff>430398</xdr:colOff>
      <xdr:row>14</xdr:row>
      <xdr:rowOff>86448</xdr:rowOff>
    </xdr:from>
    <xdr:to>
      <xdr:col>27</xdr:col>
      <xdr:colOff>590803</xdr:colOff>
      <xdr:row>32</xdr:row>
      <xdr:rowOff>62820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12517295" y="2661482"/>
          <a:ext cx="4390818" cy="3287131"/>
        </a:xfrm>
        <a:prstGeom prst="rect">
          <a:avLst/>
        </a:prstGeom>
      </xdr:spPr>
    </xdr:pic>
    <xdr:clientData/>
  </xdr:twoCellAnchor>
  <xdr:twoCellAnchor editAs="oneCell">
    <xdr:from>
      <xdr:col>1</xdr:col>
      <xdr:colOff>302173</xdr:colOff>
      <xdr:row>17</xdr:row>
      <xdr:rowOff>116928</xdr:rowOff>
    </xdr:from>
    <xdr:to>
      <xdr:col>17</xdr:col>
      <xdr:colOff>73573</xdr:colOff>
      <xdr:row>43</xdr:row>
      <xdr:rowOff>124549</xdr:rowOff>
    </xdr:to>
    <xdr:pic>
      <xdr:nvPicPr>
        <xdr:cNvPr id="6" name="Picture 5" descr="Working with Pivot Tables in Excel | DataCamp">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06518" y="3243756"/>
          <a:ext cx="9440917" cy="4789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61319</xdr:colOff>
      <xdr:row>50</xdr:row>
      <xdr:rowOff>122620</xdr:rowOff>
    </xdr:from>
    <xdr:to>
      <xdr:col>21</xdr:col>
      <xdr:colOff>61319</xdr:colOff>
      <xdr:row>88</xdr:row>
      <xdr:rowOff>30129</xdr:rowOff>
    </xdr:to>
    <xdr:pic>
      <xdr:nvPicPr>
        <xdr:cNvPr id="8" name="Picture 7" descr="Introduction to Pivot Tables, Charts, and Dashboards in Excel (Part 1) -  YouTube">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74422" y="9319172"/>
          <a:ext cx="12262069" cy="6896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190500</xdr:colOff>
      <xdr:row>44</xdr:row>
      <xdr:rowOff>15241</xdr:rowOff>
    </xdr:from>
    <xdr:to>
      <xdr:col>3</xdr:col>
      <xdr:colOff>670560</xdr:colOff>
      <xdr:row>50</xdr:row>
      <xdr:rowOff>83821</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1BB69834-C86F-FE01-81A6-E82EDE0AC9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31720" y="806196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182880</xdr:colOff>
      <xdr:row>8</xdr:row>
      <xdr:rowOff>167640</xdr:rowOff>
    </xdr:from>
    <xdr:to>
      <xdr:col>10</xdr:col>
      <xdr:colOff>30480</xdr:colOff>
      <xdr:row>24</xdr:row>
      <xdr:rowOff>45720</xdr:rowOff>
    </xdr:to>
    <xdr:graphicFrame macro="">
      <xdr:nvGraphicFramePr>
        <xdr:cNvPr id="24" name="Chart 23">
          <a:extLst>
            <a:ext uri="{FF2B5EF4-FFF2-40B4-BE49-F238E27FC236}">
              <a16:creationId xmlns:a16="http://schemas.microsoft.com/office/drawing/2014/main" id="{6A22B84C-8CEF-6CDF-A1AA-0F36238CA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167640</xdr:colOff>
      <xdr:row>25</xdr:row>
      <xdr:rowOff>22860</xdr:rowOff>
    </xdr:from>
    <xdr:to>
      <xdr:col>10</xdr:col>
      <xdr:colOff>30480</xdr:colOff>
      <xdr:row>40</xdr:row>
      <xdr:rowOff>22860</xdr:rowOff>
    </xdr:to>
    <xdr:graphicFrame macro="">
      <xdr:nvGraphicFramePr>
        <xdr:cNvPr id="25" name="Chart 24">
          <a:extLst>
            <a:ext uri="{FF2B5EF4-FFF2-40B4-BE49-F238E27FC236}">
              <a16:creationId xmlns:a16="http://schemas.microsoft.com/office/drawing/2014/main" id="{969AB76D-9F75-15EB-9D0D-AAC685482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990600</xdr:colOff>
      <xdr:row>40</xdr:row>
      <xdr:rowOff>121920</xdr:rowOff>
    </xdr:from>
    <xdr:to>
      <xdr:col>8</xdr:col>
      <xdr:colOff>228600</xdr:colOff>
      <xdr:row>55</xdr:row>
      <xdr:rowOff>121920</xdr:rowOff>
    </xdr:to>
    <xdr:graphicFrame macro="">
      <xdr:nvGraphicFramePr>
        <xdr:cNvPr id="26" name="Chart 25">
          <a:extLst>
            <a:ext uri="{FF2B5EF4-FFF2-40B4-BE49-F238E27FC236}">
              <a16:creationId xmlns:a16="http://schemas.microsoft.com/office/drawing/2014/main" id="{34D19F5F-09B9-E671-2891-74C4FC5D9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861060</xdr:colOff>
      <xdr:row>56</xdr:row>
      <xdr:rowOff>68580</xdr:rowOff>
    </xdr:from>
    <xdr:to>
      <xdr:col>9</xdr:col>
      <xdr:colOff>701040</xdr:colOff>
      <xdr:row>71</xdr:row>
      <xdr:rowOff>68580</xdr:rowOff>
    </xdr:to>
    <xdr:graphicFrame macro="">
      <xdr:nvGraphicFramePr>
        <xdr:cNvPr id="27" name="Chart 26">
          <a:extLst>
            <a:ext uri="{FF2B5EF4-FFF2-40B4-BE49-F238E27FC236}">
              <a16:creationId xmlns:a16="http://schemas.microsoft.com/office/drawing/2014/main" id="{314EE370-3222-BD26-3116-DC107A913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249382</xdr:colOff>
      <xdr:row>0</xdr:row>
      <xdr:rowOff>15240</xdr:rowOff>
    </xdr:from>
    <xdr:to>
      <xdr:col>44</xdr:col>
      <xdr:colOff>60960</xdr:colOff>
      <xdr:row>57</xdr:row>
      <xdr:rowOff>91439</xdr:rowOff>
    </xdr:to>
    <xdr:sp macro="" textlink="">
      <xdr:nvSpPr>
        <xdr:cNvPr id="2" name="Rectangle: Rounded Corners 1">
          <a:extLst>
            <a:ext uri="{FF2B5EF4-FFF2-40B4-BE49-F238E27FC236}">
              <a16:creationId xmlns:a16="http://schemas.microsoft.com/office/drawing/2014/main" id="{8C6FC846-C894-B2DE-E648-32D2571438E3}"/>
            </a:ext>
          </a:extLst>
        </xdr:cNvPr>
        <xdr:cNvSpPr/>
      </xdr:nvSpPr>
      <xdr:spPr>
        <a:xfrm>
          <a:off x="249382" y="15240"/>
          <a:ext cx="26633978" cy="10500359"/>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AF6F0"/>
            </a:solidFill>
          </a:endParaRPr>
        </a:p>
      </xdr:txBody>
    </xdr:sp>
    <xdr:clientData/>
  </xdr:twoCellAnchor>
  <xdr:twoCellAnchor>
    <xdr:from>
      <xdr:col>14</xdr:col>
      <xdr:colOff>338991</xdr:colOff>
      <xdr:row>2</xdr:row>
      <xdr:rowOff>110836</xdr:rowOff>
    </xdr:from>
    <xdr:to>
      <xdr:col>27</xdr:col>
      <xdr:colOff>255864</xdr:colOff>
      <xdr:row>6</xdr:row>
      <xdr:rowOff>152399</xdr:rowOff>
    </xdr:to>
    <xdr:sp macro="" textlink="">
      <xdr:nvSpPr>
        <xdr:cNvPr id="3" name="TextBox 2">
          <a:extLst>
            <a:ext uri="{FF2B5EF4-FFF2-40B4-BE49-F238E27FC236}">
              <a16:creationId xmlns:a16="http://schemas.microsoft.com/office/drawing/2014/main" id="{5AD5AF35-4AAE-0260-844D-39BFB1CFDF0C}"/>
            </a:ext>
          </a:extLst>
        </xdr:cNvPr>
        <xdr:cNvSpPr txBox="1"/>
      </xdr:nvSpPr>
      <xdr:spPr>
        <a:xfrm>
          <a:off x="8873391" y="471054"/>
          <a:ext cx="7841673"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rgbClr val="F4DFC8"/>
              </a:solidFill>
            </a:rPr>
            <a:t>Town Team Sales</a:t>
          </a:r>
          <a:r>
            <a:rPr lang="en-US" sz="5400" b="1" baseline="0">
              <a:solidFill>
                <a:srgbClr val="F4DFC8"/>
              </a:solidFill>
            </a:rPr>
            <a:t> Analysis</a:t>
          </a:r>
          <a:endParaRPr lang="en-US" sz="5400" b="1">
            <a:solidFill>
              <a:srgbClr val="F4DFC8"/>
            </a:solidFill>
          </a:endParaRPr>
        </a:p>
      </xdr:txBody>
    </xdr:sp>
    <xdr:clientData/>
  </xdr:twoCellAnchor>
  <xdr:twoCellAnchor>
    <xdr:from>
      <xdr:col>3</xdr:col>
      <xdr:colOff>256310</xdr:colOff>
      <xdr:row>5</xdr:row>
      <xdr:rowOff>55419</xdr:rowOff>
    </xdr:from>
    <xdr:to>
      <xdr:col>8</xdr:col>
      <xdr:colOff>228601</xdr:colOff>
      <xdr:row>8</xdr:row>
      <xdr:rowOff>83126</xdr:rowOff>
    </xdr:to>
    <xdr:sp macro="" textlink="">
      <xdr:nvSpPr>
        <xdr:cNvPr id="4" name="TextBox 3">
          <a:extLst>
            <a:ext uri="{FF2B5EF4-FFF2-40B4-BE49-F238E27FC236}">
              <a16:creationId xmlns:a16="http://schemas.microsoft.com/office/drawing/2014/main" id="{6C43B303-9ABC-EC3D-7B12-FB053D41F5DB}"/>
            </a:ext>
          </a:extLst>
        </xdr:cNvPr>
        <xdr:cNvSpPr txBox="1"/>
      </xdr:nvSpPr>
      <xdr:spPr>
        <a:xfrm>
          <a:off x="2085110" y="955964"/>
          <a:ext cx="3020291" cy="568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rgbClr val="F4DFC8"/>
              </a:solidFill>
            </a:rPr>
            <a:t>Total</a:t>
          </a:r>
          <a:r>
            <a:rPr lang="en-US" sz="3000" b="1" baseline="0">
              <a:solidFill>
                <a:srgbClr val="F4DFC8"/>
              </a:solidFill>
            </a:rPr>
            <a:t> Sales</a:t>
          </a:r>
          <a:endParaRPr lang="en-US" sz="3000" b="1">
            <a:solidFill>
              <a:srgbClr val="F4DFC8"/>
            </a:solidFill>
          </a:endParaRPr>
        </a:p>
      </xdr:txBody>
    </xdr:sp>
    <xdr:clientData/>
  </xdr:twoCellAnchor>
  <xdr:twoCellAnchor>
    <xdr:from>
      <xdr:col>3</xdr:col>
      <xdr:colOff>256310</xdr:colOff>
      <xdr:row>8</xdr:row>
      <xdr:rowOff>41564</xdr:rowOff>
    </xdr:from>
    <xdr:to>
      <xdr:col>8</xdr:col>
      <xdr:colOff>228601</xdr:colOff>
      <xdr:row>11</xdr:row>
      <xdr:rowOff>69272</xdr:rowOff>
    </xdr:to>
    <xdr:sp macro="" textlink="'Pivot tables'!A4">
      <xdr:nvSpPr>
        <xdr:cNvPr id="6" name="TextBox 5">
          <a:extLst>
            <a:ext uri="{FF2B5EF4-FFF2-40B4-BE49-F238E27FC236}">
              <a16:creationId xmlns:a16="http://schemas.microsoft.com/office/drawing/2014/main" id="{2FE93F03-7B1F-8D40-4D6C-92B08A834963}"/>
            </a:ext>
          </a:extLst>
        </xdr:cNvPr>
        <xdr:cNvSpPr txBox="1"/>
      </xdr:nvSpPr>
      <xdr:spPr>
        <a:xfrm>
          <a:off x="2085110" y="1482437"/>
          <a:ext cx="3020291" cy="568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3E79B1-67FC-4DB3-97D3-D38244BE5511}" type="TxLink">
            <a:rPr lang="en-US" sz="2400" b="1" i="0" u="none" strike="noStrike">
              <a:ln>
                <a:solidFill>
                  <a:sysClr val="windowText" lastClr="000000"/>
                </a:solidFill>
              </a:ln>
              <a:solidFill>
                <a:srgbClr val="F4EAE0"/>
              </a:solidFill>
              <a:latin typeface="Calibri"/>
              <a:ea typeface="Calibri"/>
              <a:cs typeface="Calibri"/>
            </a:rPr>
            <a:pPr algn="ctr"/>
            <a:t>EGP 350,850</a:t>
          </a:fld>
          <a:endParaRPr lang="en-US" sz="5400" b="1">
            <a:ln>
              <a:solidFill>
                <a:sysClr val="windowText" lastClr="000000"/>
              </a:solidFill>
            </a:ln>
            <a:solidFill>
              <a:srgbClr val="F4EAE0"/>
            </a:solidFill>
          </a:endParaRPr>
        </a:p>
      </xdr:txBody>
    </xdr:sp>
    <xdr:clientData/>
  </xdr:twoCellAnchor>
  <xdr:twoCellAnchor>
    <xdr:from>
      <xdr:col>3</xdr:col>
      <xdr:colOff>247345</xdr:colOff>
      <xdr:row>12</xdr:row>
      <xdr:rowOff>83131</xdr:rowOff>
    </xdr:from>
    <xdr:to>
      <xdr:col>8</xdr:col>
      <xdr:colOff>219636</xdr:colOff>
      <xdr:row>15</xdr:row>
      <xdr:rowOff>110837</xdr:rowOff>
    </xdr:to>
    <xdr:sp macro="" textlink="">
      <xdr:nvSpPr>
        <xdr:cNvPr id="9" name="TextBox 8">
          <a:extLst>
            <a:ext uri="{FF2B5EF4-FFF2-40B4-BE49-F238E27FC236}">
              <a16:creationId xmlns:a16="http://schemas.microsoft.com/office/drawing/2014/main" id="{15748441-42C3-A1CF-DB5A-981BDBCC2D68}"/>
            </a:ext>
          </a:extLst>
        </xdr:cNvPr>
        <xdr:cNvSpPr txBox="1"/>
      </xdr:nvSpPr>
      <xdr:spPr>
        <a:xfrm>
          <a:off x="2076145" y="2244440"/>
          <a:ext cx="3020291" cy="568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rgbClr val="F4DFC8"/>
              </a:solidFill>
            </a:rPr>
            <a:t>Number of orders</a:t>
          </a:r>
        </a:p>
      </xdr:txBody>
    </xdr:sp>
    <xdr:clientData/>
  </xdr:twoCellAnchor>
  <xdr:twoCellAnchor>
    <xdr:from>
      <xdr:col>3</xdr:col>
      <xdr:colOff>247345</xdr:colOff>
      <xdr:row>15</xdr:row>
      <xdr:rowOff>69275</xdr:rowOff>
    </xdr:from>
    <xdr:to>
      <xdr:col>8</xdr:col>
      <xdr:colOff>219636</xdr:colOff>
      <xdr:row>18</xdr:row>
      <xdr:rowOff>96983</xdr:rowOff>
    </xdr:to>
    <xdr:sp macro="" textlink="'Pivot tables'!E78">
      <xdr:nvSpPr>
        <xdr:cNvPr id="10" name="TextBox 9">
          <a:extLst>
            <a:ext uri="{FF2B5EF4-FFF2-40B4-BE49-F238E27FC236}">
              <a16:creationId xmlns:a16="http://schemas.microsoft.com/office/drawing/2014/main" id="{15645102-4DF7-223C-0341-6551C649D9D4}"/>
            </a:ext>
          </a:extLst>
        </xdr:cNvPr>
        <xdr:cNvSpPr txBox="1"/>
      </xdr:nvSpPr>
      <xdr:spPr>
        <a:xfrm>
          <a:off x="2076145" y="2770911"/>
          <a:ext cx="3020291" cy="568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375559-E748-470E-9083-7292513F2505}" type="TxLink">
            <a:rPr lang="en-US" sz="2400" b="1" i="0" u="none" strike="noStrike">
              <a:ln>
                <a:solidFill>
                  <a:sysClr val="windowText" lastClr="000000"/>
                </a:solidFill>
              </a:ln>
              <a:solidFill>
                <a:srgbClr val="F4EAE0"/>
              </a:solidFill>
              <a:latin typeface="Calibri"/>
              <a:ea typeface="Calibri"/>
              <a:cs typeface="Calibri"/>
            </a:rPr>
            <a:pPr marL="0" indent="0" algn="ctr"/>
            <a:t>365</a:t>
          </a:fld>
          <a:endParaRPr lang="en-US" sz="2400" b="1" i="0" u="none" strike="noStrike">
            <a:ln>
              <a:solidFill>
                <a:sysClr val="windowText" lastClr="000000"/>
              </a:solidFill>
            </a:ln>
            <a:solidFill>
              <a:srgbClr val="F4EAE0"/>
            </a:solidFill>
            <a:latin typeface="Calibri"/>
            <a:ea typeface="Calibri"/>
            <a:cs typeface="Calibri"/>
          </a:endParaRPr>
        </a:p>
      </xdr:txBody>
    </xdr:sp>
    <xdr:clientData/>
  </xdr:twoCellAnchor>
  <xdr:twoCellAnchor>
    <xdr:from>
      <xdr:col>3</xdr:col>
      <xdr:colOff>238380</xdr:colOff>
      <xdr:row>19</xdr:row>
      <xdr:rowOff>41572</xdr:rowOff>
    </xdr:from>
    <xdr:to>
      <xdr:col>8</xdr:col>
      <xdr:colOff>210671</xdr:colOff>
      <xdr:row>22</xdr:row>
      <xdr:rowOff>69279</xdr:rowOff>
    </xdr:to>
    <xdr:sp macro="" textlink="">
      <xdr:nvSpPr>
        <xdr:cNvPr id="11" name="TextBox 10">
          <a:extLst>
            <a:ext uri="{FF2B5EF4-FFF2-40B4-BE49-F238E27FC236}">
              <a16:creationId xmlns:a16="http://schemas.microsoft.com/office/drawing/2014/main" id="{C9158D8D-C25D-F780-DF80-2BBC3265DFFD}"/>
            </a:ext>
          </a:extLst>
        </xdr:cNvPr>
        <xdr:cNvSpPr txBox="1"/>
      </xdr:nvSpPr>
      <xdr:spPr>
        <a:xfrm>
          <a:off x="2067180" y="3463645"/>
          <a:ext cx="3020291" cy="56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rgbClr val="F4DFC8"/>
              </a:solidFill>
            </a:rPr>
            <a:t>Avg</a:t>
          </a:r>
          <a:r>
            <a:rPr lang="en-US" sz="3000" b="1" baseline="0">
              <a:solidFill>
                <a:srgbClr val="F4DFC8"/>
              </a:solidFill>
            </a:rPr>
            <a:t> Sales</a:t>
          </a:r>
          <a:endParaRPr lang="en-US" sz="3000" b="1">
            <a:solidFill>
              <a:srgbClr val="F4DFC8"/>
            </a:solidFill>
          </a:endParaRPr>
        </a:p>
      </xdr:txBody>
    </xdr:sp>
    <xdr:clientData/>
  </xdr:twoCellAnchor>
  <xdr:twoCellAnchor>
    <xdr:from>
      <xdr:col>3</xdr:col>
      <xdr:colOff>238380</xdr:colOff>
      <xdr:row>22</xdr:row>
      <xdr:rowOff>27717</xdr:rowOff>
    </xdr:from>
    <xdr:to>
      <xdr:col>8</xdr:col>
      <xdr:colOff>210671</xdr:colOff>
      <xdr:row>25</xdr:row>
      <xdr:rowOff>55424</xdr:rowOff>
    </xdr:to>
    <xdr:sp macro="" textlink="'Pivot tables'!E85">
      <xdr:nvSpPr>
        <xdr:cNvPr id="12" name="TextBox 11">
          <a:extLst>
            <a:ext uri="{FF2B5EF4-FFF2-40B4-BE49-F238E27FC236}">
              <a16:creationId xmlns:a16="http://schemas.microsoft.com/office/drawing/2014/main" id="{1DB4123E-770D-A4AB-AAF6-EC9812785758}"/>
            </a:ext>
          </a:extLst>
        </xdr:cNvPr>
        <xdr:cNvSpPr txBox="1"/>
      </xdr:nvSpPr>
      <xdr:spPr>
        <a:xfrm>
          <a:off x="2067180" y="3990117"/>
          <a:ext cx="3020291" cy="56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5BE50A-65B7-41DA-A250-B6D2A8397DB1}" type="TxLink">
            <a:rPr lang="en-US" sz="2400" b="1" i="0" u="none" strike="noStrike">
              <a:ln>
                <a:solidFill>
                  <a:sysClr val="windowText" lastClr="000000"/>
                </a:solidFill>
              </a:ln>
              <a:solidFill>
                <a:srgbClr val="F4EAE0"/>
              </a:solidFill>
              <a:latin typeface="Calibri"/>
              <a:ea typeface="Calibri"/>
              <a:cs typeface="Calibri"/>
            </a:rPr>
            <a:pPr marL="0" indent="0" algn="ctr"/>
            <a:t>EGP 961</a:t>
          </a:fld>
          <a:endParaRPr lang="en-US" sz="2400" b="1" i="0" u="none" strike="noStrike">
            <a:ln>
              <a:solidFill>
                <a:sysClr val="windowText" lastClr="000000"/>
              </a:solidFill>
            </a:ln>
            <a:solidFill>
              <a:srgbClr val="F4EAE0"/>
            </a:solidFill>
            <a:latin typeface="Calibri"/>
            <a:ea typeface="Calibri"/>
            <a:cs typeface="Calibri"/>
          </a:endParaRPr>
        </a:p>
      </xdr:txBody>
    </xdr:sp>
    <xdr:clientData/>
  </xdr:twoCellAnchor>
  <xdr:twoCellAnchor>
    <xdr:from>
      <xdr:col>3</xdr:col>
      <xdr:colOff>229415</xdr:colOff>
      <xdr:row>27</xdr:row>
      <xdr:rowOff>13862</xdr:rowOff>
    </xdr:from>
    <xdr:to>
      <xdr:col>8</xdr:col>
      <xdr:colOff>286871</xdr:colOff>
      <xdr:row>30</xdr:row>
      <xdr:rowOff>41568</xdr:rowOff>
    </xdr:to>
    <xdr:sp macro="" textlink="">
      <xdr:nvSpPr>
        <xdr:cNvPr id="13" name="TextBox 12">
          <a:extLst>
            <a:ext uri="{FF2B5EF4-FFF2-40B4-BE49-F238E27FC236}">
              <a16:creationId xmlns:a16="http://schemas.microsoft.com/office/drawing/2014/main" id="{8700F570-1808-22DC-4312-6A78057CCA80}"/>
            </a:ext>
          </a:extLst>
        </xdr:cNvPr>
        <xdr:cNvSpPr txBox="1"/>
      </xdr:nvSpPr>
      <xdr:spPr>
        <a:xfrm>
          <a:off x="2058215" y="4876807"/>
          <a:ext cx="3105456" cy="56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rgbClr val="F4DFC8"/>
              </a:solidFill>
            </a:rPr>
            <a:t>Count of Products</a:t>
          </a:r>
        </a:p>
      </xdr:txBody>
    </xdr:sp>
    <xdr:clientData/>
  </xdr:twoCellAnchor>
  <xdr:twoCellAnchor>
    <xdr:from>
      <xdr:col>3</xdr:col>
      <xdr:colOff>229415</xdr:colOff>
      <xdr:row>30</xdr:row>
      <xdr:rowOff>6</xdr:rowOff>
    </xdr:from>
    <xdr:to>
      <xdr:col>8</xdr:col>
      <xdr:colOff>201706</xdr:colOff>
      <xdr:row>33</xdr:row>
      <xdr:rowOff>27715</xdr:rowOff>
    </xdr:to>
    <xdr:sp macro="" textlink="'Pivot tables'!G91">
      <xdr:nvSpPr>
        <xdr:cNvPr id="14" name="TextBox 13">
          <a:extLst>
            <a:ext uri="{FF2B5EF4-FFF2-40B4-BE49-F238E27FC236}">
              <a16:creationId xmlns:a16="http://schemas.microsoft.com/office/drawing/2014/main" id="{4C8FBDE5-839B-1A30-6E69-84AA4ADEFA57}"/>
            </a:ext>
          </a:extLst>
        </xdr:cNvPr>
        <xdr:cNvSpPr txBox="1"/>
      </xdr:nvSpPr>
      <xdr:spPr>
        <a:xfrm>
          <a:off x="2058215" y="5403279"/>
          <a:ext cx="3020291" cy="568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54A4EA-ECDE-4361-B375-932EA7DB10B4}" type="TxLink">
            <a:rPr lang="en-US" sz="2400" b="1" i="0" u="none" strike="noStrike">
              <a:ln>
                <a:solidFill>
                  <a:sysClr val="windowText" lastClr="000000"/>
                </a:solidFill>
              </a:ln>
              <a:solidFill>
                <a:srgbClr val="F4EAE0"/>
              </a:solidFill>
              <a:latin typeface="Calibri"/>
              <a:ea typeface="Calibri"/>
              <a:cs typeface="Calibri"/>
            </a:rPr>
            <a:pPr marL="0" indent="0" algn="ctr"/>
            <a:t>10</a:t>
          </a:fld>
          <a:endParaRPr lang="en-US" sz="2400" b="1" i="0" u="none" strike="noStrike">
            <a:ln>
              <a:solidFill>
                <a:sysClr val="windowText" lastClr="000000"/>
              </a:solidFill>
            </a:ln>
            <a:solidFill>
              <a:srgbClr val="F4EAE0"/>
            </a:solidFill>
            <a:latin typeface="Calibri"/>
            <a:ea typeface="Calibri"/>
            <a:cs typeface="Calibri"/>
          </a:endParaRPr>
        </a:p>
      </xdr:txBody>
    </xdr:sp>
    <xdr:clientData/>
  </xdr:twoCellAnchor>
  <xdr:twoCellAnchor>
    <xdr:from>
      <xdr:col>9</xdr:col>
      <xdr:colOff>387928</xdr:colOff>
      <xdr:row>8</xdr:row>
      <xdr:rowOff>41562</xdr:rowOff>
    </xdr:from>
    <xdr:to>
      <xdr:col>28</xdr:col>
      <xdr:colOff>360218</xdr:colOff>
      <xdr:row>29</xdr:row>
      <xdr:rowOff>110836</xdr:rowOff>
    </xdr:to>
    <xdr:graphicFrame macro="">
      <xdr:nvGraphicFramePr>
        <xdr:cNvPr id="17" name="Chart 16">
          <a:extLst>
            <a:ext uri="{FF2B5EF4-FFF2-40B4-BE49-F238E27FC236}">
              <a16:creationId xmlns:a16="http://schemas.microsoft.com/office/drawing/2014/main" id="{4C0A2063-EDDE-4143-90C0-36B5CB75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498764</xdr:colOff>
      <xdr:row>8</xdr:row>
      <xdr:rowOff>166255</xdr:rowOff>
    </xdr:from>
    <xdr:to>
      <xdr:col>24</xdr:col>
      <xdr:colOff>235528</xdr:colOff>
      <xdr:row>13</xdr:row>
      <xdr:rowOff>83128</xdr:rowOff>
    </xdr:to>
    <xdr:sp macro="" textlink="">
      <xdr:nvSpPr>
        <xdr:cNvPr id="18" name="TextBox 17">
          <a:extLst>
            <a:ext uri="{FF2B5EF4-FFF2-40B4-BE49-F238E27FC236}">
              <a16:creationId xmlns:a16="http://schemas.microsoft.com/office/drawing/2014/main" id="{16AB08FB-3FD7-BEF6-2FA6-98F883FD4C27}"/>
            </a:ext>
          </a:extLst>
        </xdr:cNvPr>
        <xdr:cNvSpPr txBox="1"/>
      </xdr:nvSpPr>
      <xdr:spPr>
        <a:xfrm>
          <a:off x="10252364" y="1607128"/>
          <a:ext cx="4613564" cy="817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3600" b="1">
              <a:solidFill>
                <a:srgbClr val="F4DFC8"/>
              </a:solidFill>
              <a:latin typeface="+mn-lt"/>
              <a:ea typeface="+mn-ea"/>
              <a:cs typeface="+mn-cs"/>
            </a:rPr>
            <a:t>Sales by Item</a:t>
          </a:r>
        </a:p>
      </xdr:txBody>
    </xdr:sp>
    <xdr:clientData/>
  </xdr:twoCellAnchor>
  <xdr:twoCellAnchor>
    <xdr:from>
      <xdr:col>28</xdr:col>
      <xdr:colOff>497872</xdr:colOff>
      <xdr:row>8</xdr:row>
      <xdr:rowOff>43842</xdr:rowOff>
    </xdr:from>
    <xdr:to>
      <xdr:col>42</xdr:col>
      <xdr:colOff>397565</xdr:colOff>
      <xdr:row>29</xdr:row>
      <xdr:rowOff>83126</xdr:rowOff>
    </xdr:to>
    <xdr:graphicFrame macro="">
      <xdr:nvGraphicFramePr>
        <xdr:cNvPr id="19" name="Chart 18">
          <a:extLst>
            <a:ext uri="{FF2B5EF4-FFF2-40B4-BE49-F238E27FC236}">
              <a16:creationId xmlns:a16="http://schemas.microsoft.com/office/drawing/2014/main" id="{945F06AA-AED1-459A-A6D0-36DA07CC2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331618</xdr:colOff>
      <xdr:row>30</xdr:row>
      <xdr:rowOff>83126</xdr:rowOff>
    </xdr:from>
    <xdr:to>
      <xdr:col>17</xdr:col>
      <xdr:colOff>110836</xdr:colOff>
      <xdr:row>55</xdr:row>
      <xdr:rowOff>0</xdr:rowOff>
    </xdr:to>
    <xdr:graphicFrame macro="">
      <xdr:nvGraphicFramePr>
        <xdr:cNvPr id="20" name="Chart 19">
          <a:extLst>
            <a:ext uri="{FF2B5EF4-FFF2-40B4-BE49-F238E27FC236}">
              <a16:creationId xmlns:a16="http://schemas.microsoft.com/office/drawing/2014/main" id="{511D7542-D04D-4263-8D9D-11C6168DF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276199</xdr:colOff>
      <xdr:row>30</xdr:row>
      <xdr:rowOff>85408</xdr:rowOff>
    </xdr:from>
    <xdr:to>
      <xdr:col>42</xdr:col>
      <xdr:colOff>430694</xdr:colOff>
      <xdr:row>54</xdr:row>
      <xdr:rowOff>33131</xdr:rowOff>
    </xdr:to>
    <xdr:graphicFrame macro="">
      <xdr:nvGraphicFramePr>
        <xdr:cNvPr id="21" name="Chart 20">
          <a:extLst>
            <a:ext uri="{FF2B5EF4-FFF2-40B4-BE49-F238E27FC236}">
              <a16:creationId xmlns:a16="http://schemas.microsoft.com/office/drawing/2014/main" id="{003238AA-1334-4CA8-A1A0-6558256EE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55418</xdr:colOff>
      <xdr:row>8</xdr:row>
      <xdr:rowOff>41564</xdr:rowOff>
    </xdr:from>
    <xdr:to>
      <xdr:col>37</xdr:col>
      <xdr:colOff>512619</xdr:colOff>
      <xdr:row>11</xdr:row>
      <xdr:rowOff>27709</xdr:rowOff>
    </xdr:to>
    <xdr:sp macro="" textlink="">
      <xdr:nvSpPr>
        <xdr:cNvPr id="22" name="TextBox 21">
          <a:extLst>
            <a:ext uri="{FF2B5EF4-FFF2-40B4-BE49-F238E27FC236}">
              <a16:creationId xmlns:a16="http://schemas.microsoft.com/office/drawing/2014/main" id="{7C005B13-4A91-ACED-6861-05B1BAEF098C}"/>
            </a:ext>
          </a:extLst>
        </xdr:cNvPr>
        <xdr:cNvSpPr txBox="1"/>
      </xdr:nvSpPr>
      <xdr:spPr>
        <a:xfrm>
          <a:off x="18343418" y="1482437"/>
          <a:ext cx="4724401" cy="526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a:solidFill>
                <a:srgbClr val="F4DFC8"/>
              </a:solidFill>
              <a:latin typeface="+mn-lt"/>
              <a:ea typeface="+mn-ea"/>
              <a:cs typeface="+mn-cs"/>
            </a:rPr>
            <a:t>Sales by Category</a:t>
          </a:r>
        </a:p>
      </xdr:txBody>
    </xdr:sp>
    <xdr:clientData/>
  </xdr:twoCellAnchor>
  <xdr:twoCellAnchor editAs="oneCell">
    <xdr:from>
      <xdr:col>3</xdr:col>
      <xdr:colOff>0</xdr:colOff>
      <xdr:row>33</xdr:row>
      <xdr:rowOff>108858</xdr:rowOff>
    </xdr:from>
    <xdr:to>
      <xdr:col>8</xdr:col>
      <xdr:colOff>87085</xdr:colOff>
      <xdr:row>37</xdr:row>
      <xdr:rowOff>119743</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A285BAEF-FCF2-4D6D-A7A9-65F18FE3091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28800" y="6143898"/>
              <a:ext cx="3135085" cy="742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15240</xdr:colOff>
      <xdr:row>64</xdr:row>
      <xdr:rowOff>129541</xdr:rowOff>
    </xdr:from>
    <xdr:to>
      <xdr:col>3</xdr:col>
      <xdr:colOff>480060</xdr:colOff>
      <xdr:row>76</xdr:row>
      <xdr:rowOff>22861</xdr:rowOff>
    </xdr:to>
    <mc:AlternateContent xmlns:mc="http://schemas.openxmlformats.org/markup-compatibility/2006">
      <mc:Choice xmlns:a14="http://schemas.microsoft.com/office/drawing/2010/main" Requires="a14">
        <xdr:graphicFrame macro="">
          <xdr:nvGraphicFramePr>
            <xdr:cNvPr id="2" name="Ordertype name">
              <a:extLst>
                <a:ext uri="{FF2B5EF4-FFF2-40B4-BE49-F238E27FC236}">
                  <a16:creationId xmlns:a16="http://schemas.microsoft.com/office/drawing/2014/main" id="{7EFF66FF-52C7-069C-4006-1ABC0A67D148}"/>
                </a:ext>
              </a:extLst>
            </xdr:cNvPr>
            <xdr:cNvGraphicFramePr/>
          </xdr:nvGraphicFramePr>
          <xdr:xfrm>
            <a:off x="0" y="0"/>
            <a:ext cx="0" cy="0"/>
          </xdr:xfrm>
          <a:graphic>
            <a:graphicData uri="http://schemas.microsoft.com/office/drawing/2010/slicer">
              <sle:slicer xmlns:sle="http://schemas.microsoft.com/office/drawing/2010/slicer" name="Ordertype name"/>
            </a:graphicData>
          </a:graphic>
        </xdr:graphicFrame>
      </mc:Choice>
      <mc:Fallback>
        <xdr:sp macro="" textlink="">
          <xdr:nvSpPr>
            <xdr:cNvPr id="0" name=""/>
            <xdr:cNvSpPr>
              <a:spLocks noTextEdit="1"/>
            </xdr:cNvSpPr>
          </xdr:nvSpPr>
          <xdr:spPr>
            <a:xfrm>
              <a:off x="2636520" y="11833861"/>
              <a:ext cx="1828800" cy="2087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113</xdr:row>
      <xdr:rowOff>7620</xdr:rowOff>
    </xdr:from>
    <xdr:to>
      <xdr:col>5</xdr:col>
      <xdr:colOff>518160</xdr:colOff>
      <xdr:row>120</xdr:row>
      <xdr:rowOff>99060</xdr:rowOff>
    </xdr:to>
    <mc:AlternateContent xmlns:mc="http://schemas.openxmlformats.org/markup-compatibility/2006">
      <mc:Choice xmlns:tsle="http://schemas.microsoft.com/office/drawing/2012/timeslicer" Requires="tsle">
        <xdr:graphicFrame macro="">
          <xdr:nvGraphicFramePr>
            <xdr:cNvPr id="5" name="Date ">
              <a:extLst>
                <a:ext uri="{FF2B5EF4-FFF2-40B4-BE49-F238E27FC236}">
                  <a16:creationId xmlns:a16="http://schemas.microsoft.com/office/drawing/2014/main" id="{235C4116-EAD9-98A6-B453-9DD98052881E}"/>
                </a:ext>
              </a:extLst>
            </xdr:cNvPr>
            <xdr:cNvGraphicFramePr/>
          </xdr:nvGraphicFramePr>
          <xdr:xfrm>
            <a:off x="0" y="0"/>
            <a:ext cx="0" cy="0"/>
          </xdr:xfrm>
          <a:graphic>
            <a:graphicData uri="http://schemas.microsoft.com/office/drawing/2012/timeslicer">
              <tsle:timeslicer xmlns:tsle="http://schemas.microsoft.com/office/drawing/2012/timeslicer" name="Date "/>
            </a:graphicData>
          </a:graphic>
        </xdr:graphicFrame>
      </mc:Choice>
      <mc:Fallback>
        <xdr:sp macro="" textlink="">
          <xdr:nvSpPr>
            <xdr:cNvPr id="0" name=""/>
            <xdr:cNvSpPr>
              <a:spLocks noTextEdit="1"/>
            </xdr:cNvSpPr>
          </xdr:nvSpPr>
          <xdr:spPr>
            <a:xfrm>
              <a:off x="2644140" y="2067306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1577340</xdr:colOff>
      <xdr:row>29</xdr:row>
      <xdr:rowOff>0</xdr:rowOff>
    </xdr:from>
    <xdr:to>
      <xdr:col>11</xdr:col>
      <xdr:colOff>167640</xdr:colOff>
      <xdr:row>40</xdr:row>
      <xdr:rowOff>76200</xdr:rowOff>
    </xdr:to>
    <mc:AlternateContent xmlns:mc="http://schemas.openxmlformats.org/markup-compatibility/2006">
      <mc:Choice xmlns:a14="http://schemas.microsoft.com/office/drawing/2010/main" Requires="a14">
        <xdr:graphicFrame macro="">
          <xdr:nvGraphicFramePr>
            <xdr:cNvPr id="6" name="Ordertype name 1">
              <a:extLst>
                <a:ext uri="{FF2B5EF4-FFF2-40B4-BE49-F238E27FC236}">
                  <a16:creationId xmlns:a16="http://schemas.microsoft.com/office/drawing/2014/main" id="{DBD9D06B-54E9-4B36-93EE-9CB02705B982}"/>
                </a:ext>
              </a:extLst>
            </xdr:cNvPr>
            <xdr:cNvGraphicFramePr/>
          </xdr:nvGraphicFramePr>
          <xdr:xfrm>
            <a:off x="0" y="0"/>
            <a:ext cx="0" cy="0"/>
          </xdr:xfrm>
          <a:graphic>
            <a:graphicData uri="http://schemas.microsoft.com/office/drawing/2010/slicer">
              <sle:slicer xmlns:sle="http://schemas.microsoft.com/office/drawing/2010/slicer" name="Ordertype name 1"/>
            </a:graphicData>
          </a:graphic>
        </xdr:graphicFrame>
      </mc:Choice>
      <mc:Fallback>
        <xdr:sp macro="" textlink="">
          <xdr:nvSpPr>
            <xdr:cNvPr id="0" name=""/>
            <xdr:cNvSpPr>
              <a:spLocks noTextEdit="1"/>
            </xdr:cNvSpPr>
          </xdr:nvSpPr>
          <xdr:spPr>
            <a:xfrm>
              <a:off x="13464540" y="5303520"/>
              <a:ext cx="1828800" cy="2087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xdr:colOff>
      <xdr:row>42</xdr:row>
      <xdr:rowOff>167640</xdr:rowOff>
    </xdr:from>
    <xdr:to>
      <xdr:col>12</xdr:col>
      <xdr:colOff>739140</xdr:colOff>
      <xdr:row>50</xdr:row>
      <xdr:rowOff>76200</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EE90157B-F42D-4AF1-884A-D737E6EB0CDE}"/>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3517880" y="78486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38100</xdr:colOff>
      <xdr:row>50</xdr:row>
      <xdr:rowOff>106680</xdr:rowOff>
    </xdr:from>
    <xdr:to>
      <xdr:col>11</xdr:col>
      <xdr:colOff>205740</xdr:colOff>
      <xdr:row>64</xdr:row>
      <xdr:rowOff>13335</xdr:rowOff>
    </xdr:to>
    <mc:AlternateContent xmlns:mc="http://schemas.openxmlformats.org/markup-compatibility/2006">
      <mc:Choice xmlns:a14="http://schemas.microsoft.com/office/drawing/2010/main" Requires="a14">
        <xdr:graphicFrame macro="">
          <xdr:nvGraphicFramePr>
            <xdr:cNvPr id="9" name="Years (Date )">
              <a:extLst>
                <a:ext uri="{FF2B5EF4-FFF2-40B4-BE49-F238E27FC236}">
                  <a16:creationId xmlns:a16="http://schemas.microsoft.com/office/drawing/2014/main" id="{76362C74-5E0D-4F89-A7E0-1C1329C92183}"/>
                </a:ext>
              </a:extLst>
            </xdr:cNvPr>
            <xdr:cNvGraphicFramePr/>
          </xdr:nvGraphicFramePr>
          <xdr:xfrm>
            <a:off x="0" y="0"/>
            <a:ext cx="0" cy="0"/>
          </xdr:xfrm>
          <a:graphic>
            <a:graphicData uri="http://schemas.microsoft.com/office/drawing/2010/slicer">
              <sle:slicer xmlns:sle="http://schemas.microsoft.com/office/drawing/2010/slicer" name="Years (Date )"/>
            </a:graphicData>
          </a:graphic>
        </xdr:graphicFrame>
      </mc:Choice>
      <mc:Fallback>
        <xdr:sp macro="" textlink="">
          <xdr:nvSpPr>
            <xdr:cNvPr id="0" name=""/>
            <xdr:cNvSpPr>
              <a:spLocks noTextEdit="1"/>
            </xdr:cNvSpPr>
          </xdr:nvSpPr>
          <xdr:spPr>
            <a:xfrm>
              <a:off x="13502640" y="9250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138</xdr:row>
      <xdr:rowOff>129540</xdr:rowOff>
    </xdr:from>
    <xdr:to>
      <xdr:col>11</xdr:col>
      <xdr:colOff>205740</xdr:colOff>
      <xdr:row>152</xdr:row>
      <xdr:rowOff>36195</xdr:rowOff>
    </xdr:to>
    <mc:AlternateContent xmlns:mc="http://schemas.openxmlformats.org/markup-compatibility/2006">
      <mc:Choice xmlns:a14="http://schemas.microsoft.com/office/drawing/2010/main" Requires="a14">
        <xdr:graphicFrame macro="">
          <xdr:nvGraphicFramePr>
            <xdr:cNvPr id="10" name="Day Name">
              <a:extLst>
                <a:ext uri="{FF2B5EF4-FFF2-40B4-BE49-F238E27FC236}">
                  <a16:creationId xmlns:a16="http://schemas.microsoft.com/office/drawing/2014/main" id="{7C660DE7-CA2F-E091-33C5-298EF518E2CF}"/>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13502640" y="25366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125</xdr:row>
      <xdr:rowOff>22860</xdr:rowOff>
    </xdr:from>
    <xdr:to>
      <xdr:col>11</xdr:col>
      <xdr:colOff>182880</xdr:colOff>
      <xdr:row>138</xdr:row>
      <xdr:rowOff>112395</xdr:rowOff>
    </xdr:to>
    <mc:AlternateContent xmlns:mc="http://schemas.openxmlformats.org/markup-compatibility/2006">
      <mc:Choice xmlns:a14="http://schemas.microsoft.com/office/drawing/2010/main" Requires="a14">
        <xdr:graphicFrame macro="">
          <xdr:nvGraphicFramePr>
            <xdr:cNvPr id="11" name="Months (Date )">
              <a:extLst>
                <a:ext uri="{FF2B5EF4-FFF2-40B4-BE49-F238E27FC236}">
                  <a16:creationId xmlns:a16="http://schemas.microsoft.com/office/drawing/2014/main" id="{DE4F226B-3810-1F20-8684-4C6D1E30AE0D}"/>
                </a:ext>
              </a:extLst>
            </xdr:cNvPr>
            <xdr:cNvGraphicFramePr/>
          </xdr:nvGraphicFramePr>
          <xdr:xfrm>
            <a:off x="0" y="0"/>
            <a:ext cx="0" cy="0"/>
          </xdr:xfrm>
          <a:graphic>
            <a:graphicData uri="http://schemas.microsoft.com/office/drawing/2010/slicer">
              <sle:slicer xmlns:sle="http://schemas.microsoft.com/office/drawing/2010/slicer" name="Months (Date )"/>
            </a:graphicData>
          </a:graphic>
        </xdr:graphicFrame>
      </mc:Choice>
      <mc:Fallback>
        <xdr:sp macro="" textlink="">
          <xdr:nvSpPr>
            <xdr:cNvPr id="0" name=""/>
            <xdr:cNvSpPr>
              <a:spLocks noTextEdit="1"/>
            </xdr:cNvSpPr>
          </xdr:nvSpPr>
          <xdr:spPr>
            <a:xfrm>
              <a:off x="13479780" y="22882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670560</xdr:colOff>
      <xdr:row>6</xdr:row>
      <xdr:rowOff>45720</xdr:rowOff>
    </xdr:from>
    <xdr:to>
      <xdr:col>7</xdr:col>
      <xdr:colOff>464820</xdr:colOff>
      <xdr:row>21</xdr:row>
      <xdr:rowOff>45720</xdr:rowOff>
    </xdr:to>
    <xdr:graphicFrame macro="">
      <xdr:nvGraphicFramePr>
        <xdr:cNvPr id="13" name="Chart 12">
          <a:extLst>
            <a:ext uri="{FF2B5EF4-FFF2-40B4-BE49-F238E27FC236}">
              <a16:creationId xmlns:a16="http://schemas.microsoft.com/office/drawing/2014/main" id="{48684D96-0007-BD95-C6DB-AA4FBF9DC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464820</xdr:colOff>
      <xdr:row>7</xdr:row>
      <xdr:rowOff>152400</xdr:rowOff>
    </xdr:from>
    <xdr:to>
      <xdr:col>4</xdr:col>
      <xdr:colOff>190500</xdr:colOff>
      <xdr:row>21</xdr:row>
      <xdr:rowOff>59055</xdr:rowOff>
    </xdr:to>
    <mc:AlternateContent xmlns:mc="http://schemas.openxmlformats.org/markup-compatibility/2006">
      <mc:Choice xmlns:a14="http://schemas.microsoft.com/office/drawing/2010/main" Requires="a14">
        <xdr:graphicFrame macro="">
          <xdr:nvGraphicFramePr>
            <xdr:cNvPr id="15" name="Years (Date ) 1">
              <a:extLst>
                <a:ext uri="{FF2B5EF4-FFF2-40B4-BE49-F238E27FC236}">
                  <a16:creationId xmlns:a16="http://schemas.microsoft.com/office/drawing/2014/main" id="{1B2CA0CA-CD0A-5A6E-5A09-591AA0CEC273}"/>
                </a:ext>
              </a:extLst>
            </xdr:cNvPr>
            <xdr:cNvGraphicFramePr/>
          </xdr:nvGraphicFramePr>
          <xdr:xfrm>
            <a:off x="0" y="0"/>
            <a:ext cx="0" cy="0"/>
          </xdr:xfrm>
          <a:graphic>
            <a:graphicData uri="http://schemas.microsoft.com/office/drawing/2010/slicer">
              <sle:slicer xmlns:sle="http://schemas.microsoft.com/office/drawing/2010/slicer" name="Years (Date ) 1"/>
            </a:graphicData>
          </a:graphic>
        </xdr:graphicFrame>
      </mc:Choice>
      <mc:Fallback>
        <xdr:sp macro="" textlink="">
          <xdr:nvSpPr>
            <xdr:cNvPr id="0" name=""/>
            <xdr:cNvSpPr>
              <a:spLocks noTextEdit="1"/>
            </xdr:cNvSpPr>
          </xdr:nvSpPr>
          <xdr:spPr>
            <a:xfrm>
              <a:off x="3086100" y="1432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304800</xdr:colOff>
      <xdr:row>24</xdr:row>
      <xdr:rowOff>91440</xdr:rowOff>
    </xdr:from>
    <xdr:to>
      <xdr:col>7</xdr:col>
      <xdr:colOff>434340</xdr:colOff>
      <xdr:row>39</xdr:row>
      <xdr:rowOff>91440</xdr:rowOff>
    </xdr:to>
    <xdr:graphicFrame macro="">
      <xdr:nvGraphicFramePr>
        <xdr:cNvPr id="16" name="Chart 15">
          <a:extLst>
            <a:ext uri="{FF2B5EF4-FFF2-40B4-BE49-F238E27FC236}">
              <a16:creationId xmlns:a16="http://schemas.microsoft.com/office/drawing/2014/main" id="{95FA7EDE-F3BB-C6B4-F056-7CA796FC8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723900</xdr:colOff>
      <xdr:row>61</xdr:row>
      <xdr:rowOff>160020</xdr:rowOff>
    </xdr:from>
    <xdr:to>
      <xdr:col>6</xdr:col>
      <xdr:colOff>2362200</xdr:colOff>
      <xdr:row>76</xdr:row>
      <xdr:rowOff>160020</xdr:rowOff>
    </xdr:to>
    <xdr:graphicFrame macro="">
      <xdr:nvGraphicFramePr>
        <xdr:cNvPr id="17" name="Chart 16">
          <a:extLst>
            <a:ext uri="{FF2B5EF4-FFF2-40B4-BE49-F238E27FC236}">
              <a16:creationId xmlns:a16="http://schemas.microsoft.com/office/drawing/2014/main" id="{E3DA2377-C8DC-E09F-F663-F0350882D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1051560</xdr:colOff>
      <xdr:row>73</xdr:row>
      <xdr:rowOff>45720</xdr:rowOff>
    </xdr:from>
    <xdr:to>
      <xdr:col>6</xdr:col>
      <xdr:colOff>723900</xdr:colOff>
      <xdr:row>88</xdr:row>
      <xdr:rowOff>15240</xdr:rowOff>
    </xdr:to>
    <xdr:graphicFrame macro="">
      <xdr:nvGraphicFramePr>
        <xdr:cNvPr id="18" name="Chart 17">
          <a:extLst>
            <a:ext uri="{FF2B5EF4-FFF2-40B4-BE49-F238E27FC236}">
              <a16:creationId xmlns:a16="http://schemas.microsoft.com/office/drawing/2014/main" id="{199F9648-54DF-4F0D-8913-4A90ABC33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632460</xdr:colOff>
      <xdr:row>86</xdr:row>
      <xdr:rowOff>152400</xdr:rowOff>
    </xdr:from>
    <xdr:to>
      <xdr:col>7</xdr:col>
      <xdr:colOff>510540</xdr:colOff>
      <xdr:row>101</xdr:row>
      <xdr:rowOff>152400</xdr:rowOff>
    </xdr:to>
    <xdr:graphicFrame macro="">
      <xdr:nvGraphicFramePr>
        <xdr:cNvPr id="23" name="Chart 22">
          <a:extLst>
            <a:ext uri="{FF2B5EF4-FFF2-40B4-BE49-F238E27FC236}">
              <a16:creationId xmlns:a16="http://schemas.microsoft.com/office/drawing/2014/main" id="{7E8F97F1-E0B6-D40A-2895-E967AC497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388620</xdr:colOff>
      <xdr:row>102</xdr:row>
      <xdr:rowOff>49530</xdr:rowOff>
    </xdr:from>
    <xdr:to>
      <xdr:col>7</xdr:col>
      <xdr:colOff>922020</xdr:colOff>
      <xdr:row>117</xdr:row>
      <xdr:rowOff>49530</xdr:rowOff>
    </xdr:to>
    <xdr:graphicFrame macro="">
      <xdr:nvGraphicFramePr>
        <xdr:cNvPr id="24" name="Chart 23">
          <a:extLst>
            <a:ext uri="{FF2B5EF4-FFF2-40B4-BE49-F238E27FC236}">
              <a16:creationId xmlns:a16="http://schemas.microsoft.com/office/drawing/2014/main" id="{99AB849A-E10A-49BD-534E-AE2338831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358140</xdr:colOff>
      <xdr:row>125</xdr:row>
      <xdr:rowOff>144780</xdr:rowOff>
    </xdr:from>
    <xdr:to>
      <xdr:col>14</xdr:col>
      <xdr:colOff>1432560</xdr:colOff>
      <xdr:row>140</xdr:row>
      <xdr:rowOff>144780</xdr:rowOff>
    </xdr:to>
    <xdr:graphicFrame macro="">
      <xdr:nvGraphicFramePr>
        <xdr:cNvPr id="25" name="Chart 24">
          <a:extLst>
            <a:ext uri="{FF2B5EF4-FFF2-40B4-BE49-F238E27FC236}">
              <a16:creationId xmlns:a16="http://schemas.microsoft.com/office/drawing/2014/main" id="{A6AE24A2-35EF-0702-4762-2E4816D68E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190500</xdr:colOff>
      <xdr:row>105</xdr:row>
      <xdr:rowOff>60960</xdr:rowOff>
    </xdr:from>
    <xdr:to>
      <xdr:col>13</xdr:col>
      <xdr:colOff>815340</xdr:colOff>
      <xdr:row>120</xdr:row>
      <xdr:rowOff>60960</xdr:rowOff>
    </xdr:to>
    <xdr:graphicFrame macro="">
      <xdr:nvGraphicFramePr>
        <xdr:cNvPr id="28" name="Chart 27">
          <a:extLst>
            <a:ext uri="{FF2B5EF4-FFF2-40B4-BE49-F238E27FC236}">
              <a16:creationId xmlns:a16="http://schemas.microsoft.com/office/drawing/2014/main" id="{1899F098-1A11-CC74-912D-9CEC25DAC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693420</xdr:colOff>
      <xdr:row>181</xdr:row>
      <xdr:rowOff>137160</xdr:rowOff>
    </xdr:from>
    <xdr:to>
      <xdr:col>13</xdr:col>
      <xdr:colOff>1318260</xdr:colOff>
      <xdr:row>196</xdr:row>
      <xdr:rowOff>137160</xdr:rowOff>
    </xdr:to>
    <xdr:graphicFrame macro="">
      <xdr:nvGraphicFramePr>
        <xdr:cNvPr id="29" name="Chart 28">
          <a:extLst>
            <a:ext uri="{FF2B5EF4-FFF2-40B4-BE49-F238E27FC236}">
              <a16:creationId xmlns:a16="http://schemas.microsoft.com/office/drawing/2014/main" id="{146CCBFF-ED9A-3DC3-E233-B90DD42E8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845820</xdr:colOff>
      <xdr:row>201</xdr:row>
      <xdr:rowOff>45720</xdr:rowOff>
    </xdr:from>
    <xdr:to>
      <xdr:col>13</xdr:col>
      <xdr:colOff>1470660</xdr:colOff>
      <xdr:row>216</xdr:row>
      <xdr:rowOff>45720</xdr:rowOff>
    </xdr:to>
    <xdr:graphicFrame macro="">
      <xdr:nvGraphicFramePr>
        <xdr:cNvPr id="30" name="Chart 29">
          <a:extLst>
            <a:ext uri="{FF2B5EF4-FFF2-40B4-BE49-F238E27FC236}">
              <a16:creationId xmlns:a16="http://schemas.microsoft.com/office/drawing/2014/main" id="{0483854F-48AD-128F-146E-1CC1071E1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481354</xdr:colOff>
      <xdr:row>39</xdr:row>
      <xdr:rowOff>142067</xdr:rowOff>
    </xdr:to>
    <xdr:sp macro="" textlink="'town team dashboard'!$A$62">
      <xdr:nvSpPr>
        <xdr:cNvPr id="2" name="Rectangle: Rounded Corners 1">
          <a:extLst>
            <a:ext uri="{FF2B5EF4-FFF2-40B4-BE49-F238E27FC236}">
              <a16:creationId xmlns:a16="http://schemas.microsoft.com/office/drawing/2014/main" id="{0691F101-5096-15AC-F24C-97E678373A12}"/>
            </a:ext>
          </a:extLst>
        </xdr:cNvPr>
        <xdr:cNvSpPr/>
      </xdr:nvSpPr>
      <xdr:spPr>
        <a:xfrm>
          <a:off x="0" y="0"/>
          <a:ext cx="13228710" cy="7193796"/>
        </a:xfrm>
        <a:prstGeom prst="roundRect">
          <a:avLst/>
        </a:prstGeom>
        <a:solidFill>
          <a:srgbClr val="212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344438F-E28F-4FBB-BB0F-312F5B90160A}" type="TxLink">
            <a:rPr lang="en-US" sz="1100" b="0" i="0" u="none" strike="noStrike">
              <a:solidFill>
                <a:srgbClr val="000000"/>
              </a:solidFill>
              <a:latin typeface="Calibri"/>
              <a:ea typeface="Calibri"/>
              <a:cs typeface="Calibri"/>
            </a:rPr>
            <a:t> </a:t>
          </a:fld>
          <a:endParaRPr lang="en-US" sz="1100"/>
        </a:p>
      </xdr:txBody>
    </xdr:sp>
    <xdr:clientData/>
  </xdr:twoCellAnchor>
  <xdr:twoCellAnchor>
    <xdr:from>
      <xdr:col>8</xdr:col>
      <xdr:colOff>349442</xdr:colOff>
      <xdr:row>1</xdr:row>
      <xdr:rowOff>35069</xdr:rowOff>
    </xdr:from>
    <xdr:to>
      <xdr:col>13</xdr:col>
      <xdr:colOff>456122</xdr:colOff>
      <xdr:row>3</xdr:row>
      <xdr:rowOff>11624</xdr:rowOff>
    </xdr:to>
    <xdr:sp macro="" textlink="">
      <xdr:nvSpPr>
        <xdr:cNvPr id="3" name="TextBox 2">
          <a:extLst>
            <a:ext uri="{FF2B5EF4-FFF2-40B4-BE49-F238E27FC236}">
              <a16:creationId xmlns:a16="http://schemas.microsoft.com/office/drawing/2014/main" id="{952E302A-3146-419D-B93A-0672C34EA901}"/>
            </a:ext>
          </a:extLst>
        </xdr:cNvPr>
        <xdr:cNvSpPr txBox="1"/>
      </xdr:nvSpPr>
      <xdr:spPr>
        <a:xfrm>
          <a:off x="5205578" y="215883"/>
          <a:ext cx="3141764" cy="33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Town Team Dashboard</a:t>
          </a:r>
        </a:p>
        <a:p>
          <a:pPr algn="ctr"/>
          <a:endParaRPr lang="en-US" sz="1100"/>
        </a:p>
      </xdr:txBody>
    </xdr:sp>
    <xdr:clientData/>
  </xdr:twoCellAnchor>
  <xdr:twoCellAnchor editAs="oneCell">
    <xdr:from>
      <xdr:col>8</xdr:col>
      <xdr:colOff>126164</xdr:colOff>
      <xdr:row>1</xdr:row>
      <xdr:rowOff>70623</xdr:rowOff>
    </xdr:from>
    <xdr:to>
      <xdr:col>9</xdr:col>
      <xdr:colOff>53566</xdr:colOff>
      <xdr:row>4</xdr:row>
      <xdr:rowOff>58071</xdr:rowOff>
    </xdr:to>
    <xdr:pic>
      <xdr:nvPicPr>
        <xdr:cNvPr id="9" name="Picture 8">
          <a:extLst>
            <a:ext uri="{FF2B5EF4-FFF2-40B4-BE49-F238E27FC236}">
              <a16:creationId xmlns:a16="http://schemas.microsoft.com/office/drawing/2014/main" id="{607393F1-7E77-9101-12A9-FD41122A3185}"/>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9583" b="90000" l="10000" r="90000">
                      <a14:foregroundMark x1="21667" y1="30833" x2="21667" y2="30833"/>
                      <a14:foregroundMark x1="21667" y1="30833" x2="29583" y2="27917"/>
                      <a14:foregroundMark x1="52500" y1="76250" x2="52500" y2="76250"/>
                      <a14:foregroundMark x1="52500" y1="76250" x2="52500" y2="76250"/>
                      <a14:foregroundMark x1="52500" y1="76250" x2="52500" y2="76250"/>
                      <a14:foregroundMark x1="48336" y1="15672" x2="47917" y2="9583"/>
                      <a14:foregroundMark x1="52500" y1="76250" x2="50569" y2="48156"/>
                      <a14:foregroundMark x1="79500" y1="66827" x2="79764" y2="67305"/>
                      <a14:foregroundMark x1="47917" y1="9583" x2="52396" y2="17702"/>
                      <a14:foregroundMark x1="56002" y1="19505" x2="53333" y2="14167"/>
                      <a14:foregroundMark x1="53333" y1="14167" x2="38750" y2="10833"/>
                      <a14:backgroundMark x1="50417" y1="35833" x2="81250" y2="65417"/>
                      <a14:backgroundMark x1="81250" y1="71667" x2="79167" y2="75833"/>
                      <a14:backgroundMark x1="50833" y1="31667" x2="48750" y2="37500"/>
                      <a14:backgroundMark x1="61250" y1="31667" x2="64583" y2="35000"/>
                      <a14:backgroundMark x1="65000" y1="38750" x2="61250" y2="27500"/>
                      <a14:backgroundMark x1="63750" y1="36667" x2="48750" y2="31250"/>
                      <a14:backgroundMark x1="66667" y1="40000" x2="60000" y2="26250"/>
                      <a14:backgroundMark x1="60000" y1="35000" x2="59167" y2="28333"/>
                      <a14:backgroundMark x1="65417" y1="33333" x2="52083" y2="22917"/>
                      <a14:backgroundMark x1="60000" y1="27500" x2="50000" y2="22500"/>
                      <a14:backgroundMark x1="52083" y1="24167" x2="48333" y2="23750"/>
                      <a14:backgroundMark x1="50417" y1="27500" x2="47083" y2="23750"/>
                      <a14:backgroundMark x1="84583" y1="69583" x2="80833" y2="63750"/>
                      <a14:backgroundMark x1="85417" y1="76667" x2="80000" y2="67917"/>
                      <a14:backgroundMark x1="80000" y1="68333" x2="79167" y2="62917"/>
                    </a14:backgroundRemoval>
                  </a14:imgEffect>
                </a14:imgLayer>
              </a14:imgProps>
            </a:ext>
            <a:ext uri="{28A0092B-C50C-407E-A947-70E740481C1C}">
              <a14:useLocalDpi xmlns:a14="http://schemas.microsoft.com/office/drawing/2010/main" val="0"/>
            </a:ext>
          </a:extLst>
        </a:blip>
        <a:stretch>
          <a:fillRect/>
        </a:stretch>
      </xdr:blipFill>
      <xdr:spPr>
        <a:xfrm>
          <a:off x="4982300" y="251437"/>
          <a:ext cx="534419" cy="529888"/>
        </a:xfrm>
        <a:prstGeom prst="rect">
          <a:avLst/>
        </a:prstGeom>
      </xdr:spPr>
    </xdr:pic>
    <xdr:clientData/>
  </xdr:twoCellAnchor>
  <xdr:twoCellAnchor>
    <xdr:from>
      <xdr:col>0</xdr:col>
      <xdr:colOff>272221</xdr:colOff>
      <xdr:row>1</xdr:row>
      <xdr:rowOff>115005</xdr:rowOff>
    </xdr:from>
    <xdr:to>
      <xdr:col>3</xdr:col>
      <xdr:colOff>602239</xdr:colOff>
      <xdr:row>4</xdr:row>
      <xdr:rowOff>34897</xdr:rowOff>
    </xdr:to>
    <xdr:sp macro="" textlink="">
      <xdr:nvSpPr>
        <xdr:cNvPr id="10" name="TextBox 9">
          <a:extLst>
            <a:ext uri="{FF2B5EF4-FFF2-40B4-BE49-F238E27FC236}">
              <a16:creationId xmlns:a16="http://schemas.microsoft.com/office/drawing/2014/main" id="{EF9E7A5B-B5C1-7685-4420-69CC8DCFBF24}"/>
            </a:ext>
          </a:extLst>
        </xdr:cNvPr>
        <xdr:cNvSpPr txBox="1"/>
      </xdr:nvSpPr>
      <xdr:spPr>
        <a:xfrm>
          <a:off x="272221" y="300620"/>
          <a:ext cx="2147095" cy="476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rgbClr val="ADB5BD"/>
              </a:solidFill>
            </a:rPr>
            <a:t>Total Sales</a:t>
          </a:r>
          <a:r>
            <a:rPr lang="en-US" sz="1100" baseline="0">
              <a:solidFill>
                <a:srgbClr val="ADB5BD"/>
              </a:solidFill>
            </a:rPr>
            <a:t> from 2019 to 2021</a:t>
          </a:r>
          <a:r>
            <a:rPr lang="en-US" sz="1100" b="0" i="0" u="none" strike="noStrike">
              <a:solidFill>
                <a:schemeClr val="dk1"/>
              </a:solidFill>
              <a:effectLst/>
              <a:latin typeface="+mn-lt"/>
              <a:ea typeface="+mn-ea"/>
              <a:cs typeface="+mn-cs"/>
            </a:rPr>
            <a:t>                                                        </a:t>
          </a:r>
          <a:endParaRPr lang="en-US" sz="1100" baseline="0"/>
        </a:p>
        <a:p>
          <a:r>
            <a:rPr lang="en-US" sz="1100" b="0" i="0" u="none" strike="noStrike">
              <a:solidFill>
                <a:schemeClr val="dk1"/>
              </a:solidFill>
              <a:effectLst/>
              <a:latin typeface="+mn-lt"/>
              <a:ea typeface="+mn-ea"/>
              <a:cs typeface="+mn-cs"/>
            </a:rPr>
            <a:t> </a:t>
          </a:r>
          <a:r>
            <a:rPr lang="en-US" sz="1100" b="0" i="0" u="none" strike="noStrike">
              <a:solidFill>
                <a:srgbClr val="CED4DA"/>
              </a:solidFill>
              <a:effectLst/>
              <a:latin typeface="+mn-lt"/>
              <a:ea typeface="+mn-ea"/>
              <a:cs typeface="+mn-cs"/>
            </a:rPr>
            <a:t>EGP</a:t>
          </a:r>
          <a:r>
            <a:rPr lang="en-US" sz="1100" b="0" i="0" u="none" strike="noStrike" baseline="0">
              <a:solidFill>
                <a:srgbClr val="CED4DA"/>
              </a:solidFill>
              <a:effectLst/>
              <a:latin typeface="+mn-lt"/>
              <a:ea typeface="+mn-ea"/>
              <a:cs typeface="+mn-cs"/>
            </a:rPr>
            <a:t> </a:t>
          </a:r>
          <a:r>
            <a:rPr lang="en-US" sz="1100" b="0" i="0" u="none" strike="noStrike">
              <a:solidFill>
                <a:srgbClr val="CED4DA"/>
              </a:solidFill>
              <a:effectLst/>
              <a:latin typeface="+mn-lt"/>
              <a:ea typeface="+mn-ea"/>
              <a:cs typeface="+mn-cs"/>
            </a:rPr>
            <a:t>986,800 </a:t>
          </a:r>
          <a:endParaRPr lang="en-US" sz="1100" baseline="0">
            <a:solidFill>
              <a:srgbClr val="CED4DA"/>
            </a:solidFill>
          </a:endParaRPr>
        </a:p>
        <a:p>
          <a:endParaRPr lang="en-US" sz="1100" baseline="0"/>
        </a:p>
        <a:p>
          <a:endParaRPr lang="en-US" sz="1100"/>
        </a:p>
      </xdr:txBody>
    </xdr:sp>
    <xdr:clientData/>
  </xdr:twoCellAnchor>
  <xdr:twoCellAnchor editAs="oneCell">
    <xdr:from>
      <xdr:col>3</xdr:col>
      <xdr:colOff>194241</xdr:colOff>
      <xdr:row>1</xdr:row>
      <xdr:rowOff>168529</xdr:rowOff>
    </xdr:from>
    <xdr:to>
      <xdr:col>3</xdr:col>
      <xdr:colOff>505830</xdr:colOff>
      <xdr:row>3</xdr:row>
      <xdr:rowOff>57687</xdr:rowOff>
    </xdr:to>
    <xdr:pic>
      <xdr:nvPicPr>
        <xdr:cNvPr id="12" name="Graphic 11" descr="Money outline">
          <a:extLst>
            <a:ext uri="{FF2B5EF4-FFF2-40B4-BE49-F238E27FC236}">
              <a16:creationId xmlns:a16="http://schemas.microsoft.com/office/drawing/2014/main" id="{310E785D-DBE0-DFAA-BCE6-2518715464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8987124">
          <a:off x="2011318" y="354144"/>
          <a:ext cx="311589" cy="260389"/>
        </a:xfrm>
        <a:prstGeom prst="rect">
          <a:avLst/>
        </a:prstGeom>
      </xdr:spPr>
    </xdr:pic>
    <xdr:clientData/>
  </xdr:twoCellAnchor>
  <xdr:twoCellAnchor>
    <xdr:from>
      <xdr:col>0</xdr:col>
      <xdr:colOff>86723</xdr:colOff>
      <xdr:row>6</xdr:row>
      <xdr:rowOff>140404</xdr:rowOff>
    </xdr:from>
    <xdr:to>
      <xdr:col>4</xdr:col>
      <xdr:colOff>266088</xdr:colOff>
      <xdr:row>15</xdr:row>
      <xdr:rowOff>116956</xdr:rowOff>
    </xdr:to>
    <xdr:graphicFrame macro="">
      <xdr:nvGraphicFramePr>
        <xdr:cNvPr id="14" name="Chart 13">
          <a:extLst>
            <a:ext uri="{FF2B5EF4-FFF2-40B4-BE49-F238E27FC236}">
              <a16:creationId xmlns:a16="http://schemas.microsoft.com/office/drawing/2014/main" id="{A7C68B6E-ACA8-4DB9-8B6A-9FBC5FA41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309967</xdr:colOff>
      <xdr:row>1</xdr:row>
      <xdr:rowOff>66964</xdr:rowOff>
    </xdr:from>
    <xdr:to>
      <xdr:col>18</xdr:col>
      <xdr:colOff>554418</xdr:colOff>
      <xdr:row>4</xdr:row>
      <xdr:rowOff>92169</xdr:rowOff>
    </xdr:to>
    <mc:AlternateContent xmlns:mc="http://schemas.openxmlformats.org/markup-compatibility/2006">
      <mc:Choice xmlns:a14="http://schemas.microsoft.com/office/drawing/2010/main" Requires="a14">
        <xdr:graphicFrame macro="">
          <xdr:nvGraphicFramePr>
            <xdr:cNvPr id="15" name="Years (Date ) 2">
              <a:extLst>
                <a:ext uri="{FF2B5EF4-FFF2-40B4-BE49-F238E27FC236}">
                  <a16:creationId xmlns:a16="http://schemas.microsoft.com/office/drawing/2014/main" id="{C184B908-6D51-6D5A-EB7E-F141158FD75C}"/>
                </a:ext>
              </a:extLst>
            </xdr:cNvPr>
            <xdr:cNvGraphicFramePr/>
          </xdr:nvGraphicFramePr>
          <xdr:xfrm>
            <a:off x="0" y="0"/>
            <a:ext cx="0" cy="0"/>
          </xdr:xfrm>
          <a:graphic>
            <a:graphicData uri="http://schemas.microsoft.com/office/drawing/2010/slicer">
              <sle:slicer xmlns:sle="http://schemas.microsoft.com/office/drawing/2010/slicer" name="Years (Date ) 2"/>
            </a:graphicData>
          </a:graphic>
        </xdr:graphicFrame>
      </mc:Choice>
      <mc:Fallback>
        <xdr:sp macro="" textlink="">
          <xdr:nvSpPr>
            <xdr:cNvPr id="0" name=""/>
            <xdr:cNvSpPr>
              <a:spLocks noTextEdit="1"/>
            </xdr:cNvSpPr>
          </xdr:nvSpPr>
          <xdr:spPr>
            <a:xfrm>
              <a:off x="9395352" y="252579"/>
              <a:ext cx="2061528" cy="5820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109188</xdr:colOff>
      <xdr:row>4</xdr:row>
      <xdr:rowOff>144221</xdr:rowOff>
    </xdr:from>
    <xdr:to>
      <xdr:col>3</xdr:col>
      <xdr:colOff>327837</xdr:colOff>
      <xdr:row>8</xdr:row>
      <xdr:rowOff>91467</xdr:rowOff>
    </xdr:to>
    <xdr:sp macro="" textlink="">
      <xdr:nvSpPr>
        <xdr:cNvPr id="16" name="TextBox 15">
          <a:extLst>
            <a:ext uri="{FF2B5EF4-FFF2-40B4-BE49-F238E27FC236}">
              <a16:creationId xmlns:a16="http://schemas.microsoft.com/office/drawing/2014/main" id="{6A8F45EE-2D2F-27F9-B5E2-4F5832B9F5FA}"/>
            </a:ext>
          </a:extLst>
        </xdr:cNvPr>
        <xdr:cNvSpPr txBox="1"/>
      </xdr:nvSpPr>
      <xdr:spPr>
        <a:xfrm>
          <a:off x="109188" y="888500"/>
          <a:ext cx="2052765" cy="69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rgbClr val="ADB5BD"/>
              </a:solidFill>
            </a:rPr>
            <a:t>Number</a:t>
          </a:r>
          <a:r>
            <a:rPr lang="en-US" sz="1100" baseline="0">
              <a:solidFill>
                <a:srgbClr val="ADB5BD"/>
              </a:solidFill>
            </a:rPr>
            <a:t> of products:</a:t>
          </a:r>
          <a:endParaRPr lang="en-US" sz="1100" baseline="0">
            <a:solidFill>
              <a:srgbClr val="ADB5BD"/>
            </a:solidFill>
            <a:latin typeface="+mn-lt"/>
            <a:ea typeface="+mn-ea"/>
            <a:cs typeface="+mn-cs"/>
          </a:endParaRPr>
        </a:p>
        <a:p>
          <a:pPr marL="0" indent="0"/>
          <a:r>
            <a:rPr lang="en-US" sz="1100" baseline="0">
              <a:solidFill>
                <a:srgbClr val="ADB5BD"/>
              </a:solidFill>
              <a:latin typeface="+mn-lt"/>
              <a:ea typeface="+mn-ea"/>
              <a:cs typeface="+mn-cs"/>
            </a:rPr>
            <a:t>10</a:t>
          </a:r>
        </a:p>
      </xdr:txBody>
    </xdr:sp>
    <xdr:clientData/>
  </xdr:twoCellAnchor>
  <xdr:twoCellAnchor editAs="oneCell">
    <xdr:from>
      <xdr:col>2</xdr:col>
      <xdr:colOff>190568</xdr:colOff>
      <xdr:row>4</xdr:row>
      <xdr:rowOff>131932</xdr:rowOff>
    </xdr:from>
    <xdr:to>
      <xdr:col>2</xdr:col>
      <xdr:colOff>566136</xdr:colOff>
      <xdr:row>6</xdr:row>
      <xdr:rowOff>144085</xdr:rowOff>
    </xdr:to>
    <xdr:pic>
      <xdr:nvPicPr>
        <xdr:cNvPr id="18" name="Graphic 17" descr="Shirt outline">
          <a:extLst>
            <a:ext uri="{FF2B5EF4-FFF2-40B4-BE49-F238E27FC236}">
              <a16:creationId xmlns:a16="http://schemas.microsoft.com/office/drawing/2014/main" id="{105A30BE-EE99-CDB8-F143-4F58C5BA055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13312" y="876211"/>
          <a:ext cx="375568" cy="384293"/>
        </a:xfrm>
        <a:prstGeom prst="rect">
          <a:avLst/>
        </a:prstGeom>
      </xdr:spPr>
    </xdr:pic>
    <xdr:clientData/>
  </xdr:twoCellAnchor>
  <xdr:twoCellAnchor editAs="oneCell">
    <xdr:from>
      <xdr:col>2</xdr:col>
      <xdr:colOff>552267</xdr:colOff>
      <xdr:row>5</xdr:row>
      <xdr:rowOff>14231</xdr:rowOff>
    </xdr:from>
    <xdr:to>
      <xdr:col>3</xdr:col>
      <xdr:colOff>249867</xdr:colOff>
      <xdr:row>6</xdr:row>
      <xdr:rowOff>144086</xdr:rowOff>
    </xdr:to>
    <xdr:pic>
      <xdr:nvPicPr>
        <xdr:cNvPr id="20" name="Graphic 19" descr="Pants outline">
          <a:extLst>
            <a:ext uri="{FF2B5EF4-FFF2-40B4-BE49-F238E27FC236}">
              <a16:creationId xmlns:a16="http://schemas.microsoft.com/office/drawing/2014/main" id="{A09D8615-389F-BEA9-EB36-E1F571430CB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75011" y="944580"/>
          <a:ext cx="308972" cy="315925"/>
        </a:xfrm>
        <a:prstGeom prst="rect">
          <a:avLst/>
        </a:prstGeom>
      </xdr:spPr>
    </xdr:pic>
    <xdr:clientData/>
  </xdr:twoCellAnchor>
  <xdr:twoCellAnchor>
    <xdr:from>
      <xdr:col>4</xdr:col>
      <xdr:colOff>102647</xdr:colOff>
      <xdr:row>2</xdr:row>
      <xdr:rowOff>77492</xdr:rowOff>
    </xdr:from>
    <xdr:to>
      <xdr:col>9</xdr:col>
      <xdr:colOff>439117</xdr:colOff>
      <xdr:row>14</xdr:row>
      <xdr:rowOff>120056</xdr:rowOff>
    </xdr:to>
    <xdr:graphicFrame macro="">
      <xdr:nvGraphicFramePr>
        <xdr:cNvPr id="21" name="Chart 20">
          <a:extLst>
            <a:ext uri="{FF2B5EF4-FFF2-40B4-BE49-F238E27FC236}">
              <a16:creationId xmlns:a16="http://schemas.microsoft.com/office/drawing/2014/main" id="{BBE57B78-B2FF-46E6-824C-905854F5E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68900</xdr:colOff>
      <xdr:row>3</xdr:row>
      <xdr:rowOff>174993</xdr:rowOff>
    </xdr:from>
    <xdr:to>
      <xdr:col>15</xdr:col>
      <xdr:colOff>25830</xdr:colOff>
      <xdr:row>11</xdr:row>
      <xdr:rowOff>135671</xdr:rowOff>
    </xdr:to>
    <xdr:graphicFrame macro="">
      <xdr:nvGraphicFramePr>
        <xdr:cNvPr id="22" name="Chart 21">
          <a:extLst>
            <a:ext uri="{FF2B5EF4-FFF2-40B4-BE49-F238E27FC236}">
              <a16:creationId xmlns:a16="http://schemas.microsoft.com/office/drawing/2014/main" id="{FC6A4A02-C900-4C4A-A7B4-FF1DE74FE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16</xdr:row>
      <xdr:rowOff>53164</xdr:rowOff>
    </xdr:from>
    <xdr:to>
      <xdr:col>5</xdr:col>
      <xdr:colOff>380999</xdr:colOff>
      <xdr:row>29</xdr:row>
      <xdr:rowOff>26583</xdr:rowOff>
    </xdr:to>
    <xdr:graphicFrame macro="">
      <xdr:nvGraphicFramePr>
        <xdr:cNvPr id="26" name="Chart 25">
          <a:extLst>
            <a:ext uri="{FF2B5EF4-FFF2-40B4-BE49-F238E27FC236}">
              <a16:creationId xmlns:a16="http://schemas.microsoft.com/office/drawing/2014/main" id="{5BBFFF16-C278-4694-BB8E-68B9E3086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106326</xdr:colOff>
      <xdr:row>13</xdr:row>
      <xdr:rowOff>70885</xdr:rowOff>
    </xdr:from>
    <xdr:to>
      <xdr:col>13</xdr:col>
      <xdr:colOff>594102</xdr:colOff>
      <xdr:row>26</xdr:row>
      <xdr:rowOff>17721</xdr:rowOff>
    </xdr:to>
    <xdr:graphicFrame macro="">
      <xdr:nvGraphicFramePr>
        <xdr:cNvPr id="27" name="Chart 26">
          <a:extLst>
            <a:ext uri="{FF2B5EF4-FFF2-40B4-BE49-F238E27FC236}">
              <a16:creationId xmlns:a16="http://schemas.microsoft.com/office/drawing/2014/main" id="{4DA57074-573D-403D-BE86-C2117A297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515259</xdr:colOff>
      <xdr:row>7</xdr:row>
      <xdr:rowOff>103323</xdr:rowOff>
    </xdr:from>
    <xdr:to>
      <xdr:col>21</xdr:col>
      <xdr:colOff>200637</xdr:colOff>
      <xdr:row>23</xdr:row>
      <xdr:rowOff>47818</xdr:rowOff>
    </xdr:to>
    <xdr:graphicFrame macro="">
      <xdr:nvGraphicFramePr>
        <xdr:cNvPr id="28" name="Chart 27">
          <a:extLst>
            <a:ext uri="{FF2B5EF4-FFF2-40B4-BE49-F238E27FC236}">
              <a16:creationId xmlns:a16="http://schemas.microsoft.com/office/drawing/2014/main" id="{D81DF8B2-B63B-472A-8DFF-4ABCDF48E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76252</xdr:colOff>
      <xdr:row>22</xdr:row>
      <xdr:rowOff>57676</xdr:rowOff>
    </xdr:from>
    <xdr:to>
      <xdr:col>21</xdr:col>
      <xdr:colOff>309966</xdr:colOff>
      <xdr:row>36</xdr:row>
      <xdr:rowOff>163333</xdr:rowOff>
    </xdr:to>
    <xdr:graphicFrame macro="">
      <xdr:nvGraphicFramePr>
        <xdr:cNvPr id="33" name="Chart 32">
          <a:extLst>
            <a:ext uri="{FF2B5EF4-FFF2-40B4-BE49-F238E27FC236}">
              <a16:creationId xmlns:a16="http://schemas.microsoft.com/office/drawing/2014/main" id="{D4873705-38F4-4906-A751-75D3F4196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594101</xdr:colOff>
      <xdr:row>25</xdr:row>
      <xdr:rowOff>90407</xdr:rowOff>
    </xdr:from>
    <xdr:to>
      <xdr:col>13</xdr:col>
      <xdr:colOff>77492</xdr:colOff>
      <xdr:row>39</xdr:row>
      <xdr:rowOff>77491</xdr:rowOff>
    </xdr:to>
    <xdr:graphicFrame macro="">
      <xdr:nvGraphicFramePr>
        <xdr:cNvPr id="34" name="Chart 33">
          <a:extLst>
            <a:ext uri="{FF2B5EF4-FFF2-40B4-BE49-F238E27FC236}">
              <a16:creationId xmlns:a16="http://schemas.microsoft.com/office/drawing/2014/main" id="{DFC28D38-5079-4D49-BA0C-852DE2A2C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245389</xdr:colOff>
      <xdr:row>27</xdr:row>
      <xdr:rowOff>25831</xdr:rowOff>
    </xdr:from>
    <xdr:to>
      <xdr:col>8</xdr:col>
      <xdr:colOff>77491</xdr:colOff>
      <xdr:row>42</xdr:row>
      <xdr:rowOff>56828</xdr:rowOff>
    </xdr:to>
    <xdr:graphicFrame macro="">
      <xdr:nvGraphicFramePr>
        <xdr:cNvPr id="35" name="Chart 34">
          <a:extLst>
            <a:ext uri="{FF2B5EF4-FFF2-40B4-BE49-F238E27FC236}">
              <a16:creationId xmlns:a16="http://schemas.microsoft.com/office/drawing/2014/main" id="{163D5289-8E58-4B0A-9D2D-8214C7219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Project%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ECH" refreshedDate="45266.839217592591" createdVersion="8" refreshedVersion="8" minRefreshableVersion="3" recordCount="1036" xr:uid="{00000000-000A-0000-FFFF-FFFF00000000}">
  <cacheSource type="worksheet">
    <worksheetSource ref="B4:H1042" sheet="Raw-data" r:id="rId2"/>
  </cacheSource>
  <cacheFields count="10">
    <cacheField name="Reciept no " numFmtId="0">
      <sharedItems containsSemiMixedTypes="0" containsString="0" containsNumber="1" containsInteger="1" minValue="1" maxValue="1036"/>
    </cacheField>
    <cacheField name="Order date " numFmtId="14">
      <sharedItems containsSemiMixedTypes="0" containsNonDate="0" containsDate="1" containsString="0" minDate="2019-01-01T00:00:00" maxDate="2021-11-02T00:00:00"/>
    </cacheField>
    <cacheField name="Ordertype name" numFmtId="0">
      <sharedItems count="2">
        <s v="On Shop"/>
        <s v="Online Order"/>
      </sharedItems>
    </cacheField>
    <cacheField name="Item name" numFmtId="0">
      <sharedItems count="10">
        <s v=" Jeans - Levis"/>
        <s v=" Jeans - Denim"/>
        <s v=" Jeans - Zara"/>
        <s v=" Jeans - Lega"/>
        <s v=" Shirt - PE"/>
        <s v=" T-shirt"/>
        <s v=" shirt"/>
        <s v=" Shirt - Arrow"/>
        <s v=" Wallet"/>
        <s v=" Chain"/>
      </sharedItems>
    </cacheField>
    <cacheField name="Category name" numFmtId="0">
      <sharedItems count="4">
        <s v="Casual Wear"/>
        <s v="Semi Formal"/>
        <s v="Formal"/>
        <s v="Accessories"/>
      </sharedItems>
    </cacheField>
    <cacheField name="Selling price" numFmtId="0">
      <sharedItems containsSemiMixedTypes="0" containsString="0" containsNumber="1" containsInteger="1" minValue="300" maxValue="1200"/>
    </cacheField>
    <cacheField name="Item quantity" numFmtId="0">
      <sharedItems containsSemiMixedTypes="0" containsString="0" containsNumber="1" containsInteger="1" minValue="1" maxValue="3"/>
    </cacheField>
    <cacheField name="Item amount" numFmtId="0">
      <sharedItems containsSemiMixedTypes="0" containsString="0" containsNumber="1" containsInteger="1" minValue="300" maxValue="3300"/>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19" maxValue="2021" count="3">
        <n v="2019"/>
        <n v="2020"/>
        <n v="2021"/>
      </sharedItems>
    </cacheField>
  </cacheFields>
  <extLst>
    <ext xmlns:x14="http://schemas.microsoft.com/office/spreadsheetml/2009/9/main" uri="{725AE2AE-9491-48be-B2B4-4EB974FC3084}">
      <x14:pivotCacheDefinition pivotCacheId="10305487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ECH" refreshedDate="45303.679525925923" createdVersion="8" refreshedVersion="8" minRefreshableVersion="3" recordCount="1038" xr:uid="{00000000-000A-0000-FFFF-FFFF01000000}">
  <cacheSource type="worksheet">
    <worksheetSource name="sales_data"/>
  </cacheSource>
  <cacheFields count="14">
    <cacheField name="Reciept no " numFmtId="0">
      <sharedItems containsSemiMixedTypes="0" containsString="0" containsNumber="1" containsInteger="1" minValue="1" maxValue="1036"/>
    </cacheField>
    <cacheField name="Order date " numFmtId="14">
      <sharedItems containsSemiMixedTypes="0" containsNonDate="0" containsDate="1" containsString="0" minDate="2019-01-01T00:00:00" maxDate="2021-11-02T00:00:00" count="1036">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sharedItems>
      <fieldGroup par="13"/>
    </cacheField>
    <cacheField name="Ordertype name" numFmtId="0">
      <sharedItems count="2">
        <s v="On Shop"/>
        <s v="Online Order"/>
      </sharedItems>
    </cacheField>
    <cacheField name="Item name" numFmtId="0">
      <sharedItems count="10">
        <s v=" Jeans - Levis"/>
        <s v=" Jeans - Denim"/>
        <s v=" Jeans - Zara"/>
        <s v=" Jeans - Lega"/>
        <s v=" Shirt - PE"/>
        <s v=" T-shirt"/>
        <s v=" shirt"/>
        <s v=" Shirt - Arrow"/>
        <s v=" Wallet"/>
        <s v=" Chain"/>
      </sharedItems>
    </cacheField>
    <cacheField name="Category name" numFmtId="0">
      <sharedItems count="4">
        <s v="Casual Wear"/>
        <s v="Semi Formal"/>
        <s v="Formal"/>
        <s v="Accessories"/>
      </sharedItems>
    </cacheField>
    <cacheField name="Selling price" numFmtId="0">
      <sharedItems containsSemiMixedTypes="0" containsString="0" containsNumber="1" containsInteger="1" minValue="300" maxValue="1200"/>
    </cacheField>
    <cacheField name="Item quantity" numFmtId="0">
      <sharedItems containsSemiMixedTypes="0" containsString="0" containsNumber="1" containsInteger="1" minValue="1" maxValue="3"/>
    </cacheField>
    <cacheField name="Total Sales" numFmtId="0">
      <sharedItems containsSemiMixedTypes="0" containsString="0" containsNumber="1" containsInteger="1" minValue="300" maxValue="3300"/>
    </cacheField>
    <cacheField name="Total Sales2" numFmtId="0">
      <sharedItems containsSemiMixedTypes="0" containsString="0" containsNumber="1" containsInteger="1" minValue="300" maxValue="3300"/>
    </cacheField>
    <cacheField name="year" numFmtId="0">
      <sharedItems containsSemiMixedTypes="0" containsString="0" containsNumber="1" containsInteger="1" minValue="2019" maxValue="2021" count="3">
        <n v="2019"/>
        <n v="2020"/>
        <n v="2021"/>
      </sharedItems>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s (Order date )" numFmtId="0" databaseField="0">
      <fieldGroup base="1">
        <rangePr groupBy="months" startDate="2019-01-01T00:00:00" endDate="2021-11-02T00:00:00"/>
        <groupItems count="14">
          <s v="&lt;1/1/2019"/>
          <s v="Jan"/>
          <s v="Feb"/>
          <s v="Mar"/>
          <s v="Apr"/>
          <s v="May"/>
          <s v="Jun"/>
          <s v="Jul"/>
          <s v="Aug"/>
          <s v="Sep"/>
          <s v="Oct"/>
          <s v="Nov"/>
          <s v="Dec"/>
          <s v="&gt;11/2/2021"/>
        </groupItems>
      </fieldGroup>
    </cacheField>
    <cacheField name="Quarters (Order date )" numFmtId="0" databaseField="0">
      <fieldGroup base="1">
        <rangePr groupBy="quarters" startDate="2019-01-01T00:00:00" endDate="2021-11-02T00:00:00"/>
        <groupItems count="6">
          <s v="&lt;1/1/2019"/>
          <s v="Qtr1"/>
          <s v="Qtr2"/>
          <s v="Qtr3"/>
          <s v="Qtr4"/>
          <s v="&gt;11/2/2021"/>
        </groupItems>
      </fieldGroup>
    </cacheField>
    <cacheField name="Years (Order date )" numFmtId="0" databaseField="0">
      <fieldGroup base="1">
        <rangePr groupBy="years" startDate="2019-01-01T00:00:00" endDate="2021-11-02T00:00:00"/>
        <groupItems count="5">
          <s v="&lt;1/1/2019"/>
          <s v="2019"/>
          <s v="2020"/>
          <s v="2021"/>
          <s v="&gt;11/2/2021"/>
        </groupItems>
      </fieldGroup>
    </cacheField>
  </cacheFields>
  <extLst>
    <ext xmlns:x14="http://schemas.microsoft.com/office/spreadsheetml/2009/9/main" uri="{725AE2AE-9491-48be-B2B4-4EB974FC3084}">
      <x14:pivotCacheDefinition pivotCacheId="211962169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59.890838541665" createdVersion="8" refreshedVersion="8" minRefreshableVersion="3" recordCount="1036" xr:uid="{51263A82-1D07-4054-A53C-87F1B260E06A}">
  <cacheSource type="worksheet">
    <worksheetSource name="Town_Team"/>
  </cacheSource>
  <cacheFields count="13">
    <cacheField name="Reciept no " numFmtId="1">
      <sharedItems containsSemiMixedTypes="0" containsString="0" containsNumber="1" containsInteger="1" minValue="1" maxValue="1036"/>
    </cacheField>
    <cacheField name="Date " numFmtId="14">
      <sharedItems containsSemiMixedTypes="0" containsNonDate="0" containsDate="1" containsString="0" minDate="2019-01-01T00:00:00" maxDate="2021-11-02T00:00:00" count="1036">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sharedItems>
      <fieldGroup par="12"/>
    </cacheField>
    <cacheField name="Ordertype name" numFmtId="49">
      <sharedItems count="5">
        <s v="On Shop"/>
        <s v="Online Order"/>
        <s v="shop" u="1"/>
        <s v="on" u="1"/>
        <s v="website" u="1"/>
      </sharedItems>
    </cacheField>
    <cacheField name="Item name" numFmtId="49">
      <sharedItems count="10">
        <s v=" Jeans - Levis"/>
        <s v=" Jeans - Denim"/>
        <s v=" Jeans - Zara"/>
        <s v=" Jeans - Lega"/>
        <s v=" Shirt - PE"/>
        <s v=" T-shirt"/>
        <s v=" shirt"/>
        <s v=" Shirt - Arrow"/>
        <s v=" Wallet"/>
        <s v=" Chain"/>
      </sharedItems>
    </cacheField>
    <cacheField name="Category name" numFmtId="49">
      <sharedItems count="4">
        <s v="Casual Wear"/>
        <s v="Semi Formal"/>
        <s v="Formal"/>
        <s v="Accessories"/>
      </sharedItems>
    </cacheField>
    <cacheField name="Selling price" numFmtId="166">
      <sharedItems containsSemiMixedTypes="0" containsString="0" containsNumber="1" containsInteger="1" minValue="300" maxValue="1200"/>
    </cacheField>
    <cacheField name="Item quantity" numFmtId="1">
      <sharedItems containsSemiMixedTypes="0" containsString="0" containsNumber="1" containsInteger="1" minValue="1" maxValue="3"/>
    </cacheField>
    <cacheField name="Item Amount" numFmtId="166">
      <sharedItems containsSemiMixedTypes="0" containsString="0" containsNumber="1" containsInteger="1" minValue="300" maxValue="3300"/>
    </cacheField>
    <cacheField name="Sales after Discount" numFmtId="166">
      <sharedItems containsSemiMixedTypes="0" containsString="0" containsNumber="1" containsInteger="1" minValue="300" maxValue="3300"/>
    </cacheField>
    <cacheField name="Day Name" numFmtId="0">
      <sharedItems count="7">
        <s v="Tuesday"/>
        <s v="Wednesday"/>
        <s v="Thursday"/>
        <s v="Friday"/>
        <s v="Saturday"/>
        <s v="Sunday"/>
        <s v="Monday"/>
      </sharedItems>
    </cacheField>
    <cacheField name="Months (Date )" numFmtId="0" databaseField="0">
      <fieldGroup base="1">
        <rangePr groupBy="months" startDate="2019-01-01T00:00:00" endDate="2021-11-02T00:00:00"/>
        <groupItems count="14">
          <s v="&lt;1/1/2019"/>
          <s v="Jan"/>
          <s v="Feb"/>
          <s v="Mar"/>
          <s v="Apr"/>
          <s v="May"/>
          <s v="Jun"/>
          <s v="Jul"/>
          <s v="Aug"/>
          <s v="Sep"/>
          <s v="Oct"/>
          <s v="Nov"/>
          <s v="Dec"/>
          <s v="&gt;11/2/2021"/>
        </groupItems>
      </fieldGroup>
    </cacheField>
    <cacheField name="Quarters (Date )" numFmtId="0" databaseField="0">
      <fieldGroup base="1">
        <rangePr groupBy="quarters" startDate="2019-01-01T00:00:00" endDate="2021-11-02T00:00:00"/>
        <groupItems count="6">
          <s v="&lt;1/1/2019"/>
          <s v="Qtr1"/>
          <s v="Qtr2"/>
          <s v="Qtr3"/>
          <s v="Qtr4"/>
          <s v="&gt;11/2/2021"/>
        </groupItems>
      </fieldGroup>
    </cacheField>
    <cacheField name="Years (Date )" numFmtId="0" databaseField="0">
      <fieldGroup base="1">
        <rangePr groupBy="years" startDate="2019-01-01T00:00:00" endDate="2021-11-02T00:00:00"/>
        <groupItems count="5">
          <s v="&lt;1/1/2019"/>
          <s v="2019"/>
          <s v="2020"/>
          <s v="2021"/>
          <s v="&gt;11/2/2021"/>
        </groupItems>
      </fieldGroup>
    </cacheField>
  </cacheFields>
  <extLst>
    <ext xmlns:x14="http://schemas.microsoft.com/office/spreadsheetml/2009/9/main" uri="{725AE2AE-9491-48be-B2B4-4EB974FC3084}">
      <x14:pivotCacheDefinition pivotCacheId="1592685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n v="1"/>
    <d v="2019-01-01T00:00:00"/>
    <x v="0"/>
    <x v="0"/>
    <x v="0"/>
    <n v="1100"/>
    <n v="1"/>
    <n v="1100"/>
    <x v="0"/>
    <x v="0"/>
  </r>
  <r>
    <n v="2"/>
    <d v="2019-01-02T00:00:00"/>
    <x v="0"/>
    <x v="0"/>
    <x v="0"/>
    <n v="1100"/>
    <n v="1"/>
    <n v="1100"/>
    <x v="0"/>
    <x v="0"/>
  </r>
  <r>
    <n v="3"/>
    <d v="2019-01-03T00:00:00"/>
    <x v="0"/>
    <x v="0"/>
    <x v="0"/>
    <n v="1100"/>
    <n v="1"/>
    <n v="1100"/>
    <x v="0"/>
    <x v="0"/>
  </r>
  <r>
    <n v="4"/>
    <d v="2019-01-04T00:00:00"/>
    <x v="0"/>
    <x v="0"/>
    <x v="0"/>
    <n v="1100"/>
    <n v="1"/>
    <n v="1100"/>
    <x v="0"/>
    <x v="0"/>
  </r>
  <r>
    <n v="5"/>
    <d v="2019-01-05T00:00:00"/>
    <x v="0"/>
    <x v="0"/>
    <x v="0"/>
    <n v="1100"/>
    <n v="1"/>
    <n v="1100"/>
    <x v="0"/>
    <x v="0"/>
  </r>
  <r>
    <n v="6"/>
    <d v="2019-01-06T00:00:00"/>
    <x v="0"/>
    <x v="0"/>
    <x v="0"/>
    <n v="1100"/>
    <n v="1"/>
    <n v="1100"/>
    <x v="0"/>
    <x v="0"/>
  </r>
  <r>
    <n v="7"/>
    <d v="2019-01-07T00:00:00"/>
    <x v="0"/>
    <x v="0"/>
    <x v="0"/>
    <n v="1100"/>
    <n v="2"/>
    <n v="2200"/>
    <x v="0"/>
    <x v="0"/>
  </r>
  <r>
    <n v="8"/>
    <d v="2019-01-08T00:00:00"/>
    <x v="0"/>
    <x v="0"/>
    <x v="0"/>
    <n v="1100"/>
    <n v="1"/>
    <n v="1100"/>
    <x v="0"/>
    <x v="0"/>
  </r>
  <r>
    <n v="9"/>
    <d v="2019-01-09T00:00:00"/>
    <x v="0"/>
    <x v="0"/>
    <x v="0"/>
    <n v="1100"/>
    <n v="1"/>
    <n v="1100"/>
    <x v="0"/>
    <x v="0"/>
  </r>
  <r>
    <n v="10"/>
    <d v="2019-01-10T00:00:00"/>
    <x v="0"/>
    <x v="1"/>
    <x v="0"/>
    <n v="900"/>
    <n v="1"/>
    <n v="900"/>
    <x v="0"/>
    <x v="0"/>
  </r>
  <r>
    <n v="11"/>
    <d v="2019-01-11T00:00:00"/>
    <x v="1"/>
    <x v="1"/>
    <x v="0"/>
    <n v="900"/>
    <n v="1"/>
    <n v="900"/>
    <x v="0"/>
    <x v="0"/>
  </r>
  <r>
    <n v="12"/>
    <d v="2019-01-12T00:00:00"/>
    <x v="1"/>
    <x v="1"/>
    <x v="0"/>
    <n v="900"/>
    <n v="1"/>
    <n v="900"/>
    <x v="0"/>
    <x v="0"/>
  </r>
  <r>
    <n v="13"/>
    <d v="2019-01-13T00:00:00"/>
    <x v="1"/>
    <x v="1"/>
    <x v="0"/>
    <n v="900"/>
    <n v="2"/>
    <n v="1800"/>
    <x v="0"/>
    <x v="0"/>
  </r>
  <r>
    <n v="14"/>
    <d v="2019-01-14T00:00:00"/>
    <x v="1"/>
    <x v="1"/>
    <x v="0"/>
    <n v="900"/>
    <n v="1"/>
    <n v="900"/>
    <x v="0"/>
    <x v="0"/>
  </r>
  <r>
    <n v="15"/>
    <d v="2019-01-15T00:00:00"/>
    <x v="1"/>
    <x v="1"/>
    <x v="0"/>
    <n v="900"/>
    <n v="1"/>
    <n v="900"/>
    <x v="0"/>
    <x v="0"/>
  </r>
  <r>
    <n v="16"/>
    <d v="2019-01-16T00:00:00"/>
    <x v="1"/>
    <x v="0"/>
    <x v="0"/>
    <n v="1100"/>
    <n v="1"/>
    <n v="1100"/>
    <x v="0"/>
    <x v="0"/>
  </r>
  <r>
    <n v="17"/>
    <d v="2019-01-17T00:00:00"/>
    <x v="1"/>
    <x v="1"/>
    <x v="0"/>
    <n v="900"/>
    <n v="1"/>
    <n v="900"/>
    <x v="0"/>
    <x v="0"/>
  </r>
  <r>
    <n v="18"/>
    <d v="2019-01-18T00:00:00"/>
    <x v="1"/>
    <x v="0"/>
    <x v="0"/>
    <n v="1100"/>
    <n v="2"/>
    <n v="2200"/>
    <x v="0"/>
    <x v="0"/>
  </r>
  <r>
    <n v="19"/>
    <d v="2019-01-19T00:00:00"/>
    <x v="1"/>
    <x v="0"/>
    <x v="0"/>
    <n v="1100"/>
    <n v="1"/>
    <n v="1100"/>
    <x v="0"/>
    <x v="0"/>
  </r>
  <r>
    <n v="20"/>
    <d v="2019-01-20T00:00:00"/>
    <x v="0"/>
    <x v="1"/>
    <x v="0"/>
    <n v="900"/>
    <n v="1"/>
    <n v="900"/>
    <x v="0"/>
    <x v="0"/>
  </r>
  <r>
    <n v="21"/>
    <d v="2019-01-21T00:00:00"/>
    <x v="0"/>
    <x v="1"/>
    <x v="0"/>
    <n v="900"/>
    <n v="1"/>
    <n v="900"/>
    <x v="0"/>
    <x v="0"/>
  </r>
  <r>
    <n v="22"/>
    <d v="2019-01-22T00:00:00"/>
    <x v="0"/>
    <x v="2"/>
    <x v="0"/>
    <n v="900"/>
    <n v="1"/>
    <n v="900"/>
    <x v="0"/>
    <x v="0"/>
  </r>
  <r>
    <n v="23"/>
    <d v="2019-01-23T00:00:00"/>
    <x v="0"/>
    <x v="0"/>
    <x v="0"/>
    <n v="1100"/>
    <n v="1"/>
    <n v="1100"/>
    <x v="0"/>
    <x v="0"/>
  </r>
  <r>
    <n v="24"/>
    <d v="2019-01-24T00:00:00"/>
    <x v="0"/>
    <x v="0"/>
    <x v="0"/>
    <n v="1100"/>
    <n v="1"/>
    <n v="1100"/>
    <x v="0"/>
    <x v="0"/>
  </r>
  <r>
    <n v="25"/>
    <d v="2019-01-25T00:00:00"/>
    <x v="0"/>
    <x v="2"/>
    <x v="0"/>
    <n v="900"/>
    <n v="1"/>
    <n v="900"/>
    <x v="0"/>
    <x v="0"/>
  </r>
  <r>
    <n v="26"/>
    <d v="2019-01-26T00:00:00"/>
    <x v="0"/>
    <x v="1"/>
    <x v="0"/>
    <n v="900"/>
    <n v="1"/>
    <n v="900"/>
    <x v="0"/>
    <x v="0"/>
  </r>
  <r>
    <n v="27"/>
    <d v="2019-01-27T00:00:00"/>
    <x v="0"/>
    <x v="2"/>
    <x v="0"/>
    <n v="900"/>
    <n v="1"/>
    <n v="900"/>
    <x v="0"/>
    <x v="0"/>
  </r>
  <r>
    <n v="28"/>
    <d v="2019-01-28T00:00:00"/>
    <x v="0"/>
    <x v="0"/>
    <x v="0"/>
    <n v="1100"/>
    <n v="1"/>
    <n v="1100"/>
    <x v="0"/>
    <x v="0"/>
  </r>
  <r>
    <n v="29"/>
    <d v="2019-01-29T00:00:00"/>
    <x v="0"/>
    <x v="0"/>
    <x v="0"/>
    <n v="1100"/>
    <n v="1"/>
    <n v="1100"/>
    <x v="0"/>
    <x v="0"/>
  </r>
  <r>
    <n v="30"/>
    <d v="2019-01-30T00:00:00"/>
    <x v="0"/>
    <x v="2"/>
    <x v="0"/>
    <n v="900"/>
    <n v="1"/>
    <n v="900"/>
    <x v="0"/>
    <x v="0"/>
  </r>
  <r>
    <n v="31"/>
    <d v="2019-01-31T00:00:00"/>
    <x v="0"/>
    <x v="2"/>
    <x v="0"/>
    <n v="900"/>
    <n v="1"/>
    <n v="900"/>
    <x v="0"/>
    <x v="0"/>
  </r>
  <r>
    <n v="32"/>
    <d v="2019-02-01T00:00:00"/>
    <x v="0"/>
    <x v="2"/>
    <x v="0"/>
    <n v="900"/>
    <n v="1"/>
    <n v="900"/>
    <x v="1"/>
    <x v="0"/>
  </r>
  <r>
    <n v="33"/>
    <d v="2019-02-02T00:00:00"/>
    <x v="0"/>
    <x v="2"/>
    <x v="0"/>
    <n v="900"/>
    <n v="1"/>
    <n v="900"/>
    <x v="1"/>
    <x v="0"/>
  </r>
  <r>
    <n v="34"/>
    <d v="2019-02-03T00:00:00"/>
    <x v="0"/>
    <x v="2"/>
    <x v="0"/>
    <n v="900"/>
    <n v="1"/>
    <n v="900"/>
    <x v="1"/>
    <x v="0"/>
  </r>
  <r>
    <n v="35"/>
    <d v="2019-02-04T00:00:00"/>
    <x v="0"/>
    <x v="1"/>
    <x v="0"/>
    <n v="900"/>
    <n v="1"/>
    <n v="900"/>
    <x v="1"/>
    <x v="0"/>
  </r>
  <r>
    <n v="36"/>
    <d v="2019-02-05T00:00:00"/>
    <x v="0"/>
    <x v="1"/>
    <x v="0"/>
    <n v="900"/>
    <n v="1"/>
    <n v="900"/>
    <x v="1"/>
    <x v="0"/>
  </r>
  <r>
    <n v="37"/>
    <d v="2019-02-06T00:00:00"/>
    <x v="0"/>
    <x v="1"/>
    <x v="0"/>
    <n v="900"/>
    <n v="1"/>
    <n v="900"/>
    <x v="1"/>
    <x v="0"/>
  </r>
  <r>
    <n v="38"/>
    <d v="2019-02-07T00:00:00"/>
    <x v="0"/>
    <x v="0"/>
    <x v="0"/>
    <n v="1100"/>
    <n v="1"/>
    <n v="1100"/>
    <x v="1"/>
    <x v="0"/>
  </r>
  <r>
    <n v="39"/>
    <d v="2019-02-08T00:00:00"/>
    <x v="0"/>
    <x v="0"/>
    <x v="0"/>
    <n v="1100"/>
    <n v="1"/>
    <n v="1100"/>
    <x v="1"/>
    <x v="0"/>
  </r>
  <r>
    <n v="40"/>
    <d v="2019-02-09T00:00:00"/>
    <x v="0"/>
    <x v="3"/>
    <x v="0"/>
    <n v="1000"/>
    <n v="1"/>
    <n v="1000"/>
    <x v="1"/>
    <x v="0"/>
  </r>
  <r>
    <n v="41"/>
    <d v="2019-02-10T00:00:00"/>
    <x v="0"/>
    <x v="3"/>
    <x v="0"/>
    <n v="1000"/>
    <n v="1"/>
    <n v="1000"/>
    <x v="1"/>
    <x v="0"/>
  </r>
  <r>
    <n v="42"/>
    <d v="2019-02-11T00:00:00"/>
    <x v="0"/>
    <x v="0"/>
    <x v="0"/>
    <n v="1100"/>
    <n v="1"/>
    <n v="1100"/>
    <x v="1"/>
    <x v="0"/>
  </r>
  <r>
    <n v="43"/>
    <d v="2019-02-12T00:00:00"/>
    <x v="0"/>
    <x v="3"/>
    <x v="0"/>
    <n v="1000"/>
    <n v="1"/>
    <n v="1000"/>
    <x v="1"/>
    <x v="0"/>
  </r>
  <r>
    <n v="44"/>
    <d v="2019-02-13T00:00:00"/>
    <x v="0"/>
    <x v="1"/>
    <x v="0"/>
    <n v="900"/>
    <n v="1"/>
    <n v="900"/>
    <x v="1"/>
    <x v="0"/>
  </r>
  <r>
    <n v="45"/>
    <d v="2019-02-14T00:00:00"/>
    <x v="0"/>
    <x v="1"/>
    <x v="0"/>
    <n v="900"/>
    <n v="2"/>
    <n v="1800"/>
    <x v="1"/>
    <x v="0"/>
  </r>
  <r>
    <n v="46"/>
    <d v="2019-02-15T00:00:00"/>
    <x v="0"/>
    <x v="0"/>
    <x v="0"/>
    <n v="1100"/>
    <n v="1"/>
    <n v="1100"/>
    <x v="1"/>
    <x v="0"/>
  </r>
  <r>
    <n v="47"/>
    <d v="2019-02-16T00:00:00"/>
    <x v="0"/>
    <x v="1"/>
    <x v="0"/>
    <n v="900"/>
    <n v="1"/>
    <n v="900"/>
    <x v="1"/>
    <x v="0"/>
  </r>
  <r>
    <n v="48"/>
    <d v="2019-02-17T00:00:00"/>
    <x v="0"/>
    <x v="0"/>
    <x v="0"/>
    <n v="1100"/>
    <n v="1"/>
    <n v="1100"/>
    <x v="1"/>
    <x v="0"/>
  </r>
  <r>
    <n v="49"/>
    <d v="2019-02-18T00:00:00"/>
    <x v="0"/>
    <x v="4"/>
    <x v="1"/>
    <n v="800"/>
    <n v="1"/>
    <n v="800"/>
    <x v="1"/>
    <x v="0"/>
  </r>
  <r>
    <n v="50"/>
    <d v="2019-02-19T00:00:00"/>
    <x v="0"/>
    <x v="4"/>
    <x v="1"/>
    <n v="800"/>
    <n v="2"/>
    <n v="1600"/>
    <x v="1"/>
    <x v="0"/>
  </r>
  <r>
    <n v="51"/>
    <d v="2019-02-20T00:00:00"/>
    <x v="0"/>
    <x v="2"/>
    <x v="0"/>
    <n v="900"/>
    <n v="1"/>
    <n v="900"/>
    <x v="1"/>
    <x v="0"/>
  </r>
  <r>
    <n v="52"/>
    <d v="2019-02-21T00:00:00"/>
    <x v="0"/>
    <x v="0"/>
    <x v="0"/>
    <n v="1100"/>
    <n v="1"/>
    <n v="1100"/>
    <x v="1"/>
    <x v="0"/>
  </r>
  <r>
    <n v="53"/>
    <d v="2019-02-22T00:00:00"/>
    <x v="0"/>
    <x v="4"/>
    <x v="1"/>
    <n v="800"/>
    <n v="1"/>
    <n v="800"/>
    <x v="1"/>
    <x v="0"/>
  </r>
  <r>
    <n v="54"/>
    <d v="2019-02-23T00:00:00"/>
    <x v="0"/>
    <x v="3"/>
    <x v="0"/>
    <n v="1000"/>
    <n v="1"/>
    <n v="1000"/>
    <x v="1"/>
    <x v="0"/>
  </r>
  <r>
    <n v="55"/>
    <d v="2019-02-24T00:00:00"/>
    <x v="0"/>
    <x v="4"/>
    <x v="1"/>
    <n v="800"/>
    <n v="1"/>
    <n v="800"/>
    <x v="1"/>
    <x v="0"/>
  </r>
  <r>
    <n v="56"/>
    <d v="2019-02-25T00:00:00"/>
    <x v="0"/>
    <x v="5"/>
    <x v="1"/>
    <n v="600"/>
    <n v="1"/>
    <n v="600"/>
    <x v="1"/>
    <x v="0"/>
  </r>
  <r>
    <n v="57"/>
    <d v="2019-02-26T00:00:00"/>
    <x v="0"/>
    <x v="1"/>
    <x v="0"/>
    <n v="900"/>
    <n v="1"/>
    <n v="900"/>
    <x v="1"/>
    <x v="0"/>
  </r>
  <r>
    <n v="58"/>
    <d v="2019-02-27T00:00:00"/>
    <x v="0"/>
    <x v="0"/>
    <x v="0"/>
    <n v="1100"/>
    <n v="1"/>
    <n v="1100"/>
    <x v="1"/>
    <x v="0"/>
  </r>
  <r>
    <n v="59"/>
    <d v="2019-02-28T00:00:00"/>
    <x v="0"/>
    <x v="3"/>
    <x v="0"/>
    <n v="1000"/>
    <n v="1"/>
    <n v="1000"/>
    <x v="1"/>
    <x v="0"/>
  </r>
  <r>
    <n v="60"/>
    <d v="2019-03-01T00:00:00"/>
    <x v="0"/>
    <x v="1"/>
    <x v="0"/>
    <n v="900"/>
    <n v="1"/>
    <n v="900"/>
    <x v="2"/>
    <x v="0"/>
  </r>
  <r>
    <n v="61"/>
    <d v="2019-03-02T00:00:00"/>
    <x v="0"/>
    <x v="0"/>
    <x v="0"/>
    <n v="1100"/>
    <n v="2"/>
    <n v="2200"/>
    <x v="2"/>
    <x v="0"/>
  </r>
  <r>
    <n v="62"/>
    <d v="2019-03-03T00:00:00"/>
    <x v="0"/>
    <x v="5"/>
    <x v="1"/>
    <n v="600"/>
    <n v="1"/>
    <n v="600"/>
    <x v="2"/>
    <x v="0"/>
  </r>
  <r>
    <n v="63"/>
    <d v="2019-03-04T00:00:00"/>
    <x v="0"/>
    <x v="5"/>
    <x v="1"/>
    <n v="600"/>
    <n v="1"/>
    <n v="600"/>
    <x v="2"/>
    <x v="0"/>
  </r>
  <r>
    <n v="64"/>
    <d v="2019-03-05T00:00:00"/>
    <x v="0"/>
    <x v="5"/>
    <x v="1"/>
    <n v="600"/>
    <n v="1"/>
    <n v="600"/>
    <x v="2"/>
    <x v="0"/>
  </r>
  <r>
    <n v="65"/>
    <d v="2019-03-06T00:00:00"/>
    <x v="0"/>
    <x v="1"/>
    <x v="0"/>
    <n v="900"/>
    <n v="1"/>
    <n v="900"/>
    <x v="2"/>
    <x v="0"/>
  </r>
  <r>
    <n v="66"/>
    <d v="2019-03-07T00:00:00"/>
    <x v="0"/>
    <x v="5"/>
    <x v="1"/>
    <n v="600"/>
    <n v="1"/>
    <n v="600"/>
    <x v="2"/>
    <x v="0"/>
  </r>
  <r>
    <n v="67"/>
    <d v="2019-03-08T00:00:00"/>
    <x v="0"/>
    <x v="5"/>
    <x v="1"/>
    <n v="600"/>
    <n v="1"/>
    <n v="600"/>
    <x v="2"/>
    <x v="0"/>
  </r>
  <r>
    <n v="68"/>
    <d v="2019-03-09T00:00:00"/>
    <x v="0"/>
    <x v="0"/>
    <x v="0"/>
    <n v="1100"/>
    <n v="1"/>
    <n v="1100"/>
    <x v="2"/>
    <x v="0"/>
  </r>
  <r>
    <n v="69"/>
    <d v="2019-03-10T00:00:00"/>
    <x v="0"/>
    <x v="2"/>
    <x v="0"/>
    <n v="900"/>
    <n v="3"/>
    <n v="2700"/>
    <x v="2"/>
    <x v="0"/>
  </r>
  <r>
    <n v="70"/>
    <d v="2019-03-11T00:00:00"/>
    <x v="0"/>
    <x v="0"/>
    <x v="0"/>
    <n v="1100"/>
    <n v="2"/>
    <n v="2200"/>
    <x v="2"/>
    <x v="0"/>
  </r>
  <r>
    <n v="71"/>
    <d v="2019-03-12T00:00:00"/>
    <x v="0"/>
    <x v="0"/>
    <x v="0"/>
    <n v="1100"/>
    <n v="1"/>
    <n v="1100"/>
    <x v="2"/>
    <x v="0"/>
  </r>
  <r>
    <n v="72"/>
    <d v="2019-03-13T00:00:00"/>
    <x v="0"/>
    <x v="5"/>
    <x v="1"/>
    <n v="600"/>
    <n v="1"/>
    <n v="600"/>
    <x v="2"/>
    <x v="0"/>
  </r>
  <r>
    <n v="73"/>
    <d v="2019-03-14T00:00:00"/>
    <x v="0"/>
    <x v="1"/>
    <x v="0"/>
    <n v="900"/>
    <n v="1"/>
    <n v="900"/>
    <x v="2"/>
    <x v="0"/>
  </r>
  <r>
    <n v="74"/>
    <d v="2019-03-15T00:00:00"/>
    <x v="0"/>
    <x v="5"/>
    <x v="1"/>
    <n v="600"/>
    <n v="1"/>
    <n v="600"/>
    <x v="2"/>
    <x v="0"/>
  </r>
  <r>
    <n v="75"/>
    <d v="2019-03-16T00:00:00"/>
    <x v="0"/>
    <x v="5"/>
    <x v="1"/>
    <n v="600"/>
    <n v="1"/>
    <n v="600"/>
    <x v="2"/>
    <x v="0"/>
  </r>
  <r>
    <n v="76"/>
    <d v="2019-03-17T00:00:00"/>
    <x v="0"/>
    <x v="1"/>
    <x v="0"/>
    <n v="900"/>
    <n v="3"/>
    <n v="2700"/>
    <x v="2"/>
    <x v="0"/>
  </r>
  <r>
    <n v="77"/>
    <d v="2019-03-18T00:00:00"/>
    <x v="0"/>
    <x v="5"/>
    <x v="1"/>
    <n v="600"/>
    <n v="1"/>
    <n v="600"/>
    <x v="2"/>
    <x v="0"/>
  </r>
  <r>
    <n v="78"/>
    <d v="2019-03-19T00:00:00"/>
    <x v="0"/>
    <x v="4"/>
    <x v="1"/>
    <n v="800"/>
    <n v="1"/>
    <n v="800"/>
    <x v="2"/>
    <x v="0"/>
  </r>
  <r>
    <n v="79"/>
    <d v="2019-03-20T00:00:00"/>
    <x v="0"/>
    <x v="5"/>
    <x v="1"/>
    <n v="600"/>
    <n v="1"/>
    <n v="600"/>
    <x v="2"/>
    <x v="0"/>
  </r>
  <r>
    <n v="80"/>
    <d v="2019-03-21T00:00:00"/>
    <x v="0"/>
    <x v="0"/>
    <x v="0"/>
    <n v="1100"/>
    <n v="1"/>
    <n v="1100"/>
    <x v="2"/>
    <x v="0"/>
  </r>
  <r>
    <n v="81"/>
    <d v="2019-03-22T00:00:00"/>
    <x v="0"/>
    <x v="2"/>
    <x v="0"/>
    <n v="900"/>
    <n v="1"/>
    <n v="900"/>
    <x v="2"/>
    <x v="0"/>
  </r>
  <r>
    <n v="82"/>
    <d v="2019-03-23T00:00:00"/>
    <x v="0"/>
    <x v="0"/>
    <x v="0"/>
    <n v="1100"/>
    <n v="1"/>
    <n v="1100"/>
    <x v="2"/>
    <x v="0"/>
  </r>
  <r>
    <n v="83"/>
    <d v="2019-03-24T00:00:00"/>
    <x v="0"/>
    <x v="0"/>
    <x v="0"/>
    <n v="1100"/>
    <n v="1"/>
    <n v="1100"/>
    <x v="2"/>
    <x v="0"/>
  </r>
  <r>
    <n v="84"/>
    <d v="2019-03-25T00:00:00"/>
    <x v="0"/>
    <x v="0"/>
    <x v="0"/>
    <n v="1100"/>
    <n v="1"/>
    <n v="1100"/>
    <x v="2"/>
    <x v="0"/>
  </r>
  <r>
    <n v="85"/>
    <d v="2019-03-26T00:00:00"/>
    <x v="0"/>
    <x v="3"/>
    <x v="0"/>
    <n v="1000"/>
    <n v="1"/>
    <n v="1000"/>
    <x v="2"/>
    <x v="0"/>
  </r>
  <r>
    <n v="86"/>
    <d v="2019-03-27T00:00:00"/>
    <x v="0"/>
    <x v="5"/>
    <x v="1"/>
    <n v="600"/>
    <n v="1"/>
    <n v="600"/>
    <x v="2"/>
    <x v="0"/>
  </r>
  <r>
    <n v="87"/>
    <d v="2019-03-28T00:00:00"/>
    <x v="0"/>
    <x v="4"/>
    <x v="1"/>
    <n v="800"/>
    <n v="1"/>
    <n v="800"/>
    <x v="2"/>
    <x v="0"/>
  </r>
  <r>
    <n v="88"/>
    <d v="2019-03-29T00:00:00"/>
    <x v="0"/>
    <x v="0"/>
    <x v="0"/>
    <n v="1100"/>
    <n v="1"/>
    <n v="1100"/>
    <x v="2"/>
    <x v="0"/>
  </r>
  <r>
    <n v="89"/>
    <d v="2019-03-30T00:00:00"/>
    <x v="0"/>
    <x v="5"/>
    <x v="1"/>
    <n v="600"/>
    <n v="1"/>
    <n v="600"/>
    <x v="2"/>
    <x v="0"/>
  </r>
  <r>
    <n v="90"/>
    <d v="2019-03-31T00:00:00"/>
    <x v="0"/>
    <x v="6"/>
    <x v="2"/>
    <n v="850"/>
    <n v="1"/>
    <n v="850"/>
    <x v="2"/>
    <x v="0"/>
  </r>
  <r>
    <n v="91"/>
    <d v="2019-04-01T00:00:00"/>
    <x v="0"/>
    <x v="2"/>
    <x v="0"/>
    <n v="900"/>
    <n v="1"/>
    <n v="900"/>
    <x v="3"/>
    <x v="0"/>
  </r>
  <r>
    <n v="92"/>
    <d v="2019-04-02T00:00:00"/>
    <x v="0"/>
    <x v="3"/>
    <x v="0"/>
    <n v="1000"/>
    <n v="1"/>
    <n v="1000"/>
    <x v="3"/>
    <x v="0"/>
  </r>
  <r>
    <n v="93"/>
    <d v="2019-04-03T00:00:00"/>
    <x v="0"/>
    <x v="6"/>
    <x v="2"/>
    <n v="850"/>
    <n v="1"/>
    <n v="850"/>
    <x v="3"/>
    <x v="0"/>
  </r>
  <r>
    <n v="94"/>
    <d v="2019-04-04T00:00:00"/>
    <x v="0"/>
    <x v="6"/>
    <x v="2"/>
    <n v="850"/>
    <n v="1"/>
    <n v="850"/>
    <x v="3"/>
    <x v="0"/>
  </r>
  <r>
    <n v="95"/>
    <d v="2019-04-05T00:00:00"/>
    <x v="0"/>
    <x v="3"/>
    <x v="0"/>
    <n v="1000"/>
    <n v="1"/>
    <n v="1000"/>
    <x v="3"/>
    <x v="0"/>
  </r>
  <r>
    <n v="96"/>
    <d v="2019-04-06T00:00:00"/>
    <x v="0"/>
    <x v="4"/>
    <x v="1"/>
    <n v="800"/>
    <n v="1"/>
    <n v="800"/>
    <x v="3"/>
    <x v="0"/>
  </r>
  <r>
    <n v="97"/>
    <d v="2019-04-07T00:00:00"/>
    <x v="0"/>
    <x v="5"/>
    <x v="1"/>
    <n v="600"/>
    <n v="1"/>
    <n v="600"/>
    <x v="3"/>
    <x v="0"/>
  </r>
  <r>
    <n v="98"/>
    <d v="2019-04-08T00:00:00"/>
    <x v="0"/>
    <x v="4"/>
    <x v="1"/>
    <n v="800"/>
    <n v="1"/>
    <n v="800"/>
    <x v="3"/>
    <x v="0"/>
  </r>
  <r>
    <n v="99"/>
    <d v="2019-04-09T00:00:00"/>
    <x v="0"/>
    <x v="0"/>
    <x v="0"/>
    <n v="1100"/>
    <n v="1"/>
    <n v="1100"/>
    <x v="3"/>
    <x v="0"/>
  </r>
  <r>
    <n v="100"/>
    <d v="2019-04-10T00:00:00"/>
    <x v="0"/>
    <x v="6"/>
    <x v="2"/>
    <n v="850"/>
    <n v="1"/>
    <n v="850"/>
    <x v="3"/>
    <x v="0"/>
  </r>
  <r>
    <n v="101"/>
    <d v="2019-04-11T00:00:00"/>
    <x v="0"/>
    <x v="6"/>
    <x v="2"/>
    <n v="850"/>
    <n v="1"/>
    <n v="850"/>
    <x v="3"/>
    <x v="0"/>
  </r>
  <r>
    <n v="102"/>
    <d v="2019-04-12T00:00:00"/>
    <x v="0"/>
    <x v="6"/>
    <x v="2"/>
    <n v="850"/>
    <n v="1"/>
    <n v="850"/>
    <x v="3"/>
    <x v="0"/>
  </r>
  <r>
    <n v="103"/>
    <d v="2019-04-13T00:00:00"/>
    <x v="0"/>
    <x v="5"/>
    <x v="1"/>
    <n v="600"/>
    <n v="1"/>
    <n v="600"/>
    <x v="3"/>
    <x v="0"/>
  </r>
  <r>
    <n v="104"/>
    <d v="2019-04-14T00:00:00"/>
    <x v="0"/>
    <x v="6"/>
    <x v="2"/>
    <n v="850"/>
    <n v="1"/>
    <n v="850"/>
    <x v="3"/>
    <x v="0"/>
  </r>
  <r>
    <n v="105"/>
    <d v="2019-04-15T00:00:00"/>
    <x v="0"/>
    <x v="6"/>
    <x v="2"/>
    <n v="850"/>
    <n v="1"/>
    <n v="850"/>
    <x v="3"/>
    <x v="0"/>
  </r>
  <r>
    <n v="106"/>
    <d v="2019-04-16T00:00:00"/>
    <x v="0"/>
    <x v="0"/>
    <x v="0"/>
    <n v="1100"/>
    <n v="1"/>
    <n v="1100"/>
    <x v="3"/>
    <x v="0"/>
  </r>
  <r>
    <n v="107"/>
    <d v="2019-04-17T00:00:00"/>
    <x v="0"/>
    <x v="3"/>
    <x v="0"/>
    <n v="1000"/>
    <n v="1"/>
    <n v="1000"/>
    <x v="3"/>
    <x v="0"/>
  </r>
  <r>
    <n v="108"/>
    <d v="2019-04-18T00:00:00"/>
    <x v="0"/>
    <x v="0"/>
    <x v="0"/>
    <n v="1100"/>
    <n v="1"/>
    <n v="1100"/>
    <x v="3"/>
    <x v="0"/>
  </r>
  <r>
    <n v="109"/>
    <d v="2019-04-19T00:00:00"/>
    <x v="0"/>
    <x v="5"/>
    <x v="1"/>
    <n v="600"/>
    <n v="1"/>
    <n v="600"/>
    <x v="3"/>
    <x v="0"/>
  </r>
  <r>
    <n v="110"/>
    <d v="2019-04-20T00:00:00"/>
    <x v="0"/>
    <x v="5"/>
    <x v="1"/>
    <n v="600"/>
    <n v="2"/>
    <n v="1200"/>
    <x v="3"/>
    <x v="0"/>
  </r>
  <r>
    <n v="111"/>
    <d v="2019-04-21T00:00:00"/>
    <x v="0"/>
    <x v="5"/>
    <x v="1"/>
    <n v="600"/>
    <n v="1"/>
    <n v="600"/>
    <x v="3"/>
    <x v="0"/>
  </r>
  <r>
    <n v="112"/>
    <d v="2019-04-22T00:00:00"/>
    <x v="0"/>
    <x v="5"/>
    <x v="1"/>
    <n v="600"/>
    <n v="1"/>
    <n v="600"/>
    <x v="3"/>
    <x v="0"/>
  </r>
  <r>
    <n v="113"/>
    <d v="2019-04-23T00:00:00"/>
    <x v="0"/>
    <x v="0"/>
    <x v="0"/>
    <n v="1100"/>
    <n v="1"/>
    <n v="1100"/>
    <x v="3"/>
    <x v="0"/>
  </r>
  <r>
    <n v="114"/>
    <d v="2019-04-24T00:00:00"/>
    <x v="0"/>
    <x v="2"/>
    <x v="0"/>
    <n v="900"/>
    <n v="1"/>
    <n v="900"/>
    <x v="3"/>
    <x v="0"/>
  </r>
  <r>
    <n v="115"/>
    <d v="2019-04-25T00:00:00"/>
    <x v="0"/>
    <x v="5"/>
    <x v="1"/>
    <n v="600"/>
    <n v="1"/>
    <n v="600"/>
    <x v="3"/>
    <x v="0"/>
  </r>
  <r>
    <n v="116"/>
    <d v="2019-04-26T00:00:00"/>
    <x v="0"/>
    <x v="2"/>
    <x v="0"/>
    <n v="900"/>
    <n v="1"/>
    <n v="900"/>
    <x v="3"/>
    <x v="0"/>
  </r>
  <r>
    <n v="117"/>
    <d v="2019-04-27T00:00:00"/>
    <x v="0"/>
    <x v="1"/>
    <x v="0"/>
    <n v="900"/>
    <n v="1"/>
    <n v="900"/>
    <x v="3"/>
    <x v="0"/>
  </r>
  <r>
    <n v="118"/>
    <d v="2019-04-28T00:00:00"/>
    <x v="0"/>
    <x v="5"/>
    <x v="1"/>
    <n v="600"/>
    <n v="1"/>
    <n v="600"/>
    <x v="3"/>
    <x v="0"/>
  </r>
  <r>
    <n v="119"/>
    <d v="2019-04-29T00:00:00"/>
    <x v="0"/>
    <x v="5"/>
    <x v="1"/>
    <n v="600"/>
    <n v="1"/>
    <n v="600"/>
    <x v="3"/>
    <x v="0"/>
  </r>
  <r>
    <n v="120"/>
    <d v="2019-04-30T00:00:00"/>
    <x v="0"/>
    <x v="5"/>
    <x v="1"/>
    <n v="600"/>
    <n v="1"/>
    <n v="600"/>
    <x v="3"/>
    <x v="0"/>
  </r>
  <r>
    <n v="121"/>
    <d v="2019-05-01T00:00:00"/>
    <x v="0"/>
    <x v="0"/>
    <x v="0"/>
    <n v="1100"/>
    <n v="1"/>
    <n v="1100"/>
    <x v="4"/>
    <x v="0"/>
  </r>
  <r>
    <n v="122"/>
    <d v="2019-05-02T00:00:00"/>
    <x v="0"/>
    <x v="5"/>
    <x v="1"/>
    <n v="600"/>
    <n v="1"/>
    <n v="600"/>
    <x v="4"/>
    <x v="0"/>
  </r>
  <r>
    <n v="123"/>
    <d v="2019-05-03T00:00:00"/>
    <x v="0"/>
    <x v="5"/>
    <x v="1"/>
    <n v="600"/>
    <n v="1"/>
    <n v="600"/>
    <x v="4"/>
    <x v="0"/>
  </r>
  <r>
    <n v="124"/>
    <d v="2019-05-04T00:00:00"/>
    <x v="0"/>
    <x v="5"/>
    <x v="1"/>
    <n v="600"/>
    <n v="1"/>
    <n v="600"/>
    <x v="4"/>
    <x v="0"/>
  </r>
  <r>
    <n v="125"/>
    <d v="2019-05-05T00:00:00"/>
    <x v="0"/>
    <x v="1"/>
    <x v="0"/>
    <n v="900"/>
    <n v="1"/>
    <n v="900"/>
    <x v="4"/>
    <x v="0"/>
  </r>
  <r>
    <n v="126"/>
    <d v="2019-05-06T00:00:00"/>
    <x v="0"/>
    <x v="5"/>
    <x v="1"/>
    <n v="600"/>
    <n v="1"/>
    <n v="600"/>
    <x v="4"/>
    <x v="0"/>
  </r>
  <r>
    <n v="127"/>
    <d v="2019-05-07T00:00:00"/>
    <x v="0"/>
    <x v="2"/>
    <x v="0"/>
    <n v="900"/>
    <n v="1"/>
    <n v="900"/>
    <x v="4"/>
    <x v="0"/>
  </r>
  <r>
    <n v="128"/>
    <d v="2019-05-08T00:00:00"/>
    <x v="0"/>
    <x v="7"/>
    <x v="2"/>
    <n v="1200"/>
    <n v="1"/>
    <n v="1200"/>
    <x v="4"/>
    <x v="0"/>
  </r>
  <r>
    <n v="129"/>
    <d v="2019-05-09T00:00:00"/>
    <x v="0"/>
    <x v="0"/>
    <x v="0"/>
    <n v="1100"/>
    <n v="1"/>
    <n v="1100"/>
    <x v="4"/>
    <x v="0"/>
  </r>
  <r>
    <n v="130"/>
    <d v="2019-05-10T00:00:00"/>
    <x v="0"/>
    <x v="0"/>
    <x v="0"/>
    <n v="1100"/>
    <n v="1"/>
    <n v="1100"/>
    <x v="4"/>
    <x v="0"/>
  </r>
  <r>
    <n v="131"/>
    <d v="2019-05-11T00:00:00"/>
    <x v="0"/>
    <x v="5"/>
    <x v="1"/>
    <n v="600"/>
    <n v="1"/>
    <n v="600"/>
    <x v="4"/>
    <x v="0"/>
  </r>
  <r>
    <n v="132"/>
    <d v="2019-05-12T00:00:00"/>
    <x v="0"/>
    <x v="5"/>
    <x v="1"/>
    <n v="600"/>
    <n v="2"/>
    <n v="1200"/>
    <x v="4"/>
    <x v="0"/>
  </r>
  <r>
    <n v="133"/>
    <d v="2019-05-13T00:00:00"/>
    <x v="0"/>
    <x v="7"/>
    <x v="2"/>
    <n v="1200"/>
    <n v="1"/>
    <n v="1200"/>
    <x v="4"/>
    <x v="0"/>
  </r>
  <r>
    <n v="134"/>
    <d v="2019-05-14T00:00:00"/>
    <x v="0"/>
    <x v="7"/>
    <x v="2"/>
    <n v="1200"/>
    <n v="1"/>
    <n v="1200"/>
    <x v="4"/>
    <x v="0"/>
  </r>
  <r>
    <n v="135"/>
    <d v="2019-05-15T00:00:00"/>
    <x v="0"/>
    <x v="3"/>
    <x v="0"/>
    <n v="1000"/>
    <n v="1"/>
    <n v="1000"/>
    <x v="4"/>
    <x v="0"/>
  </r>
  <r>
    <n v="136"/>
    <d v="2019-05-16T00:00:00"/>
    <x v="0"/>
    <x v="4"/>
    <x v="1"/>
    <n v="800"/>
    <n v="2"/>
    <n v="1600"/>
    <x v="4"/>
    <x v="0"/>
  </r>
  <r>
    <n v="137"/>
    <d v="2019-05-17T00:00:00"/>
    <x v="0"/>
    <x v="7"/>
    <x v="2"/>
    <n v="1200"/>
    <n v="1"/>
    <n v="1200"/>
    <x v="4"/>
    <x v="0"/>
  </r>
  <r>
    <n v="138"/>
    <d v="2019-05-18T00:00:00"/>
    <x v="0"/>
    <x v="2"/>
    <x v="0"/>
    <n v="900"/>
    <n v="1"/>
    <n v="900"/>
    <x v="4"/>
    <x v="0"/>
  </r>
  <r>
    <n v="139"/>
    <d v="2019-05-19T00:00:00"/>
    <x v="0"/>
    <x v="3"/>
    <x v="0"/>
    <n v="1000"/>
    <n v="1"/>
    <n v="1000"/>
    <x v="4"/>
    <x v="0"/>
  </r>
  <r>
    <n v="140"/>
    <d v="2019-05-20T00:00:00"/>
    <x v="0"/>
    <x v="4"/>
    <x v="1"/>
    <n v="800"/>
    <n v="1"/>
    <n v="800"/>
    <x v="4"/>
    <x v="0"/>
  </r>
  <r>
    <n v="141"/>
    <d v="2019-05-21T00:00:00"/>
    <x v="0"/>
    <x v="7"/>
    <x v="2"/>
    <n v="1200"/>
    <n v="1"/>
    <n v="1200"/>
    <x v="4"/>
    <x v="0"/>
  </r>
  <r>
    <n v="142"/>
    <d v="2019-05-22T00:00:00"/>
    <x v="0"/>
    <x v="7"/>
    <x v="2"/>
    <n v="1200"/>
    <n v="1"/>
    <n v="1200"/>
    <x v="4"/>
    <x v="0"/>
  </r>
  <r>
    <n v="143"/>
    <d v="2019-05-23T00:00:00"/>
    <x v="0"/>
    <x v="4"/>
    <x v="1"/>
    <n v="800"/>
    <n v="2"/>
    <n v="1600"/>
    <x v="4"/>
    <x v="0"/>
  </r>
  <r>
    <n v="144"/>
    <d v="2019-05-24T00:00:00"/>
    <x v="0"/>
    <x v="1"/>
    <x v="0"/>
    <n v="900"/>
    <n v="1"/>
    <n v="900"/>
    <x v="4"/>
    <x v="0"/>
  </r>
  <r>
    <n v="145"/>
    <d v="2019-05-25T00:00:00"/>
    <x v="0"/>
    <x v="3"/>
    <x v="0"/>
    <n v="1000"/>
    <n v="1"/>
    <n v="1000"/>
    <x v="4"/>
    <x v="0"/>
  </r>
  <r>
    <n v="146"/>
    <d v="2019-05-26T00:00:00"/>
    <x v="0"/>
    <x v="3"/>
    <x v="0"/>
    <n v="1000"/>
    <n v="1"/>
    <n v="1000"/>
    <x v="4"/>
    <x v="0"/>
  </r>
  <r>
    <n v="147"/>
    <d v="2019-05-27T00:00:00"/>
    <x v="0"/>
    <x v="5"/>
    <x v="1"/>
    <n v="600"/>
    <n v="1"/>
    <n v="600"/>
    <x v="4"/>
    <x v="0"/>
  </r>
  <r>
    <n v="148"/>
    <d v="2019-05-28T00:00:00"/>
    <x v="0"/>
    <x v="6"/>
    <x v="2"/>
    <n v="850"/>
    <n v="1"/>
    <n v="850"/>
    <x v="4"/>
    <x v="0"/>
  </r>
  <r>
    <n v="149"/>
    <d v="2019-05-29T00:00:00"/>
    <x v="0"/>
    <x v="5"/>
    <x v="1"/>
    <n v="600"/>
    <n v="1"/>
    <n v="600"/>
    <x v="4"/>
    <x v="0"/>
  </r>
  <r>
    <n v="150"/>
    <d v="2019-05-30T00:00:00"/>
    <x v="0"/>
    <x v="6"/>
    <x v="2"/>
    <n v="850"/>
    <n v="1"/>
    <n v="850"/>
    <x v="4"/>
    <x v="0"/>
  </r>
  <r>
    <n v="151"/>
    <d v="2019-05-31T00:00:00"/>
    <x v="0"/>
    <x v="6"/>
    <x v="2"/>
    <n v="850"/>
    <n v="1"/>
    <n v="850"/>
    <x v="4"/>
    <x v="0"/>
  </r>
  <r>
    <n v="152"/>
    <d v="2019-06-01T00:00:00"/>
    <x v="0"/>
    <x v="1"/>
    <x v="0"/>
    <n v="900"/>
    <n v="1"/>
    <n v="900"/>
    <x v="5"/>
    <x v="0"/>
  </r>
  <r>
    <n v="153"/>
    <d v="2019-06-02T00:00:00"/>
    <x v="0"/>
    <x v="7"/>
    <x v="2"/>
    <n v="1200"/>
    <n v="2"/>
    <n v="2400"/>
    <x v="5"/>
    <x v="0"/>
  </r>
  <r>
    <n v="154"/>
    <d v="2019-06-03T00:00:00"/>
    <x v="0"/>
    <x v="4"/>
    <x v="1"/>
    <n v="800"/>
    <n v="1"/>
    <n v="800"/>
    <x v="5"/>
    <x v="0"/>
  </r>
  <r>
    <n v="155"/>
    <d v="2019-06-04T00:00:00"/>
    <x v="0"/>
    <x v="4"/>
    <x v="1"/>
    <n v="800"/>
    <n v="1"/>
    <n v="800"/>
    <x v="5"/>
    <x v="0"/>
  </r>
  <r>
    <n v="156"/>
    <d v="2019-06-05T00:00:00"/>
    <x v="0"/>
    <x v="2"/>
    <x v="0"/>
    <n v="900"/>
    <n v="1"/>
    <n v="900"/>
    <x v="5"/>
    <x v="0"/>
  </r>
  <r>
    <n v="157"/>
    <d v="2019-06-06T00:00:00"/>
    <x v="0"/>
    <x v="4"/>
    <x v="1"/>
    <n v="800"/>
    <n v="1"/>
    <n v="800"/>
    <x v="5"/>
    <x v="0"/>
  </r>
  <r>
    <n v="158"/>
    <d v="2019-06-07T00:00:00"/>
    <x v="0"/>
    <x v="5"/>
    <x v="1"/>
    <n v="600"/>
    <n v="1"/>
    <n v="600"/>
    <x v="5"/>
    <x v="0"/>
  </r>
  <r>
    <n v="159"/>
    <d v="2019-06-08T00:00:00"/>
    <x v="0"/>
    <x v="1"/>
    <x v="0"/>
    <n v="900"/>
    <n v="3"/>
    <n v="2700"/>
    <x v="5"/>
    <x v="0"/>
  </r>
  <r>
    <n v="160"/>
    <d v="2019-06-09T00:00:00"/>
    <x v="0"/>
    <x v="5"/>
    <x v="1"/>
    <n v="600"/>
    <n v="1"/>
    <n v="600"/>
    <x v="5"/>
    <x v="0"/>
  </r>
  <r>
    <n v="161"/>
    <d v="2019-06-10T00:00:00"/>
    <x v="0"/>
    <x v="4"/>
    <x v="1"/>
    <n v="800"/>
    <n v="1"/>
    <n v="800"/>
    <x v="5"/>
    <x v="0"/>
  </r>
  <r>
    <n v="162"/>
    <d v="2019-06-11T00:00:00"/>
    <x v="0"/>
    <x v="5"/>
    <x v="1"/>
    <n v="600"/>
    <n v="1"/>
    <n v="600"/>
    <x v="5"/>
    <x v="0"/>
  </r>
  <r>
    <n v="163"/>
    <d v="2019-06-12T00:00:00"/>
    <x v="0"/>
    <x v="0"/>
    <x v="0"/>
    <n v="1100"/>
    <n v="1"/>
    <n v="1100"/>
    <x v="5"/>
    <x v="0"/>
  </r>
  <r>
    <n v="164"/>
    <d v="2019-06-13T00:00:00"/>
    <x v="0"/>
    <x v="2"/>
    <x v="0"/>
    <n v="900"/>
    <n v="1"/>
    <n v="900"/>
    <x v="5"/>
    <x v="0"/>
  </r>
  <r>
    <n v="165"/>
    <d v="2019-06-14T00:00:00"/>
    <x v="0"/>
    <x v="0"/>
    <x v="0"/>
    <n v="1100"/>
    <n v="1"/>
    <n v="1100"/>
    <x v="5"/>
    <x v="0"/>
  </r>
  <r>
    <n v="166"/>
    <d v="2019-06-15T00:00:00"/>
    <x v="0"/>
    <x v="0"/>
    <x v="0"/>
    <n v="1100"/>
    <n v="1"/>
    <n v="1100"/>
    <x v="5"/>
    <x v="0"/>
  </r>
  <r>
    <n v="167"/>
    <d v="2019-06-16T00:00:00"/>
    <x v="0"/>
    <x v="7"/>
    <x v="2"/>
    <n v="1200"/>
    <n v="1"/>
    <n v="1200"/>
    <x v="5"/>
    <x v="0"/>
  </r>
  <r>
    <n v="168"/>
    <d v="2019-06-17T00:00:00"/>
    <x v="0"/>
    <x v="7"/>
    <x v="2"/>
    <n v="1200"/>
    <n v="1"/>
    <n v="1200"/>
    <x v="5"/>
    <x v="0"/>
  </r>
  <r>
    <n v="169"/>
    <d v="2019-06-18T00:00:00"/>
    <x v="0"/>
    <x v="0"/>
    <x v="0"/>
    <n v="1100"/>
    <n v="1"/>
    <n v="1100"/>
    <x v="5"/>
    <x v="0"/>
  </r>
  <r>
    <n v="170"/>
    <d v="2019-06-19T00:00:00"/>
    <x v="0"/>
    <x v="0"/>
    <x v="0"/>
    <n v="1100"/>
    <n v="1"/>
    <n v="1100"/>
    <x v="5"/>
    <x v="0"/>
  </r>
  <r>
    <n v="171"/>
    <d v="2019-06-20T00:00:00"/>
    <x v="0"/>
    <x v="8"/>
    <x v="3"/>
    <n v="900"/>
    <n v="1"/>
    <n v="900"/>
    <x v="5"/>
    <x v="0"/>
  </r>
  <r>
    <n v="172"/>
    <d v="2019-06-21T00:00:00"/>
    <x v="0"/>
    <x v="2"/>
    <x v="0"/>
    <n v="900"/>
    <n v="1"/>
    <n v="900"/>
    <x v="5"/>
    <x v="0"/>
  </r>
  <r>
    <n v="173"/>
    <d v="2019-06-22T00:00:00"/>
    <x v="0"/>
    <x v="8"/>
    <x v="3"/>
    <n v="800"/>
    <n v="1"/>
    <n v="800"/>
    <x v="5"/>
    <x v="0"/>
  </r>
  <r>
    <n v="174"/>
    <d v="2019-06-23T00:00:00"/>
    <x v="0"/>
    <x v="5"/>
    <x v="1"/>
    <n v="600"/>
    <n v="1"/>
    <n v="600"/>
    <x v="5"/>
    <x v="0"/>
  </r>
  <r>
    <n v="175"/>
    <d v="2019-06-24T00:00:00"/>
    <x v="0"/>
    <x v="8"/>
    <x v="3"/>
    <n v="800"/>
    <n v="1"/>
    <n v="800"/>
    <x v="5"/>
    <x v="0"/>
  </r>
  <r>
    <n v="176"/>
    <d v="2019-06-25T00:00:00"/>
    <x v="0"/>
    <x v="2"/>
    <x v="0"/>
    <n v="900"/>
    <n v="1"/>
    <n v="900"/>
    <x v="5"/>
    <x v="0"/>
  </r>
  <r>
    <n v="177"/>
    <d v="2019-06-26T00:00:00"/>
    <x v="0"/>
    <x v="7"/>
    <x v="2"/>
    <n v="1200"/>
    <n v="1"/>
    <n v="1200"/>
    <x v="5"/>
    <x v="0"/>
  </r>
  <r>
    <n v="178"/>
    <d v="2019-06-27T00:00:00"/>
    <x v="0"/>
    <x v="8"/>
    <x v="3"/>
    <n v="800"/>
    <n v="1"/>
    <n v="800"/>
    <x v="5"/>
    <x v="0"/>
  </r>
  <r>
    <n v="179"/>
    <d v="2019-06-28T00:00:00"/>
    <x v="0"/>
    <x v="1"/>
    <x v="0"/>
    <n v="900"/>
    <n v="1"/>
    <n v="900"/>
    <x v="5"/>
    <x v="0"/>
  </r>
  <r>
    <n v="180"/>
    <d v="2019-06-29T00:00:00"/>
    <x v="0"/>
    <x v="7"/>
    <x v="2"/>
    <n v="1200"/>
    <n v="1"/>
    <n v="1200"/>
    <x v="5"/>
    <x v="0"/>
  </r>
  <r>
    <n v="181"/>
    <d v="2019-06-30T00:00:00"/>
    <x v="0"/>
    <x v="0"/>
    <x v="0"/>
    <n v="1100"/>
    <n v="1"/>
    <n v="1100"/>
    <x v="5"/>
    <x v="0"/>
  </r>
  <r>
    <n v="182"/>
    <d v="2019-07-01T00:00:00"/>
    <x v="0"/>
    <x v="7"/>
    <x v="2"/>
    <n v="1200"/>
    <n v="1"/>
    <n v="1200"/>
    <x v="6"/>
    <x v="0"/>
  </r>
  <r>
    <n v="183"/>
    <d v="2019-07-02T00:00:00"/>
    <x v="0"/>
    <x v="2"/>
    <x v="0"/>
    <n v="900"/>
    <n v="1"/>
    <n v="900"/>
    <x v="6"/>
    <x v="0"/>
  </r>
  <r>
    <n v="184"/>
    <d v="2019-07-03T00:00:00"/>
    <x v="0"/>
    <x v="0"/>
    <x v="0"/>
    <n v="1100"/>
    <n v="2"/>
    <n v="2200"/>
    <x v="6"/>
    <x v="0"/>
  </r>
  <r>
    <n v="185"/>
    <d v="2019-07-04T00:00:00"/>
    <x v="0"/>
    <x v="7"/>
    <x v="2"/>
    <n v="1200"/>
    <n v="1"/>
    <n v="1200"/>
    <x v="6"/>
    <x v="0"/>
  </r>
  <r>
    <n v="186"/>
    <d v="2019-07-05T00:00:00"/>
    <x v="0"/>
    <x v="0"/>
    <x v="0"/>
    <n v="1100"/>
    <n v="1"/>
    <n v="1100"/>
    <x v="6"/>
    <x v="0"/>
  </r>
  <r>
    <n v="187"/>
    <d v="2019-07-06T00:00:00"/>
    <x v="0"/>
    <x v="1"/>
    <x v="0"/>
    <n v="900"/>
    <n v="1"/>
    <n v="900"/>
    <x v="6"/>
    <x v="0"/>
  </r>
  <r>
    <n v="188"/>
    <d v="2019-07-07T00:00:00"/>
    <x v="0"/>
    <x v="5"/>
    <x v="1"/>
    <n v="600"/>
    <n v="1"/>
    <n v="600"/>
    <x v="6"/>
    <x v="0"/>
  </r>
  <r>
    <n v="189"/>
    <d v="2019-07-08T00:00:00"/>
    <x v="0"/>
    <x v="8"/>
    <x v="3"/>
    <n v="900"/>
    <n v="1"/>
    <n v="900"/>
    <x v="6"/>
    <x v="0"/>
  </r>
  <r>
    <n v="190"/>
    <d v="2019-07-09T00:00:00"/>
    <x v="0"/>
    <x v="4"/>
    <x v="1"/>
    <n v="800"/>
    <n v="1"/>
    <n v="800"/>
    <x v="6"/>
    <x v="0"/>
  </r>
  <r>
    <n v="191"/>
    <d v="2019-07-10T00:00:00"/>
    <x v="0"/>
    <x v="0"/>
    <x v="0"/>
    <n v="1100"/>
    <n v="1"/>
    <n v="1100"/>
    <x v="6"/>
    <x v="0"/>
  </r>
  <r>
    <n v="192"/>
    <d v="2019-07-11T00:00:00"/>
    <x v="0"/>
    <x v="2"/>
    <x v="0"/>
    <n v="900"/>
    <n v="1"/>
    <n v="900"/>
    <x v="6"/>
    <x v="0"/>
  </r>
  <r>
    <n v="193"/>
    <d v="2019-07-12T00:00:00"/>
    <x v="0"/>
    <x v="3"/>
    <x v="0"/>
    <n v="1000"/>
    <n v="1"/>
    <n v="1000"/>
    <x v="6"/>
    <x v="0"/>
  </r>
  <r>
    <n v="194"/>
    <d v="2019-07-13T00:00:00"/>
    <x v="0"/>
    <x v="6"/>
    <x v="2"/>
    <n v="850"/>
    <n v="1"/>
    <n v="850"/>
    <x v="6"/>
    <x v="0"/>
  </r>
  <r>
    <n v="195"/>
    <d v="2019-07-14T00:00:00"/>
    <x v="0"/>
    <x v="5"/>
    <x v="1"/>
    <n v="600"/>
    <n v="1"/>
    <n v="600"/>
    <x v="6"/>
    <x v="0"/>
  </r>
  <r>
    <n v="196"/>
    <d v="2019-07-15T00:00:00"/>
    <x v="0"/>
    <x v="2"/>
    <x v="0"/>
    <n v="900"/>
    <n v="1"/>
    <n v="900"/>
    <x v="6"/>
    <x v="0"/>
  </r>
  <r>
    <n v="197"/>
    <d v="2019-07-16T00:00:00"/>
    <x v="0"/>
    <x v="3"/>
    <x v="0"/>
    <n v="1000"/>
    <n v="1"/>
    <n v="1000"/>
    <x v="6"/>
    <x v="0"/>
  </r>
  <r>
    <n v="198"/>
    <d v="2019-07-17T00:00:00"/>
    <x v="0"/>
    <x v="2"/>
    <x v="0"/>
    <n v="900"/>
    <n v="1"/>
    <n v="900"/>
    <x v="6"/>
    <x v="0"/>
  </r>
  <r>
    <n v="199"/>
    <d v="2019-07-18T00:00:00"/>
    <x v="0"/>
    <x v="1"/>
    <x v="0"/>
    <n v="900"/>
    <n v="1"/>
    <n v="900"/>
    <x v="6"/>
    <x v="0"/>
  </r>
  <r>
    <n v="200"/>
    <d v="2019-07-19T00:00:00"/>
    <x v="0"/>
    <x v="5"/>
    <x v="1"/>
    <n v="600"/>
    <n v="1"/>
    <n v="600"/>
    <x v="6"/>
    <x v="0"/>
  </r>
  <r>
    <n v="201"/>
    <d v="2019-07-20T00:00:00"/>
    <x v="0"/>
    <x v="8"/>
    <x v="3"/>
    <n v="900"/>
    <n v="1"/>
    <n v="900"/>
    <x v="6"/>
    <x v="0"/>
  </r>
  <r>
    <n v="202"/>
    <d v="2019-07-21T00:00:00"/>
    <x v="0"/>
    <x v="8"/>
    <x v="3"/>
    <n v="800"/>
    <n v="1"/>
    <n v="800"/>
    <x v="6"/>
    <x v="0"/>
  </r>
  <r>
    <n v="203"/>
    <d v="2019-07-22T00:00:00"/>
    <x v="0"/>
    <x v="4"/>
    <x v="1"/>
    <n v="800"/>
    <n v="1"/>
    <n v="800"/>
    <x v="6"/>
    <x v="0"/>
  </r>
  <r>
    <n v="204"/>
    <d v="2019-07-23T00:00:00"/>
    <x v="0"/>
    <x v="5"/>
    <x v="1"/>
    <n v="600"/>
    <n v="1"/>
    <n v="600"/>
    <x v="6"/>
    <x v="0"/>
  </r>
  <r>
    <n v="205"/>
    <d v="2019-07-24T00:00:00"/>
    <x v="0"/>
    <x v="8"/>
    <x v="3"/>
    <n v="500"/>
    <n v="1"/>
    <n v="500"/>
    <x v="6"/>
    <x v="0"/>
  </r>
  <r>
    <n v="206"/>
    <d v="2019-07-25T00:00:00"/>
    <x v="0"/>
    <x v="2"/>
    <x v="0"/>
    <n v="900"/>
    <n v="1"/>
    <n v="900"/>
    <x v="6"/>
    <x v="0"/>
  </r>
  <r>
    <n v="207"/>
    <d v="2019-07-26T00:00:00"/>
    <x v="0"/>
    <x v="0"/>
    <x v="0"/>
    <n v="1100"/>
    <n v="1"/>
    <n v="1100"/>
    <x v="6"/>
    <x v="0"/>
  </r>
  <r>
    <n v="208"/>
    <d v="2019-07-27T00:00:00"/>
    <x v="0"/>
    <x v="8"/>
    <x v="3"/>
    <n v="500"/>
    <n v="1"/>
    <n v="500"/>
    <x v="6"/>
    <x v="0"/>
  </r>
  <r>
    <n v="209"/>
    <d v="2019-07-28T00:00:00"/>
    <x v="0"/>
    <x v="5"/>
    <x v="1"/>
    <n v="600"/>
    <n v="1"/>
    <n v="600"/>
    <x v="6"/>
    <x v="0"/>
  </r>
  <r>
    <n v="210"/>
    <d v="2019-07-29T00:00:00"/>
    <x v="0"/>
    <x v="2"/>
    <x v="0"/>
    <n v="900"/>
    <n v="1"/>
    <n v="900"/>
    <x v="6"/>
    <x v="0"/>
  </r>
  <r>
    <n v="211"/>
    <d v="2019-07-30T00:00:00"/>
    <x v="0"/>
    <x v="8"/>
    <x v="3"/>
    <n v="500"/>
    <n v="1"/>
    <n v="500"/>
    <x v="6"/>
    <x v="0"/>
  </r>
  <r>
    <n v="212"/>
    <d v="2019-07-31T00:00:00"/>
    <x v="0"/>
    <x v="8"/>
    <x v="3"/>
    <n v="500"/>
    <n v="1"/>
    <n v="500"/>
    <x v="6"/>
    <x v="0"/>
  </r>
  <r>
    <n v="213"/>
    <d v="2019-08-01T00:00:00"/>
    <x v="0"/>
    <x v="5"/>
    <x v="1"/>
    <n v="600"/>
    <n v="1"/>
    <n v="600"/>
    <x v="7"/>
    <x v="0"/>
  </r>
  <r>
    <n v="214"/>
    <d v="2019-08-02T00:00:00"/>
    <x v="0"/>
    <x v="5"/>
    <x v="1"/>
    <n v="600"/>
    <n v="1"/>
    <n v="600"/>
    <x v="7"/>
    <x v="0"/>
  </r>
  <r>
    <n v="215"/>
    <d v="2019-08-03T00:00:00"/>
    <x v="0"/>
    <x v="4"/>
    <x v="1"/>
    <n v="800"/>
    <n v="1"/>
    <n v="800"/>
    <x v="7"/>
    <x v="0"/>
  </r>
  <r>
    <n v="216"/>
    <d v="2019-08-04T00:00:00"/>
    <x v="0"/>
    <x v="6"/>
    <x v="2"/>
    <n v="850"/>
    <n v="1"/>
    <n v="850"/>
    <x v="7"/>
    <x v="0"/>
  </r>
  <r>
    <n v="217"/>
    <d v="2019-08-05T00:00:00"/>
    <x v="0"/>
    <x v="8"/>
    <x v="3"/>
    <n v="500"/>
    <n v="1"/>
    <n v="500"/>
    <x v="7"/>
    <x v="0"/>
  </r>
  <r>
    <n v="218"/>
    <d v="2019-08-06T00:00:00"/>
    <x v="0"/>
    <x v="8"/>
    <x v="3"/>
    <n v="500"/>
    <n v="1"/>
    <n v="500"/>
    <x v="7"/>
    <x v="0"/>
  </r>
  <r>
    <n v="219"/>
    <d v="2019-08-07T00:00:00"/>
    <x v="0"/>
    <x v="0"/>
    <x v="0"/>
    <n v="1100"/>
    <n v="1"/>
    <n v="1100"/>
    <x v="7"/>
    <x v="0"/>
  </r>
  <r>
    <n v="220"/>
    <d v="2019-08-08T00:00:00"/>
    <x v="0"/>
    <x v="8"/>
    <x v="3"/>
    <n v="500"/>
    <n v="1"/>
    <n v="500"/>
    <x v="7"/>
    <x v="0"/>
  </r>
  <r>
    <n v="221"/>
    <d v="2019-08-09T00:00:00"/>
    <x v="0"/>
    <x v="3"/>
    <x v="0"/>
    <n v="1000"/>
    <n v="1"/>
    <n v="1000"/>
    <x v="7"/>
    <x v="0"/>
  </r>
  <r>
    <n v="222"/>
    <d v="2019-08-10T00:00:00"/>
    <x v="0"/>
    <x v="4"/>
    <x v="1"/>
    <n v="800"/>
    <n v="1"/>
    <n v="800"/>
    <x v="7"/>
    <x v="0"/>
  </r>
  <r>
    <n v="223"/>
    <d v="2019-08-11T00:00:00"/>
    <x v="0"/>
    <x v="9"/>
    <x v="3"/>
    <n v="600"/>
    <n v="1"/>
    <n v="600"/>
    <x v="7"/>
    <x v="0"/>
  </r>
  <r>
    <n v="224"/>
    <d v="2019-08-12T00:00:00"/>
    <x v="0"/>
    <x v="9"/>
    <x v="3"/>
    <n v="600"/>
    <n v="1"/>
    <n v="600"/>
    <x v="7"/>
    <x v="0"/>
  </r>
  <r>
    <n v="225"/>
    <d v="2019-08-13T00:00:00"/>
    <x v="0"/>
    <x v="6"/>
    <x v="2"/>
    <n v="850"/>
    <n v="1"/>
    <n v="850"/>
    <x v="7"/>
    <x v="0"/>
  </r>
  <r>
    <n v="226"/>
    <d v="2019-08-14T00:00:00"/>
    <x v="0"/>
    <x v="9"/>
    <x v="3"/>
    <n v="600"/>
    <n v="1"/>
    <n v="600"/>
    <x v="7"/>
    <x v="0"/>
  </r>
  <r>
    <n v="227"/>
    <d v="2019-08-15T00:00:00"/>
    <x v="0"/>
    <x v="5"/>
    <x v="1"/>
    <n v="600"/>
    <n v="1"/>
    <n v="600"/>
    <x v="7"/>
    <x v="0"/>
  </r>
  <r>
    <n v="228"/>
    <d v="2019-08-16T00:00:00"/>
    <x v="0"/>
    <x v="9"/>
    <x v="3"/>
    <n v="600"/>
    <n v="1"/>
    <n v="600"/>
    <x v="7"/>
    <x v="0"/>
  </r>
  <r>
    <n v="229"/>
    <d v="2019-08-17T00:00:00"/>
    <x v="0"/>
    <x v="0"/>
    <x v="0"/>
    <n v="1100"/>
    <n v="1"/>
    <n v="1100"/>
    <x v="7"/>
    <x v="0"/>
  </r>
  <r>
    <n v="230"/>
    <d v="2019-08-18T00:00:00"/>
    <x v="0"/>
    <x v="5"/>
    <x v="1"/>
    <n v="600"/>
    <n v="1"/>
    <n v="600"/>
    <x v="7"/>
    <x v="0"/>
  </r>
  <r>
    <n v="231"/>
    <d v="2019-08-19T00:00:00"/>
    <x v="0"/>
    <x v="0"/>
    <x v="0"/>
    <n v="1100"/>
    <n v="1"/>
    <n v="1100"/>
    <x v="7"/>
    <x v="0"/>
  </r>
  <r>
    <n v="232"/>
    <d v="2019-08-20T00:00:00"/>
    <x v="0"/>
    <x v="0"/>
    <x v="0"/>
    <n v="1100"/>
    <n v="1"/>
    <n v="1100"/>
    <x v="7"/>
    <x v="0"/>
  </r>
  <r>
    <n v="233"/>
    <d v="2019-08-21T00:00:00"/>
    <x v="0"/>
    <x v="0"/>
    <x v="0"/>
    <n v="1100"/>
    <n v="1"/>
    <n v="1100"/>
    <x v="7"/>
    <x v="0"/>
  </r>
  <r>
    <n v="234"/>
    <d v="2019-08-22T00:00:00"/>
    <x v="0"/>
    <x v="6"/>
    <x v="2"/>
    <n v="850"/>
    <n v="1"/>
    <n v="850"/>
    <x v="7"/>
    <x v="0"/>
  </r>
  <r>
    <n v="235"/>
    <d v="2019-08-23T00:00:00"/>
    <x v="0"/>
    <x v="5"/>
    <x v="1"/>
    <n v="600"/>
    <n v="1"/>
    <n v="600"/>
    <x v="7"/>
    <x v="0"/>
  </r>
  <r>
    <n v="236"/>
    <d v="2019-08-24T00:00:00"/>
    <x v="0"/>
    <x v="5"/>
    <x v="1"/>
    <n v="600"/>
    <n v="1"/>
    <n v="600"/>
    <x v="7"/>
    <x v="0"/>
  </r>
  <r>
    <n v="237"/>
    <d v="2019-08-25T00:00:00"/>
    <x v="0"/>
    <x v="4"/>
    <x v="1"/>
    <n v="800"/>
    <n v="1"/>
    <n v="800"/>
    <x v="7"/>
    <x v="0"/>
  </r>
  <r>
    <n v="238"/>
    <d v="2019-08-26T00:00:00"/>
    <x v="0"/>
    <x v="7"/>
    <x v="2"/>
    <n v="1200"/>
    <n v="1"/>
    <n v="1200"/>
    <x v="7"/>
    <x v="0"/>
  </r>
  <r>
    <n v="239"/>
    <d v="2019-08-27T00:00:00"/>
    <x v="0"/>
    <x v="3"/>
    <x v="0"/>
    <n v="1000"/>
    <n v="1"/>
    <n v="1000"/>
    <x v="7"/>
    <x v="0"/>
  </r>
  <r>
    <n v="240"/>
    <d v="2019-08-28T00:00:00"/>
    <x v="0"/>
    <x v="9"/>
    <x v="3"/>
    <n v="600"/>
    <n v="1"/>
    <n v="600"/>
    <x v="7"/>
    <x v="0"/>
  </r>
  <r>
    <n v="241"/>
    <d v="2019-08-29T00:00:00"/>
    <x v="0"/>
    <x v="2"/>
    <x v="0"/>
    <n v="900"/>
    <n v="1"/>
    <n v="900"/>
    <x v="7"/>
    <x v="0"/>
  </r>
  <r>
    <n v="242"/>
    <d v="2019-08-30T00:00:00"/>
    <x v="0"/>
    <x v="5"/>
    <x v="1"/>
    <n v="600"/>
    <n v="1"/>
    <n v="600"/>
    <x v="7"/>
    <x v="0"/>
  </r>
  <r>
    <n v="243"/>
    <d v="2019-08-31T00:00:00"/>
    <x v="0"/>
    <x v="1"/>
    <x v="0"/>
    <n v="900"/>
    <n v="1"/>
    <n v="900"/>
    <x v="7"/>
    <x v="0"/>
  </r>
  <r>
    <n v="244"/>
    <d v="2019-09-01T00:00:00"/>
    <x v="0"/>
    <x v="9"/>
    <x v="3"/>
    <n v="600"/>
    <n v="1"/>
    <n v="600"/>
    <x v="8"/>
    <x v="0"/>
  </r>
  <r>
    <n v="245"/>
    <d v="2019-09-02T00:00:00"/>
    <x v="0"/>
    <x v="6"/>
    <x v="2"/>
    <n v="850"/>
    <n v="1"/>
    <n v="850"/>
    <x v="8"/>
    <x v="0"/>
  </r>
  <r>
    <n v="246"/>
    <d v="2019-09-03T00:00:00"/>
    <x v="0"/>
    <x v="2"/>
    <x v="0"/>
    <n v="900"/>
    <n v="1"/>
    <n v="900"/>
    <x v="8"/>
    <x v="0"/>
  </r>
  <r>
    <n v="247"/>
    <d v="2019-09-04T00:00:00"/>
    <x v="0"/>
    <x v="0"/>
    <x v="0"/>
    <n v="1100"/>
    <n v="1"/>
    <n v="1100"/>
    <x v="8"/>
    <x v="0"/>
  </r>
  <r>
    <n v="248"/>
    <d v="2019-09-05T00:00:00"/>
    <x v="0"/>
    <x v="2"/>
    <x v="0"/>
    <n v="900"/>
    <n v="1"/>
    <n v="900"/>
    <x v="8"/>
    <x v="0"/>
  </r>
  <r>
    <n v="249"/>
    <d v="2019-09-06T00:00:00"/>
    <x v="0"/>
    <x v="3"/>
    <x v="0"/>
    <n v="1000"/>
    <n v="1"/>
    <n v="1000"/>
    <x v="8"/>
    <x v="0"/>
  </r>
  <r>
    <n v="250"/>
    <d v="2019-09-07T00:00:00"/>
    <x v="0"/>
    <x v="0"/>
    <x v="0"/>
    <n v="1100"/>
    <n v="1"/>
    <n v="1100"/>
    <x v="8"/>
    <x v="0"/>
  </r>
  <r>
    <n v="251"/>
    <d v="2019-09-08T00:00:00"/>
    <x v="0"/>
    <x v="3"/>
    <x v="0"/>
    <n v="1000"/>
    <n v="1"/>
    <n v="1000"/>
    <x v="8"/>
    <x v="0"/>
  </r>
  <r>
    <n v="252"/>
    <d v="2019-09-09T00:00:00"/>
    <x v="0"/>
    <x v="0"/>
    <x v="0"/>
    <n v="1100"/>
    <n v="1"/>
    <n v="1100"/>
    <x v="8"/>
    <x v="0"/>
  </r>
  <r>
    <n v="253"/>
    <d v="2019-09-10T00:00:00"/>
    <x v="0"/>
    <x v="2"/>
    <x v="0"/>
    <n v="900"/>
    <n v="1"/>
    <n v="900"/>
    <x v="8"/>
    <x v="0"/>
  </r>
  <r>
    <n v="254"/>
    <d v="2019-09-11T00:00:00"/>
    <x v="0"/>
    <x v="1"/>
    <x v="0"/>
    <n v="900"/>
    <n v="1"/>
    <n v="900"/>
    <x v="8"/>
    <x v="0"/>
  </r>
  <r>
    <n v="255"/>
    <d v="2019-09-12T00:00:00"/>
    <x v="0"/>
    <x v="0"/>
    <x v="0"/>
    <n v="1100"/>
    <n v="1"/>
    <n v="1100"/>
    <x v="8"/>
    <x v="0"/>
  </r>
  <r>
    <n v="256"/>
    <d v="2019-09-13T00:00:00"/>
    <x v="0"/>
    <x v="0"/>
    <x v="0"/>
    <n v="1100"/>
    <n v="1"/>
    <n v="1100"/>
    <x v="8"/>
    <x v="0"/>
  </r>
  <r>
    <n v="257"/>
    <d v="2019-09-14T00:00:00"/>
    <x v="0"/>
    <x v="3"/>
    <x v="0"/>
    <n v="1000"/>
    <n v="1"/>
    <n v="1000"/>
    <x v="8"/>
    <x v="0"/>
  </r>
  <r>
    <n v="258"/>
    <d v="2019-09-15T00:00:00"/>
    <x v="0"/>
    <x v="1"/>
    <x v="0"/>
    <n v="900"/>
    <n v="1"/>
    <n v="900"/>
    <x v="8"/>
    <x v="0"/>
  </r>
  <r>
    <n v="259"/>
    <d v="2019-09-16T00:00:00"/>
    <x v="0"/>
    <x v="5"/>
    <x v="1"/>
    <n v="600"/>
    <n v="1"/>
    <n v="600"/>
    <x v="8"/>
    <x v="0"/>
  </r>
  <r>
    <n v="260"/>
    <d v="2019-09-17T00:00:00"/>
    <x v="0"/>
    <x v="1"/>
    <x v="0"/>
    <n v="900"/>
    <n v="1"/>
    <n v="900"/>
    <x v="8"/>
    <x v="0"/>
  </r>
  <r>
    <n v="261"/>
    <d v="2019-09-18T00:00:00"/>
    <x v="0"/>
    <x v="5"/>
    <x v="1"/>
    <n v="600"/>
    <n v="1"/>
    <n v="600"/>
    <x v="8"/>
    <x v="0"/>
  </r>
  <r>
    <n v="262"/>
    <d v="2019-09-19T00:00:00"/>
    <x v="0"/>
    <x v="2"/>
    <x v="0"/>
    <n v="900"/>
    <n v="1"/>
    <n v="900"/>
    <x v="8"/>
    <x v="0"/>
  </r>
  <r>
    <n v="263"/>
    <d v="2019-09-20T00:00:00"/>
    <x v="0"/>
    <x v="0"/>
    <x v="0"/>
    <n v="1100"/>
    <n v="2"/>
    <n v="2200"/>
    <x v="8"/>
    <x v="0"/>
  </r>
  <r>
    <n v="264"/>
    <d v="2019-09-21T00:00:00"/>
    <x v="0"/>
    <x v="5"/>
    <x v="1"/>
    <n v="600"/>
    <n v="1"/>
    <n v="600"/>
    <x v="8"/>
    <x v="0"/>
  </r>
  <r>
    <n v="265"/>
    <d v="2019-09-22T00:00:00"/>
    <x v="0"/>
    <x v="5"/>
    <x v="1"/>
    <n v="600"/>
    <n v="1"/>
    <n v="600"/>
    <x v="8"/>
    <x v="0"/>
  </r>
  <r>
    <n v="266"/>
    <d v="2019-09-23T00:00:00"/>
    <x v="0"/>
    <x v="2"/>
    <x v="0"/>
    <n v="900"/>
    <n v="1"/>
    <n v="900"/>
    <x v="8"/>
    <x v="0"/>
  </r>
  <r>
    <n v="267"/>
    <d v="2019-09-24T00:00:00"/>
    <x v="0"/>
    <x v="0"/>
    <x v="0"/>
    <n v="1100"/>
    <n v="1"/>
    <n v="1100"/>
    <x v="8"/>
    <x v="0"/>
  </r>
  <r>
    <n v="268"/>
    <d v="2019-09-25T00:00:00"/>
    <x v="0"/>
    <x v="5"/>
    <x v="1"/>
    <n v="600"/>
    <n v="1"/>
    <n v="600"/>
    <x v="8"/>
    <x v="0"/>
  </r>
  <r>
    <n v="269"/>
    <d v="2019-09-26T00:00:00"/>
    <x v="0"/>
    <x v="9"/>
    <x v="3"/>
    <n v="600"/>
    <n v="1"/>
    <n v="600"/>
    <x v="8"/>
    <x v="0"/>
  </r>
  <r>
    <n v="270"/>
    <d v="2019-09-27T00:00:00"/>
    <x v="0"/>
    <x v="5"/>
    <x v="1"/>
    <n v="600"/>
    <n v="1"/>
    <n v="600"/>
    <x v="8"/>
    <x v="0"/>
  </r>
  <r>
    <n v="271"/>
    <d v="2019-09-28T00:00:00"/>
    <x v="0"/>
    <x v="9"/>
    <x v="3"/>
    <n v="600"/>
    <n v="1"/>
    <n v="600"/>
    <x v="8"/>
    <x v="0"/>
  </r>
  <r>
    <n v="272"/>
    <d v="2019-09-29T00:00:00"/>
    <x v="0"/>
    <x v="9"/>
    <x v="3"/>
    <n v="600"/>
    <n v="2"/>
    <n v="1200"/>
    <x v="8"/>
    <x v="0"/>
  </r>
  <r>
    <n v="273"/>
    <d v="2019-09-30T00:00:00"/>
    <x v="0"/>
    <x v="5"/>
    <x v="1"/>
    <n v="600"/>
    <n v="1"/>
    <n v="600"/>
    <x v="8"/>
    <x v="0"/>
  </r>
  <r>
    <n v="274"/>
    <d v="2019-10-01T00:00:00"/>
    <x v="0"/>
    <x v="0"/>
    <x v="0"/>
    <n v="1100"/>
    <n v="3"/>
    <n v="3300"/>
    <x v="9"/>
    <x v="0"/>
  </r>
  <r>
    <n v="275"/>
    <d v="2019-10-02T00:00:00"/>
    <x v="0"/>
    <x v="0"/>
    <x v="0"/>
    <n v="1100"/>
    <n v="1"/>
    <n v="1100"/>
    <x v="9"/>
    <x v="0"/>
  </r>
  <r>
    <n v="276"/>
    <d v="2019-10-03T00:00:00"/>
    <x v="0"/>
    <x v="6"/>
    <x v="2"/>
    <n v="850"/>
    <n v="1"/>
    <n v="850"/>
    <x v="9"/>
    <x v="0"/>
  </r>
  <r>
    <n v="277"/>
    <d v="2019-10-04T00:00:00"/>
    <x v="0"/>
    <x v="7"/>
    <x v="2"/>
    <n v="1200"/>
    <n v="1"/>
    <n v="1200"/>
    <x v="9"/>
    <x v="0"/>
  </r>
  <r>
    <n v="278"/>
    <d v="2019-10-05T00:00:00"/>
    <x v="0"/>
    <x v="4"/>
    <x v="1"/>
    <n v="800"/>
    <n v="1"/>
    <n v="800"/>
    <x v="9"/>
    <x v="0"/>
  </r>
  <r>
    <n v="279"/>
    <d v="2019-10-06T00:00:00"/>
    <x v="0"/>
    <x v="2"/>
    <x v="0"/>
    <n v="900"/>
    <n v="1"/>
    <n v="900"/>
    <x v="9"/>
    <x v="0"/>
  </r>
  <r>
    <n v="280"/>
    <d v="2019-10-07T00:00:00"/>
    <x v="0"/>
    <x v="0"/>
    <x v="0"/>
    <n v="1100"/>
    <n v="1"/>
    <n v="1100"/>
    <x v="9"/>
    <x v="0"/>
  </r>
  <r>
    <n v="281"/>
    <d v="2019-10-08T00:00:00"/>
    <x v="0"/>
    <x v="1"/>
    <x v="0"/>
    <n v="900"/>
    <n v="1"/>
    <n v="900"/>
    <x v="9"/>
    <x v="0"/>
  </r>
  <r>
    <n v="282"/>
    <d v="2019-10-09T00:00:00"/>
    <x v="0"/>
    <x v="0"/>
    <x v="0"/>
    <n v="1100"/>
    <n v="1"/>
    <n v="1100"/>
    <x v="9"/>
    <x v="0"/>
  </r>
  <r>
    <n v="283"/>
    <d v="2019-10-10T00:00:00"/>
    <x v="0"/>
    <x v="8"/>
    <x v="3"/>
    <n v="900"/>
    <n v="1"/>
    <n v="900"/>
    <x v="9"/>
    <x v="0"/>
  </r>
  <r>
    <n v="284"/>
    <d v="2019-10-11T00:00:00"/>
    <x v="0"/>
    <x v="8"/>
    <x v="3"/>
    <n v="500"/>
    <n v="1"/>
    <n v="500"/>
    <x v="9"/>
    <x v="0"/>
  </r>
  <r>
    <n v="285"/>
    <d v="2019-10-12T00:00:00"/>
    <x v="0"/>
    <x v="3"/>
    <x v="0"/>
    <n v="1000"/>
    <n v="1"/>
    <n v="1000"/>
    <x v="9"/>
    <x v="0"/>
  </r>
  <r>
    <n v="286"/>
    <d v="2019-10-13T00:00:00"/>
    <x v="0"/>
    <x v="9"/>
    <x v="3"/>
    <n v="600"/>
    <n v="1"/>
    <n v="600"/>
    <x v="9"/>
    <x v="0"/>
  </r>
  <r>
    <n v="287"/>
    <d v="2019-10-14T00:00:00"/>
    <x v="0"/>
    <x v="1"/>
    <x v="0"/>
    <n v="900"/>
    <n v="2"/>
    <n v="1800"/>
    <x v="9"/>
    <x v="0"/>
  </r>
  <r>
    <n v="288"/>
    <d v="2019-10-15T00:00:00"/>
    <x v="0"/>
    <x v="6"/>
    <x v="2"/>
    <n v="850"/>
    <n v="1"/>
    <n v="850"/>
    <x v="9"/>
    <x v="0"/>
  </r>
  <r>
    <n v="289"/>
    <d v="2019-10-16T00:00:00"/>
    <x v="0"/>
    <x v="4"/>
    <x v="1"/>
    <n v="800"/>
    <n v="1"/>
    <n v="800"/>
    <x v="9"/>
    <x v="0"/>
  </r>
  <r>
    <n v="290"/>
    <d v="2019-10-17T00:00:00"/>
    <x v="0"/>
    <x v="1"/>
    <x v="0"/>
    <n v="900"/>
    <n v="1"/>
    <n v="900"/>
    <x v="9"/>
    <x v="0"/>
  </r>
  <r>
    <n v="291"/>
    <d v="2019-10-18T00:00:00"/>
    <x v="0"/>
    <x v="1"/>
    <x v="0"/>
    <n v="900"/>
    <n v="1"/>
    <n v="900"/>
    <x v="9"/>
    <x v="0"/>
  </r>
  <r>
    <n v="292"/>
    <d v="2019-10-19T00:00:00"/>
    <x v="0"/>
    <x v="0"/>
    <x v="0"/>
    <n v="1100"/>
    <n v="1"/>
    <n v="1100"/>
    <x v="9"/>
    <x v="0"/>
  </r>
  <r>
    <n v="293"/>
    <d v="2019-10-20T00:00:00"/>
    <x v="0"/>
    <x v="2"/>
    <x v="0"/>
    <n v="900"/>
    <n v="1"/>
    <n v="900"/>
    <x v="9"/>
    <x v="0"/>
  </r>
  <r>
    <n v="294"/>
    <d v="2019-10-21T00:00:00"/>
    <x v="0"/>
    <x v="5"/>
    <x v="1"/>
    <n v="600"/>
    <n v="1"/>
    <n v="600"/>
    <x v="9"/>
    <x v="0"/>
  </r>
  <r>
    <n v="295"/>
    <d v="2019-10-22T00:00:00"/>
    <x v="0"/>
    <x v="5"/>
    <x v="1"/>
    <n v="600"/>
    <n v="1"/>
    <n v="600"/>
    <x v="9"/>
    <x v="0"/>
  </r>
  <r>
    <n v="296"/>
    <d v="2019-10-23T00:00:00"/>
    <x v="0"/>
    <x v="2"/>
    <x v="0"/>
    <n v="900"/>
    <n v="1"/>
    <n v="900"/>
    <x v="9"/>
    <x v="0"/>
  </r>
  <r>
    <n v="297"/>
    <d v="2019-10-24T00:00:00"/>
    <x v="0"/>
    <x v="6"/>
    <x v="2"/>
    <n v="850"/>
    <n v="1"/>
    <n v="850"/>
    <x v="9"/>
    <x v="0"/>
  </r>
  <r>
    <n v="298"/>
    <d v="2019-10-25T00:00:00"/>
    <x v="0"/>
    <x v="2"/>
    <x v="0"/>
    <n v="900"/>
    <n v="1"/>
    <n v="900"/>
    <x v="9"/>
    <x v="0"/>
  </r>
  <r>
    <n v="299"/>
    <d v="2019-10-26T00:00:00"/>
    <x v="0"/>
    <x v="5"/>
    <x v="1"/>
    <n v="600"/>
    <n v="1"/>
    <n v="600"/>
    <x v="9"/>
    <x v="0"/>
  </r>
  <r>
    <n v="300"/>
    <d v="2019-10-27T00:00:00"/>
    <x v="0"/>
    <x v="5"/>
    <x v="1"/>
    <n v="600"/>
    <n v="1"/>
    <n v="600"/>
    <x v="9"/>
    <x v="0"/>
  </r>
  <r>
    <n v="301"/>
    <d v="2019-10-28T00:00:00"/>
    <x v="0"/>
    <x v="0"/>
    <x v="0"/>
    <n v="1100"/>
    <n v="1"/>
    <n v="1100"/>
    <x v="9"/>
    <x v="0"/>
  </r>
  <r>
    <n v="302"/>
    <d v="2019-10-29T00:00:00"/>
    <x v="0"/>
    <x v="1"/>
    <x v="0"/>
    <n v="900"/>
    <n v="1"/>
    <n v="900"/>
    <x v="9"/>
    <x v="0"/>
  </r>
  <r>
    <n v="303"/>
    <d v="2019-10-30T00:00:00"/>
    <x v="0"/>
    <x v="0"/>
    <x v="0"/>
    <n v="1100"/>
    <n v="1"/>
    <n v="1100"/>
    <x v="9"/>
    <x v="0"/>
  </r>
  <r>
    <n v="304"/>
    <d v="2019-10-31T00:00:00"/>
    <x v="0"/>
    <x v="5"/>
    <x v="1"/>
    <n v="600"/>
    <n v="1"/>
    <n v="600"/>
    <x v="9"/>
    <x v="0"/>
  </r>
  <r>
    <n v="305"/>
    <d v="2019-11-01T00:00:00"/>
    <x v="0"/>
    <x v="7"/>
    <x v="2"/>
    <n v="1200"/>
    <n v="1"/>
    <n v="1200"/>
    <x v="10"/>
    <x v="0"/>
  </r>
  <r>
    <n v="306"/>
    <d v="2019-11-02T00:00:00"/>
    <x v="0"/>
    <x v="9"/>
    <x v="3"/>
    <n v="600"/>
    <n v="1"/>
    <n v="600"/>
    <x v="10"/>
    <x v="0"/>
  </r>
  <r>
    <n v="307"/>
    <d v="2019-11-03T00:00:00"/>
    <x v="0"/>
    <x v="0"/>
    <x v="0"/>
    <n v="1100"/>
    <n v="1"/>
    <n v="1100"/>
    <x v="10"/>
    <x v="0"/>
  </r>
  <r>
    <n v="308"/>
    <d v="2019-11-04T00:00:00"/>
    <x v="0"/>
    <x v="8"/>
    <x v="3"/>
    <n v="500"/>
    <n v="1"/>
    <n v="500"/>
    <x v="10"/>
    <x v="0"/>
  </r>
  <r>
    <n v="309"/>
    <d v="2019-11-05T00:00:00"/>
    <x v="0"/>
    <x v="1"/>
    <x v="0"/>
    <n v="900"/>
    <n v="1"/>
    <n v="900"/>
    <x v="10"/>
    <x v="0"/>
  </r>
  <r>
    <n v="310"/>
    <d v="2019-11-06T00:00:00"/>
    <x v="0"/>
    <x v="6"/>
    <x v="2"/>
    <n v="850"/>
    <n v="1"/>
    <n v="850"/>
    <x v="10"/>
    <x v="0"/>
  </r>
  <r>
    <n v="311"/>
    <d v="2019-11-07T00:00:00"/>
    <x v="0"/>
    <x v="5"/>
    <x v="1"/>
    <n v="600"/>
    <n v="1"/>
    <n v="600"/>
    <x v="10"/>
    <x v="0"/>
  </r>
  <r>
    <n v="312"/>
    <d v="2019-11-08T00:00:00"/>
    <x v="0"/>
    <x v="0"/>
    <x v="0"/>
    <n v="1100"/>
    <n v="1"/>
    <n v="1100"/>
    <x v="10"/>
    <x v="0"/>
  </r>
  <r>
    <n v="313"/>
    <d v="2019-11-09T00:00:00"/>
    <x v="0"/>
    <x v="8"/>
    <x v="3"/>
    <n v="500"/>
    <n v="1"/>
    <n v="500"/>
    <x v="10"/>
    <x v="0"/>
  </r>
  <r>
    <n v="314"/>
    <d v="2019-11-10T00:00:00"/>
    <x v="0"/>
    <x v="5"/>
    <x v="1"/>
    <n v="600"/>
    <n v="1"/>
    <n v="600"/>
    <x v="10"/>
    <x v="0"/>
  </r>
  <r>
    <n v="315"/>
    <d v="2019-11-11T00:00:00"/>
    <x v="0"/>
    <x v="3"/>
    <x v="0"/>
    <n v="1000"/>
    <n v="1"/>
    <n v="1000"/>
    <x v="10"/>
    <x v="0"/>
  </r>
  <r>
    <n v="316"/>
    <d v="2019-11-12T00:00:00"/>
    <x v="1"/>
    <x v="5"/>
    <x v="1"/>
    <n v="600"/>
    <n v="1"/>
    <n v="600"/>
    <x v="10"/>
    <x v="0"/>
  </r>
  <r>
    <n v="317"/>
    <d v="2019-11-13T00:00:00"/>
    <x v="1"/>
    <x v="0"/>
    <x v="0"/>
    <n v="1100"/>
    <n v="1"/>
    <n v="1100"/>
    <x v="10"/>
    <x v="0"/>
  </r>
  <r>
    <n v="318"/>
    <d v="2019-11-14T00:00:00"/>
    <x v="1"/>
    <x v="8"/>
    <x v="3"/>
    <n v="500"/>
    <n v="1"/>
    <n v="500"/>
    <x v="10"/>
    <x v="0"/>
  </r>
  <r>
    <n v="319"/>
    <d v="2019-11-15T00:00:00"/>
    <x v="1"/>
    <x v="0"/>
    <x v="0"/>
    <n v="1100"/>
    <n v="2"/>
    <n v="2200"/>
    <x v="10"/>
    <x v="0"/>
  </r>
  <r>
    <n v="320"/>
    <d v="2019-11-16T00:00:00"/>
    <x v="1"/>
    <x v="5"/>
    <x v="1"/>
    <n v="600"/>
    <n v="1"/>
    <n v="600"/>
    <x v="10"/>
    <x v="0"/>
  </r>
  <r>
    <n v="321"/>
    <d v="2019-11-17T00:00:00"/>
    <x v="1"/>
    <x v="4"/>
    <x v="1"/>
    <n v="800"/>
    <n v="1"/>
    <n v="800"/>
    <x v="10"/>
    <x v="0"/>
  </r>
  <r>
    <n v="322"/>
    <d v="2019-11-18T00:00:00"/>
    <x v="1"/>
    <x v="2"/>
    <x v="0"/>
    <n v="900"/>
    <n v="1"/>
    <n v="900"/>
    <x v="10"/>
    <x v="0"/>
  </r>
  <r>
    <n v="323"/>
    <d v="2019-11-19T00:00:00"/>
    <x v="1"/>
    <x v="9"/>
    <x v="3"/>
    <n v="600"/>
    <n v="1"/>
    <n v="600"/>
    <x v="10"/>
    <x v="0"/>
  </r>
  <r>
    <n v="324"/>
    <d v="2019-11-20T00:00:00"/>
    <x v="1"/>
    <x v="0"/>
    <x v="0"/>
    <n v="1100"/>
    <n v="2"/>
    <n v="2200"/>
    <x v="10"/>
    <x v="0"/>
  </r>
  <r>
    <n v="325"/>
    <d v="2019-11-21T00:00:00"/>
    <x v="0"/>
    <x v="5"/>
    <x v="1"/>
    <n v="600"/>
    <n v="1"/>
    <n v="600"/>
    <x v="10"/>
    <x v="0"/>
  </r>
  <r>
    <n v="326"/>
    <d v="2019-11-22T00:00:00"/>
    <x v="0"/>
    <x v="0"/>
    <x v="0"/>
    <n v="1100"/>
    <n v="1"/>
    <n v="1100"/>
    <x v="10"/>
    <x v="0"/>
  </r>
  <r>
    <n v="327"/>
    <d v="2019-11-23T00:00:00"/>
    <x v="0"/>
    <x v="3"/>
    <x v="0"/>
    <n v="1000"/>
    <n v="1"/>
    <n v="1000"/>
    <x v="10"/>
    <x v="0"/>
  </r>
  <r>
    <n v="328"/>
    <d v="2019-11-24T00:00:00"/>
    <x v="0"/>
    <x v="0"/>
    <x v="0"/>
    <n v="1100"/>
    <n v="1"/>
    <n v="1100"/>
    <x v="10"/>
    <x v="0"/>
  </r>
  <r>
    <n v="329"/>
    <d v="2019-11-25T00:00:00"/>
    <x v="0"/>
    <x v="7"/>
    <x v="2"/>
    <n v="1200"/>
    <n v="1"/>
    <n v="1200"/>
    <x v="10"/>
    <x v="0"/>
  </r>
  <r>
    <n v="330"/>
    <d v="2019-11-26T00:00:00"/>
    <x v="0"/>
    <x v="2"/>
    <x v="0"/>
    <n v="900"/>
    <n v="1"/>
    <n v="900"/>
    <x v="10"/>
    <x v="0"/>
  </r>
  <r>
    <n v="331"/>
    <d v="2019-11-27T00:00:00"/>
    <x v="0"/>
    <x v="9"/>
    <x v="3"/>
    <n v="600"/>
    <n v="1"/>
    <n v="600"/>
    <x v="10"/>
    <x v="0"/>
  </r>
  <r>
    <n v="332"/>
    <d v="2019-11-28T00:00:00"/>
    <x v="0"/>
    <x v="0"/>
    <x v="0"/>
    <n v="1100"/>
    <n v="2"/>
    <n v="2200"/>
    <x v="10"/>
    <x v="0"/>
  </r>
  <r>
    <n v="333"/>
    <d v="2019-11-29T00:00:00"/>
    <x v="0"/>
    <x v="3"/>
    <x v="0"/>
    <n v="1000"/>
    <n v="1"/>
    <n v="1000"/>
    <x v="10"/>
    <x v="0"/>
  </r>
  <r>
    <n v="334"/>
    <d v="2019-11-30T00:00:00"/>
    <x v="0"/>
    <x v="3"/>
    <x v="0"/>
    <n v="1000"/>
    <n v="1"/>
    <n v="1000"/>
    <x v="10"/>
    <x v="0"/>
  </r>
  <r>
    <n v="335"/>
    <d v="2019-12-01T00:00:00"/>
    <x v="0"/>
    <x v="8"/>
    <x v="3"/>
    <n v="500"/>
    <n v="1"/>
    <n v="500"/>
    <x v="11"/>
    <x v="0"/>
  </r>
  <r>
    <n v="336"/>
    <d v="2019-12-02T00:00:00"/>
    <x v="0"/>
    <x v="3"/>
    <x v="0"/>
    <n v="1000"/>
    <n v="1"/>
    <n v="1000"/>
    <x v="11"/>
    <x v="0"/>
  </r>
  <r>
    <n v="337"/>
    <d v="2019-12-03T00:00:00"/>
    <x v="0"/>
    <x v="7"/>
    <x v="2"/>
    <n v="1200"/>
    <n v="1"/>
    <n v="1200"/>
    <x v="11"/>
    <x v="0"/>
  </r>
  <r>
    <n v="338"/>
    <d v="2019-12-04T00:00:00"/>
    <x v="0"/>
    <x v="7"/>
    <x v="2"/>
    <n v="1200"/>
    <n v="1"/>
    <n v="1200"/>
    <x v="11"/>
    <x v="0"/>
  </r>
  <r>
    <n v="339"/>
    <d v="2019-12-05T00:00:00"/>
    <x v="0"/>
    <x v="1"/>
    <x v="0"/>
    <n v="900"/>
    <n v="1"/>
    <n v="900"/>
    <x v="11"/>
    <x v="0"/>
  </r>
  <r>
    <n v="340"/>
    <d v="2019-12-06T00:00:00"/>
    <x v="0"/>
    <x v="3"/>
    <x v="0"/>
    <n v="1000"/>
    <n v="1"/>
    <n v="1000"/>
    <x v="11"/>
    <x v="0"/>
  </r>
  <r>
    <n v="341"/>
    <d v="2019-12-07T00:00:00"/>
    <x v="0"/>
    <x v="5"/>
    <x v="1"/>
    <n v="600"/>
    <n v="1"/>
    <n v="600"/>
    <x v="11"/>
    <x v="0"/>
  </r>
  <r>
    <n v="342"/>
    <d v="2019-12-08T00:00:00"/>
    <x v="0"/>
    <x v="5"/>
    <x v="1"/>
    <n v="600"/>
    <n v="1"/>
    <n v="600"/>
    <x v="11"/>
    <x v="0"/>
  </r>
  <r>
    <n v="343"/>
    <d v="2019-12-09T00:00:00"/>
    <x v="0"/>
    <x v="3"/>
    <x v="0"/>
    <n v="1000"/>
    <n v="1"/>
    <n v="1000"/>
    <x v="11"/>
    <x v="0"/>
  </r>
  <r>
    <n v="344"/>
    <d v="2019-12-10T00:00:00"/>
    <x v="0"/>
    <x v="2"/>
    <x v="0"/>
    <n v="900"/>
    <n v="2"/>
    <n v="1800"/>
    <x v="11"/>
    <x v="0"/>
  </r>
  <r>
    <n v="345"/>
    <d v="2019-12-11T00:00:00"/>
    <x v="0"/>
    <x v="0"/>
    <x v="0"/>
    <n v="1100"/>
    <n v="2"/>
    <n v="2200"/>
    <x v="11"/>
    <x v="0"/>
  </r>
  <r>
    <n v="346"/>
    <d v="2019-12-12T00:00:00"/>
    <x v="1"/>
    <x v="2"/>
    <x v="0"/>
    <n v="900"/>
    <n v="2"/>
    <n v="1800"/>
    <x v="11"/>
    <x v="0"/>
  </r>
  <r>
    <n v="347"/>
    <d v="2019-12-13T00:00:00"/>
    <x v="0"/>
    <x v="8"/>
    <x v="3"/>
    <n v="800"/>
    <n v="1"/>
    <n v="800"/>
    <x v="11"/>
    <x v="0"/>
  </r>
  <r>
    <n v="348"/>
    <d v="2019-12-14T00:00:00"/>
    <x v="0"/>
    <x v="0"/>
    <x v="0"/>
    <n v="1100"/>
    <n v="1"/>
    <n v="1100"/>
    <x v="11"/>
    <x v="0"/>
  </r>
  <r>
    <n v="349"/>
    <d v="2019-12-15T00:00:00"/>
    <x v="0"/>
    <x v="9"/>
    <x v="3"/>
    <n v="600"/>
    <n v="1"/>
    <n v="600"/>
    <x v="11"/>
    <x v="0"/>
  </r>
  <r>
    <n v="350"/>
    <d v="2019-12-16T00:00:00"/>
    <x v="1"/>
    <x v="0"/>
    <x v="0"/>
    <n v="1100"/>
    <n v="3"/>
    <n v="3300"/>
    <x v="11"/>
    <x v="0"/>
  </r>
  <r>
    <n v="351"/>
    <d v="2019-12-17T00:00:00"/>
    <x v="1"/>
    <x v="6"/>
    <x v="2"/>
    <n v="850"/>
    <n v="1"/>
    <n v="850"/>
    <x v="11"/>
    <x v="0"/>
  </r>
  <r>
    <n v="352"/>
    <d v="2019-12-18T00:00:00"/>
    <x v="1"/>
    <x v="9"/>
    <x v="3"/>
    <n v="600"/>
    <n v="1"/>
    <n v="600"/>
    <x v="11"/>
    <x v="0"/>
  </r>
  <r>
    <n v="353"/>
    <d v="2019-12-19T00:00:00"/>
    <x v="1"/>
    <x v="9"/>
    <x v="3"/>
    <n v="600"/>
    <n v="1"/>
    <n v="600"/>
    <x v="11"/>
    <x v="0"/>
  </r>
  <r>
    <n v="354"/>
    <d v="2019-12-20T00:00:00"/>
    <x v="0"/>
    <x v="0"/>
    <x v="0"/>
    <n v="1100"/>
    <n v="1"/>
    <n v="1100"/>
    <x v="11"/>
    <x v="0"/>
  </r>
  <r>
    <n v="355"/>
    <d v="2019-12-21T00:00:00"/>
    <x v="0"/>
    <x v="3"/>
    <x v="0"/>
    <n v="1000"/>
    <n v="1"/>
    <n v="1000"/>
    <x v="11"/>
    <x v="0"/>
  </r>
  <r>
    <n v="356"/>
    <d v="2019-12-22T00:00:00"/>
    <x v="0"/>
    <x v="2"/>
    <x v="0"/>
    <n v="900"/>
    <n v="1"/>
    <n v="900"/>
    <x v="11"/>
    <x v="0"/>
  </r>
  <r>
    <n v="357"/>
    <d v="2019-12-23T00:00:00"/>
    <x v="0"/>
    <x v="9"/>
    <x v="3"/>
    <n v="600"/>
    <n v="1"/>
    <n v="600"/>
    <x v="11"/>
    <x v="0"/>
  </r>
  <r>
    <n v="358"/>
    <d v="2019-12-24T00:00:00"/>
    <x v="0"/>
    <x v="2"/>
    <x v="0"/>
    <n v="900"/>
    <n v="1"/>
    <n v="900"/>
    <x v="11"/>
    <x v="0"/>
  </r>
  <r>
    <n v="359"/>
    <d v="2019-12-25T00:00:00"/>
    <x v="0"/>
    <x v="5"/>
    <x v="1"/>
    <n v="600"/>
    <n v="1"/>
    <n v="600"/>
    <x v="11"/>
    <x v="0"/>
  </r>
  <r>
    <n v="360"/>
    <d v="2019-12-26T00:00:00"/>
    <x v="0"/>
    <x v="1"/>
    <x v="0"/>
    <n v="900"/>
    <n v="1"/>
    <n v="900"/>
    <x v="11"/>
    <x v="0"/>
  </r>
  <r>
    <n v="361"/>
    <d v="2019-12-27T00:00:00"/>
    <x v="0"/>
    <x v="5"/>
    <x v="1"/>
    <n v="600"/>
    <n v="1"/>
    <n v="600"/>
    <x v="11"/>
    <x v="0"/>
  </r>
  <r>
    <n v="362"/>
    <d v="2019-12-28T00:00:00"/>
    <x v="0"/>
    <x v="2"/>
    <x v="0"/>
    <n v="900"/>
    <n v="1"/>
    <n v="900"/>
    <x v="11"/>
    <x v="0"/>
  </r>
  <r>
    <n v="363"/>
    <d v="2019-12-29T00:00:00"/>
    <x v="0"/>
    <x v="9"/>
    <x v="3"/>
    <n v="600"/>
    <n v="1"/>
    <n v="600"/>
    <x v="11"/>
    <x v="0"/>
  </r>
  <r>
    <n v="364"/>
    <d v="2019-12-30T00:00:00"/>
    <x v="0"/>
    <x v="0"/>
    <x v="0"/>
    <n v="1100"/>
    <n v="2"/>
    <n v="2200"/>
    <x v="11"/>
    <x v="0"/>
  </r>
  <r>
    <n v="365"/>
    <d v="2019-12-31T00:00:00"/>
    <x v="0"/>
    <x v="0"/>
    <x v="0"/>
    <n v="1100"/>
    <n v="1"/>
    <n v="1100"/>
    <x v="11"/>
    <x v="0"/>
  </r>
  <r>
    <n v="366"/>
    <d v="2020-01-01T00:00:00"/>
    <x v="0"/>
    <x v="0"/>
    <x v="0"/>
    <n v="1100"/>
    <n v="1"/>
    <n v="1100"/>
    <x v="0"/>
    <x v="1"/>
  </r>
  <r>
    <n v="367"/>
    <d v="2020-01-02T00:00:00"/>
    <x v="0"/>
    <x v="5"/>
    <x v="1"/>
    <n v="600"/>
    <n v="2"/>
    <n v="1200"/>
    <x v="0"/>
    <x v="1"/>
  </r>
  <r>
    <n v="368"/>
    <d v="2020-01-03T00:00:00"/>
    <x v="0"/>
    <x v="0"/>
    <x v="0"/>
    <n v="1100"/>
    <n v="1"/>
    <n v="1100"/>
    <x v="0"/>
    <x v="1"/>
  </r>
  <r>
    <n v="369"/>
    <d v="2020-01-04T00:00:00"/>
    <x v="0"/>
    <x v="9"/>
    <x v="3"/>
    <n v="600"/>
    <n v="1"/>
    <n v="600"/>
    <x v="0"/>
    <x v="1"/>
  </r>
  <r>
    <n v="370"/>
    <d v="2020-01-05T00:00:00"/>
    <x v="0"/>
    <x v="0"/>
    <x v="0"/>
    <n v="1100"/>
    <n v="1"/>
    <n v="1100"/>
    <x v="0"/>
    <x v="1"/>
  </r>
  <r>
    <n v="371"/>
    <d v="2020-01-06T00:00:00"/>
    <x v="1"/>
    <x v="5"/>
    <x v="1"/>
    <n v="600"/>
    <n v="1"/>
    <n v="600"/>
    <x v="0"/>
    <x v="1"/>
  </r>
  <r>
    <n v="372"/>
    <d v="2020-01-07T00:00:00"/>
    <x v="1"/>
    <x v="0"/>
    <x v="0"/>
    <n v="1100"/>
    <n v="1"/>
    <n v="1100"/>
    <x v="0"/>
    <x v="1"/>
  </r>
  <r>
    <n v="373"/>
    <d v="2020-01-08T00:00:00"/>
    <x v="1"/>
    <x v="2"/>
    <x v="0"/>
    <n v="900"/>
    <n v="1"/>
    <n v="900"/>
    <x v="0"/>
    <x v="1"/>
  </r>
  <r>
    <n v="374"/>
    <d v="2020-01-09T00:00:00"/>
    <x v="1"/>
    <x v="7"/>
    <x v="2"/>
    <n v="1200"/>
    <n v="1"/>
    <n v="1200"/>
    <x v="0"/>
    <x v="1"/>
  </r>
  <r>
    <n v="375"/>
    <d v="2020-01-10T00:00:00"/>
    <x v="1"/>
    <x v="8"/>
    <x v="3"/>
    <n v="500"/>
    <n v="1"/>
    <n v="500"/>
    <x v="0"/>
    <x v="1"/>
  </r>
  <r>
    <n v="376"/>
    <d v="2020-01-11T00:00:00"/>
    <x v="1"/>
    <x v="5"/>
    <x v="1"/>
    <n v="600"/>
    <n v="1"/>
    <n v="600"/>
    <x v="0"/>
    <x v="1"/>
  </r>
  <r>
    <n v="377"/>
    <d v="2020-01-12T00:00:00"/>
    <x v="1"/>
    <x v="5"/>
    <x v="1"/>
    <n v="600"/>
    <n v="1"/>
    <n v="600"/>
    <x v="0"/>
    <x v="1"/>
  </r>
  <r>
    <n v="378"/>
    <d v="2020-01-13T00:00:00"/>
    <x v="1"/>
    <x v="0"/>
    <x v="0"/>
    <n v="1100"/>
    <n v="1"/>
    <n v="1100"/>
    <x v="0"/>
    <x v="1"/>
  </r>
  <r>
    <n v="379"/>
    <d v="2020-01-14T00:00:00"/>
    <x v="1"/>
    <x v="0"/>
    <x v="0"/>
    <n v="1100"/>
    <n v="1"/>
    <n v="1100"/>
    <x v="0"/>
    <x v="1"/>
  </r>
  <r>
    <n v="380"/>
    <d v="2020-01-15T00:00:00"/>
    <x v="0"/>
    <x v="8"/>
    <x v="3"/>
    <n v="900"/>
    <n v="1"/>
    <n v="900"/>
    <x v="0"/>
    <x v="1"/>
  </r>
  <r>
    <n v="381"/>
    <d v="2020-01-16T00:00:00"/>
    <x v="0"/>
    <x v="9"/>
    <x v="3"/>
    <n v="600"/>
    <n v="1"/>
    <n v="600"/>
    <x v="0"/>
    <x v="1"/>
  </r>
  <r>
    <n v="382"/>
    <d v="2020-01-17T00:00:00"/>
    <x v="1"/>
    <x v="0"/>
    <x v="0"/>
    <n v="1100"/>
    <n v="1"/>
    <n v="1100"/>
    <x v="0"/>
    <x v="1"/>
  </r>
  <r>
    <n v="383"/>
    <d v="2020-01-18T00:00:00"/>
    <x v="1"/>
    <x v="5"/>
    <x v="1"/>
    <n v="600"/>
    <n v="1"/>
    <n v="600"/>
    <x v="0"/>
    <x v="1"/>
  </r>
  <r>
    <n v="384"/>
    <d v="2020-01-19T00:00:00"/>
    <x v="1"/>
    <x v="2"/>
    <x v="0"/>
    <n v="900"/>
    <n v="1"/>
    <n v="900"/>
    <x v="0"/>
    <x v="1"/>
  </r>
  <r>
    <n v="385"/>
    <d v="2020-01-20T00:00:00"/>
    <x v="1"/>
    <x v="5"/>
    <x v="1"/>
    <n v="600"/>
    <n v="1"/>
    <n v="600"/>
    <x v="0"/>
    <x v="1"/>
  </r>
  <r>
    <n v="386"/>
    <d v="2020-01-21T00:00:00"/>
    <x v="0"/>
    <x v="5"/>
    <x v="1"/>
    <n v="600"/>
    <n v="1"/>
    <n v="600"/>
    <x v="0"/>
    <x v="1"/>
  </r>
  <r>
    <n v="387"/>
    <d v="2020-01-22T00:00:00"/>
    <x v="0"/>
    <x v="5"/>
    <x v="1"/>
    <n v="600"/>
    <n v="1"/>
    <n v="600"/>
    <x v="0"/>
    <x v="1"/>
  </r>
  <r>
    <n v="388"/>
    <d v="2020-01-23T00:00:00"/>
    <x v="0"/>
    <x v="8"/>
    <x v="3"/>
    <n v="500"/>
    <n v="1"/>
    <n v="500"/>
    <x v="0"/>
    <x v="1"/>
  </r>
  <r>
    <n v="389"/>
    <d v="2020-01-24T00:00:00"/>
    <x v="0"/>
    <x v="5"/>
    <x v="1"/>
    <n v="600"/>
    <n v="1"/>
    <n v="600"/>
    <x v="0"/>
    <x v="1"/>
  </r>
  <r>
    <n v="390"/>
    <d v="2020-01-25T00:00:00"/>
    <x v="0"/>
    <x v="2"/>
    <x v="0"/>
    <n v="900"/>
    <n v="1"/>
    <n v="900"/>
    <x v="0"/>
    <x v="1"/>
  </r>
  <r>
    <n v="391"/>
    <d v="2020-01-26T00:00:00"/>
    <x v="0"/>
    <x v="7"/>
    <x v="2"/>
    <n v="1200"/>
    <n v="2"/>
    <n v="2400"/>
    <x v="0"/>
    <x v="1"/>
  </r>
  <r>
    <n v="392"/>
    <d v="2020-01-27T00:00:00"/>
    <x v="0"/>
    <x v="0"/>
    <x v="0"/>
    <n v="1100"/>
    <n v="1"/>
    <n v="1100"/>
    <x v="0"/>
    <x v="1"/>
  </r>
  <r>
    <n v="393"/>
    <d v="2020-01-28T00:00:00"/>
    <x v="0"/>
    <x v="4"/>
    <x v="1"/>
    <n v="800"/>
    <n v="1"/>
    <n v="800"/>
    <x v="0"/>
    <x v="1"/>
  </r>
  <r>
    <n v="394"/>
    <d v="2020-01-29T00:00:00"/>
    <x v="0"/>
    <x v="4"/>
    <x v="1"/>
    <n v="800"/>
    <n v="1"/>
    <n v="800"/>
    <x v="0"/>
    <x v="1"/>
  </r>
  <r>
    <n v="395"/>
    <d v="2020-01-30T00:00:00"/>
    <x v="0"/>
    <x v="0"/>
    <x v="0"/>
    <n v="1100"/>
    <n v="1"/>
    <n v="1100"/>
    <x v="0"/>
    <x v="1"/>
  </r>
  <r>
    <n v="396"/>
    <d v="2020-01-31T00:00:00"/>
    <x v="0"/>
    <x v="3"/>
    <x v="0"/>
    <n v="1000"/>
    <n v="1"/>
    <n v="1000"/>
    <x v="0"/>
    <x v="1"/>
  </r>
  <r>
    <n v="397"/>
    <d v="2020-02-01T00:00:00"/>
    <x v="0"/>
    <x v="8"/>
    <x v="3"/>
    <n v="500"/>
    <n v="1"/>
    <n v="500"/>
    <x v="1"/>
    <x v="1"/>
  </r>
  <r>
    <n v="398"/>
    <d v="2020-02-02T00:00:00"/>
    <x v="0"/>
    <x v="1"/>
    <x v="0"/>
    <n v="900"/>
    <n v="1"/>
    <n v="900"/>
    <x v="1"/>
    <x v="1"/>
  </r>
  <r>
    <n v="399"/>
    <d v="2020-02-03T00:00:00"/>
    <x v="0"/>
    <x v="5"/>
    <x v="1"/>
    <n v="600"/>
    <n v="1"/>
    <n v="600"/>
    <x v="1"/>
    <x v="1"/>
  </r>
  <r>
    <n v="400"/>
    <d v="2020-02-04T00:00:00"/>
    <x v="0"/>
    <x v="1"/>
    <x v="0"/>
    <n v="900"/>
    <n v="1"/>
    <n v="900"/>
    <x v="1"/>
    <x v="1"/>
  </r>
  <r>
    <n v="401"/>
    <d v="2020-02-05T00:00:00"/>
    <x v="0"/>
    <x v="7"/>
    <x v="2"/>
    <n v="1200"/>
    <n v="1"/>
    <n v="1200"/>
    <x v="1"/>
    <x v="1"/>
  </r>
  <r>
    <n v="402"/>
    <d v="2020-02-06T00:00:00"/>
    <x v="0"/>
    <x v="0"/>
    <x v="0"/>
    <n v="1100"/>
    <n v="1"/>
    <n v="1100"/>
    <x v="1"/>
    <x v="1"/>
  </r>
  <r>
    <n v="403"/>
    <d v="2020-02-07T00:00:00"/>
    <x v="0"/>
    <x v="4"/>
    <x v="1"/>
    <n v="800"/>
    <n v="1"/>
    <n v="800"/>
    <x v="1"/>
    <x v="1"/>
  </r>
  <r>
    <n v="404"/>
    <d v="2020-02-08T00:00:00"/>
    <x v="0"/>
    <x v="1"/>
    <x v="0"/>
    <n v="900"/>
    <n v="1"/>
    <n v="900"/>
    <x v="1"/>
    <x v="1"/>
  </r>
  <r>
    <n v="405"/>
    <d v="2020-02-09T00:00:00"/>
    <x v="0"/>
    <x v="0"/>
    <x v="0"/>
    <n v="1100"/>
    <n v="1"/>
    <n v="1100"/>
    <x v="1"/>
    <x v="1"/>
  </r>
  <r>
    <n v="406"/>
    <d v="2020-02-10T00:00:00"/>
    <x v="0"/>
    <x v="4"/>
    <x v="1"/>
    <n v="800"/>
    <n v="1"/>
    <n v="800"/>
    <x v="1"/>
    <x v="1"/>
  </r>
  <r>
    <n v="407"/>
    <d v="2020-02-11T00:00:00"/>
    <x v="0"/>
    <x v="6"/>
    <x v="2"/>
    <n v="850"/>
    <n v="1"/>
    <n v="850"/>
    <x v="1"/>
    <x v="1"/>
  </r>
  <r>
    <n v="408"/>
    <d v="2020-02-12T00:00:00"/>
    <x v="0"/>
    <x v="2"/>
    <x v="0"/>
    <n v="900"/>
    <n v="1"/>
    <n v="900"/>
    <x v="1"/>
    <x v="1"/>
  </r>
  <r>
    <n v="409"/>
    <d v="2020-02-13T00:00:00"/>
    <x v="0"/>
    <x v="0"/>
    <x v="0"/>
    <n v="1100"/>
    <n v="1"/>
    <n v="1100"/>
    <x v="1"/>
    <x v="1"/>
  </r>
  <r>
    <n v="410"/>
    <d v="2020-02-14T00:00:00"/>
    <x v="0"/>
    <x v="5"/>
    <x v="1"/>
    <n v="600"/>
    <n v="1"/>
    <n v="600"/>
    <x v="1"/>
    <x v="1"/>
  </r>
  <r>
    <n v="411"/>
    <d v="2020-02-15T00:00:00"/>
    <x v="0"/>
    <x v="7"/>
    <x v="2"/>
    <n v="1200"/>
    <n v="1"/>
    <n v="1200"/>
    <x v="1"/>
    <x v="1"/>
  </r>
  <r>
    <n v="412"/>
    <d v="2020-02-16T00:00:00"/>
    <x v="0"/>
    <x v="5"/>
    <x v="1"/>
    <n v="600"/>
    <n v="1"/>
    <n v="600"/>
    <x v="1"/>
    <x v="1"/>
  </r>
  <r>
    <n v="413"/>
    <d v="2020-02-17T00:00:00"/>
    <x v="0"/>
    <x v="5"/>
    <x v="1"/>
    <n v="600"/>
    <n v="1"/>
    <n v="600"/>
    <x v="1"/>
    <x v="1"/>
  </r>
  <r>
    <n v="414"/>
    <d v="2020-02-18T00:00:00"/>
    <x v="0"/>
    <x v="0"/>
    <x v="0"/>
    <n v="1100"/>
    <n v="1"/>
    <n v="1100"/>
    <x v="1"/>
    <x v="1"/>
  </r>
  <r>
    <n v="415"/>
    <d v="2020-02-19T00:00:00"/>
    <x v="0"/>
    <x v="1"/>
    <x v="0"/>
    <n v="900"/>
    <n v="1"/>
    <n v="900"/>
    <x v="1"/>
    <x v="1"/>
  </r>
  <r>
    <n v="416"/>
    <d v="2020-02-20T00:00:00"/>
    <x v="0"/>
    <x v="3"/>
    <x v="0"/>
    <n v="1000"/>
    <n v="1"/>
    <n v="1000"/>
    <x v="1"/>
    <x v="1"/>
  </r>
  <r>
    <n v="417"/>
    <d v="2020-02-21T00:00:00"/>
    <x v="0"/>
    <x v="1"/>
    <x v="0"/>
    <n v="900"/>
    <n v="1"/>
    <n v="900"/>
    <x v="1"/>
    <x v="1"/>
  </r>
  <r>
    <n v="418"/>
    <d v="2020-02-22T00:00:00"/>
    <x v="0"/>
    <x v="5"/>
    <x v="1"/>
    <n v="600"/>
    <n v="1"/>
    <n v="600"/>
    <x v="1"/>
    <x v="1"/>
  </r>
  <r>
    <n v="419"/>
    <d v="2020-02-23T00:00:00"/>
    <x v="0"/>
    <x v="6"/>
    <x v="2"/>
    <n v="850"/>
    <n v="1"/>
    <n v="850"/>
    <x v="1"/>
    <x v="1"/>
  </r>
  <r>
    <n v="420"/>
    <d v="2020-02-24T00:00:00"/>
    <x v="0"/>
    <x v="8"/>
    <x v="3"/>
    <n v="500"/>
    <n v="1"/>
    <n v="500"/>
    <x v="1"/>
    <x v="1"/>
  </r>
  <r>
    <n v="421"/>
    <d v="2020-02-25T00:00:00"/>
    <x v="0"/>
    <x v="3"/>
    <x v="0"/>
    <n v="1000"/>
    <n v="1"/>
    <n v="1000"/>
    <x v="1"/>
    <x v="1"/>
  </r>
  <r>
    <n v="422"/>
    <d v="2020-02-26T00:00:00"/>
    <x v="0"/>
    <x v="0"/>
    <x v="0"/>
    <n v="1100"/>
    <n v="1"/>
    <n v="1100"/>
    <x v="1"/>
    <x v="1"/>
  </r>
  <r>
    <n v="423"/>
    <d v="2020-02-27T00:00:00"/>
    <x v="0"/>
    <x v="0"/>
    <x v="0"/>
    <n v="1100"/>
    <n v="2"/>
    <n v="2200"/>
    <x v="1"/>
    <x v="1"/>
  </r>
  <r>
    <n v="424"/>
    <d v="2020-02-28T00:00:00"/>
    <x v="0"/>
    <x v="2"/>
    <x v="0"/>
    <n v="900"/>
    <n v="1"/>
    <n v="900"/>
    <x v="1"/>
    <x v="1"/>
  </r>
  <r>
    <n v="425"/>
    <d v="2020-02-29T00:00:00"/>
    <x v="0"/>
    <x v="2"/>
    <x v="0"/>
    <n v="900"/>
    <n v="1"/>
    <n v="900"/>
    <x v="1"/>
    <x v="1"/>
  </r>
  <r>
    <n v="426"/>
    <d v="2020-03-01T00:00:00"/>
    <x v="0"/>
    <x v="5"/>
    <x v="1"/>
    <n v="600"/>
    <n v="1"/>
    <n v="600"/>
    <x v="2"/>
    <x v="1"/>
  </r>
  <r>
    <n v="427"/>
    <d v="2020-03-02T00:00:00"/>
    <x v="0"/>
    <x v="8"/>
    <x v="3"/>
    <n v="900"/>
    <n v="1"/>
    <n v="900"/>
    <x v="2"/>
    <x v="1"/>
  </r>
  <r>
    <n v="428"/>
    <d v="2020-03-03T00:00:00"/>
    <x v="0"/>
    <x v="0"/>
    <x v="0"/>
    <n v="1100"/>
    <n v="1"/>
    <n v="1100"/>
    <x v="2"/>
    <x v="1"/>
  </r>
  <r>
    <n v="429"/>
    <d v="2020-03-04T00:00:00"/>
    <x v="0"/>
    <x v="5"/>
    <x v="1"/>
    <n v="600"/>
    <n v="1"/>
    <n v="600"/>
    <x v="2"/>
    <x v="1"/>
  </r>
  <r>
    <n v="430"/>
    <d v="2020-03-05T00:00:00"/>
    <x v="0"/>
    <x v="5"/>
    <x v="1"/>
    <n v="600"/>
    <n v="1"/>
    <n v="600"/>
    <x v="2"/>
    <x v="1"/>
  </r>
  <r>
    <n v="431"/>
    <d v="2020-03-06T00:00:00"/>
    <x v="0"/>
    <x v="8"/>
    <x v="3"/>
    <n v="500"/>
    <n v="1"/>
    <n v="500"/>
    <x v="2"/>
    <x v="1"/>
  </r>
  <r>
    <n v="432"/>
    <d v="2020-03-07T00:00:00"/>
    <x v="0"/>
    <x v="2"/>
    <x v="0"/>
    <n v="900"/>
    <n v="1"/>
    <n v="900"/>
    <x v="2"/>
    <x v="1"/>
  </r>
  <r>
    <n v="433"/>
    <d v="2020-03-08T00:00:00"/>
    <x v="0"/>
    <x v="7"/>
    <x v="2"/>
    <n v="1200"/>
    <n v="1"/>
    <n v="1200"/>
    <x v="2"/>
    <x v="1"/>
  </r>
  <r>
    <n v="434"/>
    <d v="2020-03-09T00:00:00"/>
    <x v="0"/>
    <x v="5"/>
    <x v="1"/>
    <n v="600"/>
    <n v="2"/>
    <n v="1200"/>
    <x v="2"/>
    <x v="1"/>
  </r>
  <r>
    <n v="435"/>
    <d v="2020-03-10T00:00:00"/>
    <x v="0"/>
    <x v="2"/>
    <x v="0"/>
    <n v="900"/>
    <n v="1"/>
    <n v="900"/>
    <x v="2"/>
    <x v="1"/>
  </r>
  <r>
    <n v="436"/>
    <d v="2020-03-11T00:00:00"/>
    <x v="0"/>
    <x v="0"/>
    <x v="0"/>
    <n v="1100"/>
    <n v="2"/>
    <n v="2200"/>
    <x v="2"/>
    <x v="1"/>
  </r>
  <r>
    <n v="437"/>
    <d v="2020-03-12T00:00:00"/>
    <x v="0"/>
    <x v="9"/>
    <x v="3"/>
    <n v="600"/>
    <n v="1"/>
    <n v="600"/>
    <x v="2"/>
    <x v="1"/>
  </r>
  <r>
    <n v="438"/>
    <d v="2020-03-13T00:00:00"/>
    <x v="0"/>
    <x v="5"/>
    <x v="1"/>
    <n v="600"/>
    <n v="1"/>
    <n v="600"/>
    <x v="2"/>
    <x v="1"/>
  </r>
  <r>
    <n v="439"/>
    <d v="2020-03-14T00:00:00"/>
    <x v="0"/>
    <x v="9"/>
    <x v="3"/>
    <n v="300"/>
    <n v="2"/>
    <n v="600"/>
    <x v="2"/>
    <x v="1"/>
  </r>
  <r>
    <n v="440"/>
    <d v="2020-03-15T00:00:00"/>
    <x v="0"/>
    <x v="0"/>
    <x v="0"/>
    <n v="1100"/>
    <n v="2"/>
    <n v="2200"/>
    <x v="2"/>
    <x v="1"/>
  </r>
  <r>
    <n v="441"/>
    <d v="2020-03-16T00:00:00"/>
    <x v="0"/>
    <x v="3"/>
    <x v="0"/>
    <n v="1000"/>
    <n v="1"/>
    <n v="1000"/>
    <x v="2"/>
    <x v="1"/>
  </r>
  <r>
    <n v="442"/>
    <d v="2020-03-17T00:00:00"/>
    <x v="0"/>
    <x v="5"/>
    <x v="1"/>
    <n v="600"/>
    <n v="1"/>
    <n v="600"/>
    <x v="2"/>
    <x v="1"/>
  </r>
  <r>
    <n v="443"/>
    <d v="2020-03-18T00:00:00"/>
    <x v="0"/>
    <x v="2"/>
    <x v="0"/>
    <n v="900"/>
    <n v="1"/>
    <n v="900"/>
    <x v="2"/>
    <x v="1"/>
  </r>
  <r>
    <n v="444"/>
    <d v="2020-03-19T00:00:00"/>
    <x v="0"/>
    <x v="7"/>
    <x v="2"/>
    <n v="1200"/>
    <n v="1"/>
    <n v="1200"/>
    <x v="2"/>
    <x v="1"/>
  </r>
  <r>
    <n v="445"/>
    <d v="2020-03-20T00:00:00"/>
    <x v="0"/>
    <x v="0"/>
    <x v="0"/>
    <n v="1100"/>
    <n v="1"/>
    <n v="1100"/>
    <x v="2"/>
    <x v="1"/>
  </r>
  <r>
    <n v="446"/>
    <d v="2020-03-21T00:00:00"/>
    <x v="0"/>
    <x v="6"/>
    <x v="2"/>
    <n v="850"/>
    <n v="1"/>
    <n v="850"/>
    <x v="2"/>
    <x v="1"/>
  </r>
  <r>
    <n v="447"/>
    <d v="2020-03-22T00:00:00"/>
    <x v="0"/>
    <x v="0"/>
    <x v="0"/>
    <n v="1100"/>
    <n v="1"/>
    <n v="1100"/>
    <x v="2"/>
    <x v="1"/>
  </r>
  <r>
    <n v="448"/>
    <d v="2020-03-23T00:00:00"/>
    <x v="0"/>
    <x v="0"/>
    <x v="0"/>
    <n v="1100"/>
    <n v="2"/>
    <n v="2200"/>
    <x v="2"/>
    <x v="1"/>
  </r>
  <r>
    <n v="449"/>
    <d v="2020-03-24T00:00:00"/>
    <x v="0"/>
    <x v="2"/>
    <x v="0"/>
    <n v="900"/>
    <n v="1"/>
    <n v="900"/>
    <x v="2"/>
    <x v="1"/>
  </r>
  <r>
    <n v="450"/>
    <d v="2020-03-25T00:00:00"/>
    <x v="0"/>
    <x v="5"/>
    <x v="1"/>
    <n v="600"/>
    <n v="1"/>
    <n v="600"/>
    <x v="2"/>
    <x v="1"/>
  </r>
  <r>
    <n v="451"/>
    <d v="2020-03-26T00:00:00"/>
    <x v="0"/>
    <x v="5"/>
    <x v="1"/>
    <n v="600"/>
    <n v="1"/>
    <n v="600"/>
    <x v="2"/>
    <x v="1"/>
  </r>
  <r>
    <n v="452"/>
    <d v="2020-03-27T00:00:00"/>
    <x v="0"/>
    <x v="7"/>
    <x v="2"/>
    <n v="1200"/>
    <n v="1"/>
    <n v="1200"/>
    <x v="2"/>
    <x v="1"/>
  </r>
  <r>
    <n v="453"/>
    <d v="2020-03-28T00:00:00"/>
    <x v="0"/>
    <x v="2"/>
    <x v="0"/>
    <n v="900"/>
    <n v="1"/>
    <n v="900"/>
    <x v="2"/>
    <x v="1"/>
  </r>
  <r>
    <n v="454"/>
    <d v="2020-03-29T00:00:00"/>
    <x v="0"/>
    <x v="4"/>
    <x v="1"/>
    <n v="800"/>
    <n v="1"/>
    <n v="800"/>
    <x v="2"/>
    <x v="1"/>
  </r>
  <r>
    <n v="455"/>
    <d v="2020-03-30T00:00:00"/>
    <x v="0"/>
    <x v="2"/>
    <x v="0"/>
    <n v="900"/>
    <n v="1"/>
    <n v="900"/>
    <x v="2"/>
    <x v="1"/>
  </r>
  <r>
    <n v="456"/>
    <d v="2020-03-31T00:00:00"/>
    <x v="0"/>
    <x v="0"/>
    <x v="0"/>
    <n v="1100"/>
    <n v="1"/>
    <n v="1100"/>
    <x v="2"/>
    <x v="1"/>
  </r>
  <r>
    <n v="457"/>
    <d v="2020-04-01T00:00:00"/>
    <x v="0"/>
    <x v="9"/>
    <x v="3"/>
    <n v="600"/>
    <n v="1"/>
    <n v="600"/>
    <x v="3"/>
    <x v="1"/>
  </r>
  <r>
    <n v="458"/>
    <d v="2020-04-02T00:00:00"/>
    <x v="0"/>
    <x v="0"/>
    <x v="0"/>
    <n v="1100"/>
    <n v="1"/>
    <n v="1100"/>
    <x v="3"/>
    <x v="1"/>
  </r>
  <r>
    <n v="459"/>
    <d v="2020-04-03T00:00:00"/>
    <x v="0"/>
    <x v="4"/>
    <x v="1"/>
    <n v="800"/>
    <n v="1"/>
    <n v="800"/>
    <x v="3"/>
    <x v="1"/>
  </r>
  <r>
    <n v="460"/>
    <d v="2020-04-04T00:00:00"/>
    <x v="0"/>
    <x v="2"/>
    <x v="0"/>
    <n v="900"/>
    <n v="1"/>
    <n v="900"/>
    <x v="3"/>
    <x v="1"/>
  </r>
  <r>
    <n v="461"/>
    <d v="2020-04-05T00:00:00"/>
    <x v="0"/>
    <x v="0"/>
    <x v="0"/>
    <n v="1100"/>
    <n v="1"/>
    <n v="1100"/>
    <x v="3"/>
    <x v="1"/>
  </r>
  <r>
    <n v="462"/>
    <d v="2020-04-06T00:00:00"/>
    <x v="0"/>
    <x v="2"/>
    <x v="0"/>
    <n v="900"/>
    <n v="1"/>
    <n v="900"/>
    <x v="3"/>
    <x v="1"/>
  </r>
  <r>
    <n v="463"/>
    <d v="2020-04-07T00:00:00"/>
    <x v="0"/>
    <x v="5"/>
    <x v="1"/>
    <n v="600"/>
    <n v="1"/>
    <n v="600"/>
    <x v="3"/>
    <x v="1"/>
  </r>
  <r>
    <n v="464"/>
    <d v="2020-04-08T00:00:00"/>
    <x v="0"/>
    <x v="0"/>
    <x v="0"/>
    <n v="1100"/>
    <n v="1"/>
    <n v="1100"/>
    <x v="3"/>
    <x v="1"/>
  </r>
  <r>
    <n v="465"/>
    <d v="2020-04-09T00:00:00"/>
    <x v="0"/>
    <x v="0"/>
    <x v="0"/>
    <n v="1100"/>
    <n v="2"/>
    <n v="2200"/>
    <x v="3"/>
    <x v="1"/>
  </r>
  <r>
    <n v="466"/>
    <d v="2020-04-10T00:00:00"/>
    <x v="0"/>
    <x v="0"/>
    <x v="0"/>
    <n v="1100"/>
    <n v="1"/>
    <n v="1100"/>
    <x v="3"/>
    <x v="1"/>
  </r>
  <r>
    <n v="467"/>
    <d v="2020-04-11T00:00:00"/>
    <x v="0"/>
    <x v="0"/>
    <x v="0"/>
    <n v="1100"/>
    <n v="1"/>
    <n v="1100"/>
    <x v="3"/>
    <x v="1"/>
  </r>
  <r>
    <n v="468"/>
    <d v="2020-04-12T00:00:00"/>
    <x v="0"/>
    <x v="0"/>
    <x v="0"/>
    <n v="1100"/>
    <n v="1"/>
    <n v="1100"/>
    <x v="3"/>
    <x v="1"/>
  </r>
  <r>
    <n v="469"/>
    <d v="2020-04-13T00:00:00"/>
    <x v="0"/>
    <x v="5"/>
    <x v="1"/>
    <n v="600"/>
    <n v="1"/>
    <n v="600"/>
    <x v="3"/>
    <x v="1"/>
  </r>
  <r>
    <n v="470"/>
    <d v="2020-04-14T00:00:00"/>
    <x v="0"/>
    <x v="0"/>
    <x v="0"/>
    <n v="1100"/>
    <n v="1"/>
    <n v="1100"/>
    <x v="3"/>
    <x v="1"/>
  </r>
  <r>
    <n v="471"/>
    <d v="2020-04-15T00:00:00"/>
    <x v="0"/>
    <x v="5"/>
    <x v="1"/>
    <n v="600"/>
    <n v="1"/>
    <n v="600"/>
    <x v="3"/>
    <x v="1"/>
  </r>
  <r>
    <n v="472"/>
    <d v="2020-04-16T00:00:00"/>
    <x v="0"/>
    <x v="2"/>
    <x v="0"/>
    <n v="900"/>
    <n v="1"/>
    <n v="900"/>
    <x v="3"/>
    <x v="1"/>
  </r>
  <r>
    <n v="473"/>
    <d v="2020-04-17T00:00:00"/>
    <x v="0"/>
    <x v="0"/>
    <x v="0"/>
    <n v="1100"/>
    <n v="1"/>
    <n v="1100"/>
    <x v="3"/>
    <x v="1"/>
  </r>
  <r>
    <n v="474"/>
    <d v="2020-04-18T00:00:00"/>
    <x v="0"/>
    <x v="5"/>
    <x v="1"/>
    <n v="600"/>
    <n v="1"/>
    <n v="600"/>
    <x v="3"/>
    <x v="1"/>
  </r>
  <r>
    <n v="475"/>
    <d v="2020-04-19T00:00:00"/>
    <x v="0"/>
    <x v="5"/>
    <x v="1"/>
    <n v="600"/>
    <n v="1"/>
    <n v="600"/>
    <x v="3"/>
    <x v="1"/>
  </r>
  <r>
    <n v="476"/>
    <d v="2020-04-20T00:00:00"/>
    <x v="0"/>
    <x v="6"/>
    <x v="2"/>
    <n v="850"/>
    <n v="1"/>
    <n v="850"/>
    <x v="3"/>
    <x v="1"/>
  </r>
  <r>
    <n v="477"/>
    <d v="2020-04-21T00:00:00"/>
    <x v="0"/>
    <x v="5"/>
    <x v="1"/>
    <n v="600"/>
    <n v="1"/>
    <n v="600"/>
    <x v="3"/>
    <x v="1"/>
  </r>
  <r>
    <n v="478"/>
    <d v="2020-04-22T00:00:00"/>
    <x v="0"/>
    <x v="0"/>
    <x v="0"/>
    <n v="1100"/>
    <n v="1"/>
    <n v="1100"/>
    <x v="3"/>
    <x v="1"/>
  </r>
  <r>
    <n v="479"/>
    <d v="2020-04-23T00:00:00"/>
    <x v="0"/>
    <x v="9"/>
    <x v="3"/>
    <n v="300"/>
    <n v="1"/>
    <n v="300"/>
    <x v="3"/>
    <x v="1"/>
  </r>
  <r>
    <n v="480"/>
    <d v="2020-04-24T00:00:00"/>
    <x v="0"/>
    <x v="9"/>
    <x v="3"/>
    <n v="300"/>
    <n v="1"/>
    <n v="300"/>
    <x v="3"/>
    <x v="1"/>
  </r>
  <r>
    <n v="481"/>
    <d v="2020-04-25T00:00:00"/>
    <x v="0"/>
    <x v="5"/>
    <x v="1"/>
    <n v="600"/>
    <n v="1"/>
    <n v="600"/>
    <x v="3"/>
    <x v="1"/>
  </r>
  <r>
    <n v="482"/>
    <d v="2020-04-26T00:00:00"/>
    <x v="0"/>
    <x v="8"/>
    <x v="3"/>
    <n v="800"/>
    <n v="1"/>
    <n v="800"/>
    <x v="3"/>
    <x v="1"/>
  </r>
  <r>
    <n v="483"/>
    <d v="2020-04-27T00:00:00"/>
    <x v="0"/>
    <x v="5"/>
    <x v="1"/>
    <n v="600"/>
    <n v="1"/>
    <n v="600"/>
    <x v="3"/>
    <x v="1"/>
  </r>
  <r>
    <n v="484"/>
    <d v="2020-04-28T00:00:00"/>
    <x v="0"/>
    <x v="8"/>
    <x v="3"/>
    <n v="500"/>
    <n v="1"/>
    <n v="500"/>
    <x v="3"/>
    <x v="1"/>
  </r>
  <r>
    <n v="485"/>
    <d v="2020-04-29T00:00:00"/>
    <x v="0"/>
    <x v="0"/>
    <x v="0"/>
    <n v="1100"/>
    <n v="1"/>
    <n v="1100"/>
    <x v="3"/>
    <x v="1"/>
  </r>
  <r>
    <n v="486"/>
    <d v="2020-04-30T00:00:00"/>
    <x v="0"/>
    <x v="5"/>
    <x v="1"/>
    <n v="600"/>
    <n v="1"/>
    <n v="600"/>
    <x v="3"/>
    <x v="1"/>
  </r>
  <r>
    <n v="487"/>
    <d v="2020-05-01T00:00:00"/>
    <x v="0"/>
    <x v="1"/>
    <x v="0"/>
    <n v="900"/>
    <n v="1"/>
    <n v="900"/>
    <x v="4"/>
    <x v="1"/>
  </r>
  <r>
    <n v="488"/>
    <d v="2020-05-02T00:00:00"/>
    <x v="0"/>
    <x v="0"/>
    <x v="0"/>
    <n v="1100"/>
    <n v="1"/>
    <n v="1100"/>
    <x v="4"/>
    <x v="1"/>
  </r>
  <r>
    <n v="489"/>
    <d v="2020-05-03T00:00:00"/>
    <x v="0"/>
    <x v="7"/>
    <x v="2"/>
    <n v="1200"/>
    <n v="1"/>
    <n v="1200"/>
    <x v="4"/>
    <x v="1"/>
  </r>
  <r>
    <n v="490"/>
    <d v="2020-05-04T00:00:00"/>
    <x v="0"/>
    <x v="0"/>
    <x v="0"/>
    <n v="1100"/>
    <n v="1"/>
    <n v="1100"/>
    <x v="4"/>
    <x v="1"/>
  </r>
  <r>
    <n v="491"/>
    <d v="2020-05-05T00:00:00"/>
    <x v="0"/>
    <x v="1"/>
    <x v="0"/>
    <n v="900"/>
    <n v="1"/>
    <n v="900"/>
    <x v="4"/>
    <x v="1"/>
  </r>
  <r>
    <n v="492"/>
    <d v="2020-05-06T00:00:00"/>
    <x v="0"/>
    <x v="8"/>
    <x v="3"/>
    <n v="900"/>
    <n v="1"/>
    <n v="900"/>
    <x v="4"/>
    <x v="1"/>
  </r>
  <r>
    <n v="493"/>
    <d v="2020-05-07T00:00:00"/>
    <x v="0"/>
    <x v="9"/>
    <x v="3"/>
    <n v="600"/>
    <n v="1"/>
    <n v="600"/>
    <x v="4"/>
    <x v="1"/>
  </r>
  <r>
    <n v="494"/>
    <d v="2020-05-08T00:00:00"/>
    <x v="0"/>
    <x v="0"/>
    <x v="0"/>
    <n v="1100"/>
    <n v="1"/>
    <n v="1100"/>
    <x v="4"/>
    <x v="1"/>
  </r>
  <r>
    <n v="495"/>
    <d v="2020-05-09T00:00:00"/>
    <x v="0"/>
    <x v="0"/>
    <x v="0"/>
    <n v="1100"/>
    <n v="1"/>
    <n v="1100"/>
    <x v="4"/>
    <x v="1"/>
  </r>
  <r>
    <n v="496"/>
    <d v="2020-05-10T00:00:00"/>
    <x v="0"/>
    <x v="8"/>
    <x v="3"/>
    <n v="500"/>
    <n v="1"/>
    <n v="500"/>
    <x v="4"/>
    <x v="1"/>
  </r>
  <r>
    <n v="497"/>
    <d v="2020-05-11T00:00:00"/>
    <x v="0"/>
    <x v="6"/>
    <x v="2"/>
    <n v="850"/>
    <n v="1"/>
    <n v="850"/>
    <x v="4"/>
    <x v="1"/>
  </r>
  <r>
    <n v="498"/>
    <d v="2020-05-12T00:00:00"/>
    <x v="0"/>
    <x v="0"/>
    <x v="0"/>
    <n v="1100"/>
    <n v="1"/>
    <n v="1100"/>
    <x v="4"/>
    <x v="1"/>
  </r>
  <r>
    <n v="499"/>
    <d v="2020-05-13T00:00:00"/>
    <x v="0"/>
    <x v="9"/>
    <x v="3"/>
    <n v="300"/>
    <n v="1"/>
    <n v="300"/>
    <x v="4"/>
    <x v="1"/>
  </r>
  <r>
    <n v="500"/>
    <d v="2020-05-14T00:00:00"/>
    <x v="0"/>
    <x v="4"/>
    <x v="1"/>
    <n v="800"/>
    <n v="1"/>
    <n v="800"/>
    <x v="4"/>
    <x v="1"/>
  </r>
  <r>
    <n v="501"/>
    <d v="2020-05-15T00:00:00"/>
    <x v="0"/>
    <x v="1"/>
    <x v="0"/>
    <n v="900"/>
    <n v="1"/>
    <n v="900"/>
    <x v="4"/>
    <x v="1"/>
  </r>
  <r>
    <n v="502"/>
    <d v="2020-05-16T00:00:00"/>
    <x v="0"/>
    <x v="0"/>
    <x v="0"/>
    <n v="1100"/>
    <n v="1"/>
    <n v="1100"/>
    <x v="4"/>
    <x v="1"/>
  </r>
  <r>
    <n v="503"/>
    <d v="2020-05-17T00:00:00"/>
    <x v="0"/>
    <x v="8"/>
    <x v="3"/>
    <n v="500"/>
    <n v="1"/>
    <n v="500"/>
    <x v="4"/>
    <x v="1"/>
  </r>
  <r>
    <n v="504"/>
    <d v="2020-05-18T00:00:00"/>
    <x v="0"/>
    <x v="5"/>
    <x v="1"/>
    <n v="600"/>
    <n v="1"/>
    <n v="600"/>
    <x v="4"/>
    <x v="1"/>
  </r>
  <r>
    <n v="505"/>
    <d v="2020-05-19T00:00:00"/>
    <x v="0"/>
    <x v="2"/>
    <x v="0"/>
    <n v="900"/>
    <n v="1"/>
    <n v="900"/>
    <x v="4"/>
    <x v="1"/>
  </r>
  <r>
    <n v="506"/>
    <d v="2020-05-20T00:00:00"/>
    <x v="0"/>
    <x v="9"/>
    <x v="3"/>
    <n v="600"/>
    <n v="1"/>
    <n v="600"/>
    <x v="4"/>
    <x v="1"/>
  </r>
  <r>
    <n v="507"/>
    <d v="2020-05-21T00:00:00"/>
    <x v="0"/>
    <x v="5"/>
    <x v="1"/>
    <n v="600"/>
    <n v="1"/>
    <n v="600"/>
    <x v="4"/>
    <x v="1"/>
  </r>
  <r>
    <n v="508"/>
    <d v="2020-05-22T00:00:00"/>
    <x v="0"/>
    <x v="0"/>
    <x v="0"/>
    <n v="1100"/>
    <n v="1"/>
    <n v="1100"/>
    <x v="4"/>
    <x v="1"/>
  </r>
  <r>
    <n v="509"/>
    <d v="2020-05-23T00:00:00"/>
    <x v="0"/>
    <x v="0"/>
    <x v="0"/>
    <n v="1100"/>
    <n v="2"/>
    <n v="2200"/>
    <x v="4"/>
    <x v="1"/>
  </r>
  <r>
    <n v="510"/>
    <d v="2020-05-24T00:00:00"/>
    <x v="0"/>
    <x v="0"/>
    <x v="0"/>
    <n v="1100"/>
    <n v="1"/>
    <n v="1100"/>
    <x v="4"/>
    <x v="1"/>
  </r>
  <r>
    <n v="511"/>
    <d v="2020-05-25T00:00:00"/>
    <x v="0"/>
    <x v="6"/>
    <x v="2"/>
    <n v="850"/>
    <n v="1"/>
    <n v="850"/>
    <x v="4"/>
    <x v="1"/>
  </r>
  <r>
    <n v="512"/>
    <d v="2020-05-26T00:00:00"/>
    <x v="0"/>
    <x v="0"/>
    <x v="0"/>
    <n v="1100"/>
    <n v="1"/>
    <n v="1100"/>
    <x v="4"/>
    <x v="1"/>
  </r>
  <r>
    <n v="513"/>
    <d v="2020-05-27T00:00:00"/>
    <x v="0"/>
    <x v="1"/>
    <x v="0"/>
    <n v="900"/>
    <n v="1"/>
    <n v="900"/>
    <x v="4"/>
    <x v="1"/>
  </r>
  <r>
    <n v="514"/>
    <d v="2020-05-28T00:00:00"/>
    <x v="0"/>
    <x v="2"/>
    <x v="0"/>
    <n v="900"/>
    <n v="1"/>
    <n v="900"/>
    <x v="4"/>
    <x v="1"/>
  </r>
  <r>
    <n v="515"/>
    <d v="2020-05-29T00:00:00"/>
    <x v="0"/>
    <x v="1"/>
    <x v="0"/>
    <n v="900"/>
    <n v="1"/>
    <n v="900"/>
    <x v="4"/>
    <x v="1"/>
  </r>
  <r>
    <n v="516"/>
    <d v="2020-05-30T00:00:00"/>
    <x v="0"/>
    <x v="3"/>
    <x v="0"/>
    <n v="1000"/>
    <n v="1"/>
    <n v="1000"/>
    <x v="4"/>
    <x v="1"/>
  </r>
  <r>
    <n v="517"/>
    <d v="2020-05-31T00:00:00"/>
    <x v="0"/>
    <x v="7"/>
    <x v="2"/>
    <n v="1200"/>
    <n v="1"/>
    <n v="1200"/>
    <x v="4"/>
    <x v="1"/>
  </r>
  <r>
    <n v="518"/>
    <d v="2020-06-01T00:00:00"/>
    <x v="0"/>
    <x v="2"/>
    <x v="0"/>
    <n v="900"/>
    <n v="1"/>
    <n v="900"/>
    <x v="5"/>
    <x v="1"/>
  </r>
  <r>
    <n v="519"/>
    <d v="2020-06-02T00:00:00"/>
    <x v="0"/>
    <x v="5"/>
    <x v="1"/>
    <n v="600"/>
    <n v="1"/>
    <n v="600"/>
    <x v="5"/>
    <x v="1"/>
  </r>
  <r>
    <n v="520"/>
    <d v="2020-06-03T00:00:00"/>
    <x v="0"/>
    <x v="9"/>
    <x v="3"/>
    <n v="600"/>
    <n v="1"/>
    <n v="600"/>
    <x v="5"/>
    <x v="1"/>
  </r>
  <r>
    <n v="521"/>
    <d v="2020-06-04T00:00:00"/>
    <x v="0"/>
    <x v="4"/>
    <x v="1"/>
    <n v="800"/>
    <n v="1"/>
    <n v="800"/>
    <x v="5"/>
    <x v="1"/>
  </r>
  <r>
    <n v="522"/>
    <d v="2020-06-05T00:00:00"/>
    <x v="0"/>
    <x v="9"/>
    <x v="3"/>
    <n v="600"/>
    <n v="1"/>
    <n v="600"/>
    <x v="5"/>
    <x v="1"/>
  </r>
  <r>
    <n v="523"/>
    <d v="2020-06-06T00:00:00"/>
    <x v="0"/>
    <x v="0"/>
    <x v="0"/>
    <n v="1100"/>
    <n v="1"/>
    <n v="1100"/>
    <x v="5"/>
    <x v="1"/>
  </r>
  <r>
    <n v="524"/>
    <d v="2020-06-07T00:00:00"/>
    <x v="0"/>
    <x v="0"/>
    <x v="0"/>
    <n v="1100"/>
    <n v="1"/>
    <n v="1100"/>
    <x v="5"/>
    <x v="1"/>
  </r>
  <r>
    <n v="525"/>
    <d v="2020-06-08T00:00:00"/>
    <x v="0"/>
    <x v="6"/>
    <x v="2"/>
    <n v="850"/>
    <n v="1"/>
    <n v="850"/>
    <x v="5"/>
    <x v="1"/>
  </r>
  <r>
    <n v="526"/>
    <d v="2020-06-09T00:00:00"/>
    <x v="0"/>
    <x v="0"/>
    <x v="0"/>
    <n v="1100"/>
    <n v="1"/>
    <n v="1100"/>
    <x v="5"/>
    <x v="1"/>
  </r>
  <r>
    <n v="527"/>
    <d v="2020-06-10T00:00:00"/>
    <x v="0"/>
    <x v="0"/>
    <x v="0"/>
    <n v="1100"/>
    <n v="2"/>
    <n v="2200"/>
    <x v="5"/>
    <x v="1"/>
  </r>
  <r>
    <n v="528"/>
    <d v="2020-06-11T00:00:00"/>
    <x v="0"/>
    <x v="9"/>
    <x v="3"/>
    <n v="300"/>
    <n v="1"/>
    <n v="300"/>
    <x v="5"/>
    <x v="1"/>
  </r>
  <r>
    <n v="529"/>
    <d v="2020-06-12T00:00:00"/>
    <x v="0"/>
    <x v="5"/>
    <x v="1"/>
    <n v="600"/>
    <n v="1"/>
    <n v="600"/>
    <x v="5"/>
    <x v="1"/>
  </r>
  <r>
    <n v="530"/>
    <d v="2020-06-13T00:00:00"/>
    <x v="0"/>
    <x v="5"/>
    <x v="1"/>
    <n v="600"/>
    <n v="1"/>
    <n v="600"/>
    <x v="5"/>
    <x v="1"/>
  </r>
  <r>
    <n v="531"/>
    <d v="2020-06-14T00:00:00"/>
    <x v="0"/>
    <x v="0"/>
    <x v="0"/>
    <n v="1100"/>
    <n v="1"/>
    <n v="1100"/>
    <x v="5"/>
    <x v="1"/>
  </r>
  <r>
    <n v="532"/>
    <d v="2020-06-15T00:00:00"/>
    <x v="0"/>
    <x v="2"/>
    <x v="0"/>
    <n v="900"/>
    <n v="1"/>
    <n v="900"/>
    <x v="5"/>
    <x v="1"/>
  </r>
  <r>
    <n v="533"/>
    <d v="2020-06-16T00:00:00"/>
    <x v="0"/>
    <x v="1"/>
    <x v="0"/>
    <n v="900"/>
    <n v="1"/>
    <n v="900"/>
    <x v="5"/>
    <x v="1"/>
  </r>
  <r>
    <n v="534"/>
    <d v="2020-06-17T00:00:00"/>
    <x v="0"/>
    <x v="1"/>
    <x v="0"/>
    <n v="900"/>
    <n v="1"/>
    <n v="900"/>
    <x v="5"/>
    <x v="1"/>
  </r>
  <r>
    <n v="535"/>
    <d v="2020-06-18T00:00:00"/>
    <x v="0"/>
    <x v="0"/>
    <x v="0"/>
    <n v="1100"/>
    <n v="1"/>
    <n v="1100"/>
    <x v="5"/>
    <x v="1"/>
  </r>
  <r>
    <n v="536"/>
    <d v="2020-06-19T00:00:00"/>
    <x v="0"/>
    <x v="9"/>
    <x v="3"/>
    <n v="600"/>
    <n v="2"/>
    <n v="1200"/>
    <x v="5"/>
    <x v="1"/>
  </r>
  <r>
    <n v="537"/>
    <d v="2020-06-20T00:00:00"/>
    <x v="0"/>
    <x v="6"/>
    <x v="2"/>
    <n v="850"/>
    <n v="1"/>
    <n v="850"/>
    <x v="5"/>
    <x v="1"/>
  </r>
  <r>
    <n v="538"/>
    <d v="2020-06-21T00:00:00"/>
    <x v="0"/>
    <x v="1"/>
    <x v="0"/>
    <n v="900"/>
    <n v="1"/>
    <n v="900"/>
    <x v="5"/>
    <x v="1"/>
  </r>
  <r>
    <n v="539"/>
    <d v="2020-06-22T00:00:00"/>
    <x v="0"/>
    <x v="5"/>
    <x v="1"/>
    <n v="600"/>
    <n v="1"/>
    <n v="600"/>
    <x v="5"/>
    <x v="1"/>
  </r>
  <r>
    <n v="540"/>
    <d v="2020-06-23T00:00:00"/>
    <x v="0"/>
    <x v="5"/>
    <x v="1"/>
    <n v="600"/>
    <n v="1"/>
    <n v="600"/>
    <x v="5"/>
    <x v="1"/>
  </r>
  <r>
    <n v="541"/>
    <d v="2020-06-24T00:00:00"/>
    <x v="0"/>
    <x v="0"/>
    <x v="0"/>
    <n v="1100"/>
    <n v="1"/>
    <n v="1100"/>
    <x v="5"/>
    <x v="1"/>
  </r>
  <r>
    <n v="542"/>
    <d v="2020-06-25T00:00:00"/>
    <x v="0"/>
    <x v="0"/>
    <x v="0"/>
    <n v="1100"/>
    <n v="1"/>
    <n v="1100"/>
    <x v="5"/>
    <x v="1"/>
  </r>
  <r>
    <n v="543"/>
    <d v="2020-06-26T00:00:00"/>
    <x v="0"/>
    <x v="0"/>
    <x v="0"/>
    <n v="1100"/>
    <n v="1"/>
    <n v="1100"/>
    <x v="5"/>
    <x v="1"/>
  </r>
  <r>
    <n v="544"/>
    <d v="2020-06-27T00:00:00"/>
    <x v="0"/>
    <x v="0"/>
    <x v="0"/>
    <n v="1100"/>
    <n v="1"/>
    <n v="1100"/>
    <x v="5"/>
    <x v="1"/>
  </r>
  <r>
    <n v="545"/>
    <d v="2020-06-28T00:00:00"/>
    <x v="0"/>
    <x v="1"/>
    <x v="0"/>
    <n v="1100"/>
    <n v="1"/>
    <n v="1100"/>
    <x v="5"/>
    <x v="1"/>
  </r>
  <r>
    <n v="546"/>
    <d v="2020-06-29T00:00:00"/>
    <x v="0"/>
    <x v="1"/>
    <x v="0"/>
    <n v="1100"/>
    <n v="1"/>
    <n v="1100"/>
    <x v="5"/>
    <x v="1"/>
  </r>
  <r>
    <n v="547"/>
    <d v="2020-06-30T00:00:00"/>
    <x v="0"/>
    <x v="1"/>
    <x v="0"/>
    <n v="1100"/>
    <n v="1"/>
    <n v="1100"/>
    <x v="5"/>
    <x v="1"/>
  </r>
  <r>
    <n v="548"/>
    <d v="2020-07-01T00:00:00"/>
    <x v="0"/>
    <x v="1"/>
    <x v="0"/>
    <n v="1100"/>
    <n v="2"/>
    <n v="2200"/>
    <x v="6"/>
    <x v="1"/>
  </r>
  <r>
    <n v="549"/>
    <d v="2020-07-02T00:00:00"/>
    <x v="0"/>
    <x v="1"/>
    <x v="0"/>
    <n v="1100"/>
    <n v="1"/>
    <n v="1100"/>
    <x v="6"/>
    <x v="1"/>
  </r>
  <r>
    <n v="550"/>
    <d v="2020-07-03T00:00:00"/>
    <x v="0"/>
    <x v="1"/>
    <x v="0"/>
    <n v="1100"/>
    <n v="1"/>
    <n v="1100"/>
    <x v="6"/>
    <x v="1"/>
  </r>
  <r>
    <n v="551"/>
    <d v="2020-07-04T00:00:00"/>
    <x v="0"/>
    <x v="1"/>
    <x v="0"/>
    <n v="900"/>
    <n v="1"/>
    <n v="900"/>
    <x v="6"/>
    <x v="1"/>
  </r>
  <r>
    <n v="552"/>
    <d v="2020-07-05T00:00:00"/>
    <x v="0"/>
    <x v="1"/>
    <x v="0"/>
    <n v="900"/>
    <n v="1"/>
    <n v="900"/>
    <x v="6"/>
    <x v="1"/>
  </r>
  <r>
    <n v="553"/>
    <d v="2020-07-06T00:00:00"/>
    <x v="0"/>
    <x v="1"/>
    <x v="0"/>
    <n v="900"/>
    <n v="1"/>
    <n v="900"/>
    <x v="6"/>
    <x v="1"/>
  </r>
  <r>
    <n v="554"/>
    <d v="2020-07-07T00:00:00"/>
    <x v="0"/>
    <x v="1"/>
    <x v="0"/>
    <n v="900"/>
    <n v="2"/>
    <n v="1800"/>
    <x v="6"/>
    <x v="1"/>
  </r>
  <r>
    <n v="555"/>
    <d v="2020-07-08T00:00:00"/>
    <x v="0"/>
    <x v="1"/>
    <x v="0"/>
    <n v="900"/>
    <n v="1"/>
    <n v="900"/>
    <x v="6"/>
    <x v="1"/>
  </r>
  <r>
    <n v="556"/>
    <d v="2020-07-09T00:00:00"/>
    <x v="0"/>
    <x v="1"/>
    <x v="0"/>
    <n v="900"/>
    <n v="1"/>
    <n v="900"/>
    <x v="6"/>
    <x v="1"/>
  </r>
  <r>
    <n v="557"/>
    <d v="2020-07-10T00:00:00"/>
    <x v="0"/>
    <x v="1"/>
    <x v="0"/>
    <n v="1100"/>
    <n v="1"/>
    <n v="1100"/>
    <x v="6"/>
    <x v="1"/>
  </r>
  <r>
    <n v="558"/>
    <d v="2020-07-11T00:00:00"/>
    <x v="1"/>
    <x v="1"/>
    <x v="0"/>
    <n v="900"/>
    <n v="1"/>
    <n v="900"/>
    <x v="6"/>
    <x v="1"/>
  </r>
  <r>
    <n v="559"/>
    <d v="2020-07-12T00:00:00"/>
    <x v="1"/>
    <x v="1"/>
    <x v="0"/>
    <n v="1100"/>
    <n v="2"/>
    <n v="2200"/>
    <x v="6"/>
    <x v="1"/>
  </r>
  <r>
    <n v="560"/>
    <d v="2020-07-13T00:00:00"/>
    <x v="1"/>
    <x v="1"/>
    <x v="0"/>
    <n v="1100"/>
    <n v="1"/>
    <n v="1100"/>
    <x v="6"/>
    <x v="1"/>
  </r>
  <r>
    <n v="561"/>
    <d v="2020-07-14T00:00:00"/>
    <x v="1"/>
    <x v="1"/>
    <x v="0"/>
    <n v="900"/>
    <n v="1"/>
    <n v="900"/>
    <x v="6"/>
    <x v="1"/>
  </r>
  <r>
    <n v="562"/>
    <d v="2020-07-15T00:00:00"/>
    <x v="1"/>
    <x v="1"/>
    <x v="0"/>
    <n v="900"/>
    <n v="1"/>
    <n v="900"/>
    <x v="6"/>
    <x v="1"/>
  </r>
  <r>
    <n v="563"/>
    <d v="2020-07-16T00:00:00"/>
    <x v="1"/>
    <x v="2"/>
    <x v="0"/>
    <n v="900"/>
    <n v="1"/>
    <n v="900"/>
    <x v="6"/>
    <x v="1"/>
  </r>
  <r>
    <n v="564"/>
    <d v="2020-07-17T00:00:00"/>
    <x v="1"/>
    <x v="1"/>
    <x v="0"/>
    <n v="1100"/>
    <n v="1"/>
    <n v="1100"/>
    <x v="6"/>
    <x v="1"/>
  </r>
  <r>
    <n v="565"/>
    <d v="2020-07-18T00:00:00"/>
    <x v="1"/>
    <x v="1"/>
    <x v="0"/>
    <n v="1100"/>
    <n v="1"/>
    <n v="1100"/>
    <x v="6"/>
    <x v="1"/>
  </r>
  <r>
    <n v="566"/>
    <d v="2020-07-19T00:00:00"/>
    <x v="1"/>
    <x v="2"/>
    <x v="0"/>
    <n v="900"/>
    <n v="1"/>
    <n v="900"/>
    <x v="6"/>
    <x v="1"/>
  </r>
  <r>
    <n v="567"/>
    <d v="2020-07-20T00:00:00"/>
    <x v="0"/>
    <x v="1"/>
    <x v="0"/>
    <n v="900"/>
    <n v="1"/>
    <n v="900"/>
    <x v="6"/>
    <x v="1"/>
  </r>
  <r>
    <n v="568"/>
    <d v="2020-07-21T00:00:00"/>
    <x v="0"/>
    <x v="2"/>
    <x v="0"/>
    <n v="900"/>
    <n v="1"/>
    <n v="900"/>
    <x v="6"/>
    <x v="1"/>
  </r>
  <r>
    <n v="569"/>
    <d v="2020-07-22T00:00:00"/>
    <x v="0"/>
    <x v="1"/>
    <x v="0"/>
    <n v="1100"/>
    <n v="1"/>
    <n v="1100"/>
    <x v="6"/>
    <x v="1"/>
  </r>
  <r>
    <n v="570"/>
    <d v="2020-07-23T00:00:00"/>
    <x v="0"/>
    <x v="1"/>
    <x v="0"/>
    <n v="1100"/>
    <n v="1"/>
    <n v="1100"/>
    <x v="6"/>
    <x v="1"/>
  </r>
  <r>
    <n v="571"/>
    <d v="2020-07-24T00:00:00"/>
    <x v="0"/>
    <x v="2"/>
    <x v="0"/>
    <n v="900"/>
    <n v="1"/>
    <n v="900"/>
    <x v="6"/>
    <x v="1"/>
  </r>
  <r>
    <n v="572"/>
    <d v="2020-07-25T00:00:00"/>
    <x v="0"/>
    <x v="2"/>
    <x v="0"/>
    <n v="900"/>
    <n v="1"/>
    <n v="900"/>
    <x v="6"/>
    <x v="1"/>
  </r>
  <r>
    <n v="573"/>
    <d v="2020-07-26T00:00:00"/>
    <x v="0"/>
    <x v="2"/>
    <x v="0"/>
    <n v="900"/>
    <n v="1"/>
    <n v="900"/>
    <x v="6"/>
    <x v="1"/>
  </r>
  <r>
    <n v="574"/>
    <d v="2020-07-27T00:00:00"/>
    <x v="0"/>
    <x v="2"/>
    <x v="0"/>
    <n v="900"/>
    <n v="1"/>
    <n v="900"/>
    <x v="6"/>
    <x v="1"/>
  </r>
  <r>
    <n v="575"/>
    <d v="2020-07-28T00:00:00"/>
    <x v="0"/>
    <x v="2"/>
    <x v="0"/>
    <n v="900"/>
    <n v="1"/>
    <n v="900"/>
    <x v="6"/>
    <x v="1"/>
  </r>
  <r>
    <n v="576"/>
    <d v="2020-07-29T00:00:00"/>
    <x v="0"/>
    <x v="1"/>
    <x v="0"/>
    <n v="900"/>
    <n v="1"/>
    <n v="900"/>
    <x v="6"/>
    <x v="1"/>
  </r>
  <r>
    <n v="577"/>
    <d v="2020-07-30T00:00:00"/>
    <x v="0"/>
    <x v="1"/>
    <x v="0"/>
    <n v="900"/>
    <n v="1"/>
    <n v="900"/>
    <x v="6"/>
    <x v="1"/>
  </r>
  <r>
    <n v="578"/>
    <d v="2020-07-31T00:00:00"/>
    <x v="0"/>
    <x v="1"/>
    <x v="0"/>
    <n v="900"/>
    <n v="1"/>
    <n v="900"/>
    <x v="6"/>
    <x v="1"/>
  </r>
  <r>
    <n v="579"/>
    <d v="2020-08-01T00:00:00"/>
    <x v="0"/>
    <x v="1"/>
    <x v="0"/>
    <n v="1100"/>
    <n v="1"/>
    <n v="1100"/>
    <x v="7"/>
    <x v="1"/>
  </r>
  <r>
    <n v="580"/>
    <d v="2020-08-02T00:00:00"/>
    <x v="0"/>
    <x v="1"/>
    <x v="0"/>
    <n v="1100"/>
    <n v="1"/>
    <n v="1100"/>
    <x v="7"/>
    <x v="1"/>
  </r>
  <r>
    <n v="581"/>
    <d v="2020-08-03T00:00:00"/>
    <x v="0"/>
    <x v="3"/>
    <x v="0"/>
    <n v="1000"/>
    <n v="1"/>
    <n v="1000"/>
    <x v="7"/>
    <x v="1"/>
  </r>
  <r>
    <n v="582"/>
    <d v="2020-08-04T00:00:00"/>
    <x v="0"/>
    <x v="3"/>
    <x v="0"/>
    <n v="1000"/>
    <n v="1"/>
    <n v="1000"/>
    <x v="7"/>
    <x v="1"/>
  </r>
  <r>
    <n v="583"/>
    <d v="2020-08-05T00:00:00"/>
    <x v="0"/>
    <x v="1"/>
    <x v="0"/>
    <n v="1100"/>
    <n v="1"/>
    <n v="1100"/>
    <x v="7"/>
    <x v="1"/>
  </r>
  <r>
    <n v="584"/>
    <d v="2020-08-06T00:00:00"/>
    <x v="0"/>
    <x v="3"/>
    <x v="0"/>
    <n v="1000"/>
    <n v="1"/>
    <n v="1000"/>
    <x v="7"/>
    <x v="1"/>
  </r>
  <r>
    <n v="585"/>
    <d v="2020-08-07T00:00:00"/>
    <x v="0"/>
    <x v="1"/>
    <x v="0"/>
    <n v="900"/>
    <n v="1"/>
    <n v="900"/>
    <x v="7"/>
    <x v="1"/>
  </r>
  <r>
    <n v="586"/>
    <d v="2020-08-08T00:00:00"/>
    <x v="0"/>
    <x v="1"/>
    <x v="0"/>
    <n v="900"/>
    <n v="2"/>
    <n v="1800"/>
    <x v="7"/>
    <x v="1"/>
  </r>
  <r>
    <n v="587"/>
    <d v="2020-08-09T00:00:00"/>
    <x v="0"/>
    <x v="1"/>
    <x v="0"/>
    <n v="1100"/>
    <n v="1"/>
    <n v="1100"/>
    <x v="7"/>
    <x v="1"/>
  </r>
  <r>
    <n v="588"/>
    <d v="2020-08-10T00:00:00"/>
    <x v="0"/>
    <x v="1"/>
    <x v="0"/>
    <n v="900"/>
    <n v="1"/>
    <n v="900"/>
    <x v="7"/>
    <x v="1"/>
  </r>
  <r>
    <n v="589"/>
    <d v="2020-08-11T00:00:00"/>
    <x v="0"/>
    <x v="1"/>
    <x v="0"/>
    <n v="1100"/>
    <n v="1"/>
    <n v="1100"/>
    <x v="7"/>
    <x v="1"/>
  </r>
  <r>
    <n v="590"/>
    <d v="2020-08-12T00:00:00"/>
    <x v="0"/>
    <x v="4"/>
    <x v="1"/>
    <n v="800"/>
    <n v="1"/>
    <n v="800"/>
    <x v="7"/>
    <x v="1"/>
  </r>
  <r>
    <n v="591"/>
    <d v="2020-08-13T00:00:00"/>
    <x v="0"/>
    <x v="4"/>
    <x v="1"/>
    <n v="800"/>
    <n v="2"/>
    <n v="1600"/>
    <x v="7"/>
    <x v="1"/>
  </r>
  <r>
    <n v="592"/>
    <d v="2020-08-14T00:00:00"/>
    <x v="0"/>
    <x v="2"/>
    <x v="0"/>
    <n v="900"/>
    <n v="1"/>
    <n v="900"/>
    <x v="7"/>
    <x v="1"/>
  </r>
  <r>
    <n v="593"/>
    <d v="2020-08-15T00:00:00"/>
    <x v="0"/>
    <x v="1"/>
    <x v="0"/>
    <n v="1100"/>
    <n v="1"/>
    <n v="1100"/>
    <x v="7"/>
    <x v="1"/>
  </r>
  <r>
    <n v="594"/>
    <d v="2020-08-16T00:00:00"/>
    <x v="0"/>
    <x v="4"/>
    <x v="1"/>
    <n v="800"/>
    <n v="1"/>
    <n v="800"/>
    <x v="7"/>
    <x v="1"/>
  </r>
  <r>
    <n v="595"/>
    <d v="2020-08-17T00:00:00"/>
    <x v="0"/>
    <x v="3"/>
    <x v="0"/>
    <n v="1000"/>
    <n v="1"/>
    <n v="1000"/>
    <x v="7"/>
    <x v="1"/>
  </r>
  <r>
    <n v="596"/>
    <d v="2020-08-18T00:00:00"/>
    <x v="0"/>
    <x v="4"/>
    <x v="1"/>
    <n v="800"/>
    <n v="1"/>
    <n v="800"/>
    <x v="7"/>
    <x v="1"/>
  </r>
  <r>
    <n v="597"/>
    <d v="2020-08-19T00:00:00"/>
    <x v="0"/>
    <x v="5"/>
    <x v="1"/>
    <n v="600"/>
    <n v="1"/>
    <n v="600"/>
    <x v="7"/>
    <x v="1"/>
  </r>
  <r>
    <n v="598"/>
    <d v="2020-08-20T00:00:00"/>
    <x v="0"/>
    <x v="1"/>
    <x v="0"/>
    <n v="900"/>
    <n v="1"/>
    <n v="900"/>
    <x v="7"/>
    <x v="1"/>
  </r>
  <r>
    <n v="599"/>
    <d v="2020-08-21T00:00:00"/>
    <x v="0"/>
    <x v="1"/>
    <x v="0"/>
    <n v="1100"/>
    <n v="1"/>
    <n v="1100"/>
    <x v="7"/>
    <x v="1"/>
  </r>
  <r>
    <n v="600"/>
    <d v="2020-08-22T00:00:00"/>
    <x v="0"/>
    <x v="3"/>
    <x v="0"/>
    <n v="1000"/>
    <n v="1"/>
    <n v="1000"/>
    <x v="7"/>
    <x v="1"/>
  </r>
  <r>
    <n v="601"/>
    <d v="2020-08-23T00:00:00"/>
    <x v="0"/>
    <x v="1"/>
    <x v="0"/>
    <n v="900"/>
    <n v="1"/>
    <n v="900"/>
    <x v="7"/>
    <x v="1"/>
  </r>
  <r>
    <n v="602"/>
    <d v="2020-08-24T00:00:00"/>
    <x v="0"/>
    <x v="1"/>
    <x v="0"/>
    <n v="1100"/>
    <n v="2"/>
    <n v="2200"/>
    <x v="7"/>
    <x v="1"/>
  </r>
  <r>
    <n v="603"/>
    <d v="2020-08-25T00:00:00"/>
    <x v="0"/>
    <x v="5"/>
    <x v="1"/>
    <n v="600"/>
    <n v="1"/>
    <n v="600"/>
    <x v="7"/>
    <x v="1"/>
  </r>
  <r>
    <n v="604"/>
    <d v="2020-08-26T00:00:00"/>
    <x v="0"/>
    <x v="5"/>
    <x v="1"/>
    <n v="600"/>
    <n v="1"/>
    <n v="600"/>
    <x v="7"/>
    <x v="1"/>
  </r>
  <r>
    <n v="605"/>
    <d v="2020-08-27T00:00:00"/>
    <x v="0"/>
    <x v="5"/>
    <x v="1"/>
    <n v="600"/>
    <n v="1"/>
    <n v="600"/>
    <x v="7"/>
    <x v="1"/>
  </r>
  <r>
    <n v="606"/>
    <d v="2020-08-28T00:00:00"/>
    <x v="0"/>
    <x v="1"/>
    <x v="0"/>
    <n v="900"/>
    <n v="1"/>
    <n v="900"/>
    <x v="7"/>
    <x v="1"/>
  </r>
  <r>
    <n v="607"/>
    <d v="2020-08-29T00:00:00"/>
    <x v="0"/>
    <x v="5"/>
    <x v="1"/>
    <n v="600"/>
    <n v="1"/>
    <n v="600"/>
    <x v="7"/>
    <x v="1"/>
  </r>
  <r>
    <n v="608"/>
    <d v="2020-08-30T00:00:00"/>
    <x v="0"/>
    <x v="5"/>
    <x v="1"/>
    <n v="600"/>
    <n v="1"/>
    <n v="600"/>
    <x v="7"/>
    <x v="1"/>
  </r>
  <r>
    <n v="609"/>
    <d v="2020-08-31T00:00:00"/>
    <x v="0"/>
    <x v="1"/>
    <x v="0"/>
    <n v="1100"/>
    <n v="1"/>
    <n v="1100"/>
    <x v="7"/>
    <x v="1"/>
  </r>
  <r>
    <n v="610"/>
    <d v="2020-09-01T00:00:00"/>
    <x v="0"/>
    <x v="2"/>
    <x v="0"/>
    <n v="900"/>
    <n v="3"/>
    <n v="2700"/>
    <x v="8"/>
    <x v="1"/>
  </r>
  <r>
    <n v="611"/>
    <d v="2020-09-02T00:00:00"/>
    <x v="0"/>
    <x v="1"/>
    <x v="0"/>
    <n v="1100"/>
    <n v="2"/>
    <n v="2200"/>
    <x v="8"/>
    <x v="1"/>
  </r>
  <r>
    <n v="612"/>
    <d v="2020-09-03T00:00:00"/>
    <x v="0"/>
    <x v="1"/>
    <x v="0"/>
    <n v="1100"/>
    <n v="1"/>
    <n v="1100"/>
    <x v="8"/>
    <x v="1"/>
  </r>
  <r>
    <n v="613"/>
    <d v="2020-09-04T00:00:00"/>
    <x v="0"/>
    <x v="5"/>
    <x v="1"/>
    <n v="600"/>
    <n v="1"/>
    <n v="600"/>
    <x v="8"/>
    <x v="1"/>
  </r>
  <r>
    <n v="614"/>
    <d v="2020-09-05T00:00:00"/>
    <x v="0"/>
    <x v="1"/>
    <x v="0"/>
    <n v="900"/>
    <n v="1"/>
    <n v="900"/>
    <x v="8"/>
    <x v="1"/>
  </r>
  <r>
    <n v="615"/>
    <d v="2020-09-06T00:00:00"/>
    <x v="0"/>
    <x v="5"/>
    <x v="1"/>
    <n v="600"/>
    <n v="1"/>
    <n v="600"/>
    <x v="8"/>
    <x v="1"/>
  </r>
  <r>
    <n v="616"/>
    <d v="2020-09-07T00:00:00"/>
    <x v="0"/>
    <x v="5"/>
    <x v="1"/>
    <n v="600"/>
    <n v="1"/>
    <n v="600"/>
    <x v="8"/>
    <x v="1"/>
  </r>
  <r>
    <n v="617"/>
    <d v="2020-09-08T00:00:00"/>
    <x v="0"/>
    <x v="1"/>
    <x v="0"/>
    <n v="900"/>
    <n v="3"/>
    <n v="2700"/>
    <x v="8"/>
    <x v="1"/>
  </r>
  <r>
    <n v="618"/>
    <d v="2020-09-09T00:00:00"/>
    <x v="0"/>
    <x v="5"/>
    <x v="1"/>
    <n v="600"/>
    <n v="1"/>
    <n v="600"/>
    <x v="8"/>
    <x v="1"/>
  </r>
  <r>
    <n v="619"/>
    <d v="2020-09-10T00:00:00"/>
    <x v="0"/>
    <x v="4"/>
    <x v="1"/>
    <n v="800"/>
    <n v="1"/>
    <n v="800"/>
    <x v="8"/>
    <x v="1"/>
  </r>
  <r>
    <n v="620"/>
    <d v="2020-09-11T00:00:00"/>
    <x v="0"/>
    <x v="5"/>
    <x v="1"/>
    <n v="600"/>
    <n v="1"/>
    <n v="600"/>
    <x v="8"/>
    <x v="1"/>
  </r>
  <r>
    <n v="621"/>
    <d v="2020-09-12T00:00:00"/>
    <x v="0"/>
    <x v="1"/>
    <x v="0"/>
    <n v="1100"/>
    <n v="1"/>
    <n v="1100"/>
    <x v="8"/>
    <x v="1"/>
  </r>
  <r>
    <n v="622"/>
    <d v="2020-09-13T00:00:00"/>
    <x v="0"/>
    <x v="2"/>
    <x v="0"/>
    <n v="900"/>
    <n v="1"/>
    <n v="900"/>
    <x v="8"/>
    <x v="1"/>
  </r>
  <r>
    <n v="623"/>
    <d v="2020-09-14T00:00:00"/>
    <x v="0"/>
    <x v="1"/>
    <x v="0"/>
    <n v="1100"/>
    <n v="1"/>
    <n v="1100"/>
    <x v="8"/>
    <x v="1"/>
  </r>
  <r>
    <n v="624"/>
    <d v="2020-09-15T00:00:00"/>
    <x v="0"/>
    <x v="1"/>
    <x v="0"/>
    <n v="1100"/>
    <n v="1"/>
    <n v="1100"/>
    <x v="8"/>
    <x v="1"/>
  </r>
  <r>
    <n v="625"/>
    <d v="2020-09-16T00:00:00"/>
    <x v="0"/>
    <x v="1"/>
    <x v="0"/>
    <n v="1100"/>
    <n v="1"/>
    <n v="1100"/>
    <x v="8"/>
    <x v="1"/>
  </r>
  <r>
    <n v="626"/>
    <d v="2020-09-17T00:00:00"/>
    <x v="0"/>
    <x v="3"/>
    <x v="0"/>
    <n v="1000"/>
    <n v="1"/>
    <n v="1000"/>
    <x v="8"/>
    <x v="1"/>
  </r>
  <r>
    <n v="627"/>
    <d v="2020-09-18T00:00:00"/>
    <x v="0"/>
    <x v="5"/>
    <x v="1"/>
    <n v="600"/>
    <n v="1"/>
    <n v="600"/>
    <x v="8"/>
    <x v="1"/>
  </r>
  <r>
    <n v="628"/>
    <d v="2020-09-19T00:00:00"/>
    <x v="0"/>
    <x v="4"/>
    <x v="1"/>
    <n v="800"/>
    <n v="1"/>
    <n v="800"/>
    <x v="8"/>
    <x v="1"/>
  </r>
  <r>
    <n v="629"/>
    <d v="2020-09-20T00:00:00"/>
    <x v="0"/>
    <x v="1"/>
    <x v="0"/>
    <n v="1100"/>
    <n v="1"/>
    <n v="1100"/>
    <x v="8"/>
    <x v="1"/>
  </r>
  <r>
    <n v="630"/>
    <d v="2020-09-21T00:00:00"/>
    <x v="0"/>
    <x v="5"/>
    <x v="1"/>
    <n v="600"/>
    <n v="1"/>
    <n v="600"/>
    <x v="8"/>
    <x v="1"/>
  </r>
  <r>
    <n v="631"/>
    <d v="2020-09-22T00:00:00"/>
    <x v="0"/>
    <x v="6"/>
    <x v="2"/>
    <n v="850"/>
    <n v="1"/>
    <n v="850"/>
    <x v="8"/>
    <x v="1"/>
  </r>
  <r>
    <n v="632"/>
    <d v="2020-09-23T00:00:00"/>
    <x v="0"/>
    <x v="2"/>
    <x v="0"/>
    <n v="900"/>
    <n v="1"/>
    <n v="900"/>
    <x v="8"/>
    <x v="1"/>
  </r>
  <r>
    <n v="633"/>
    <d v="2020-09-24T00:00:00"/>
    <x v="0"/>
    <x v="3"/>
    <x v="0"/>
    <n v="1000"/>
    <n v="1"/>
    <n v="1000"/>
    <x v="8"/>
    <x v="1"/>
  </r>
  <r>
    <n v="634"/>
    <d v="2020-09-25T00:00:00"/>
    <x v="0"/>
    <x v="6"/>
    <x v="2"/>
    <n v="850"/>
    <n v="1"/>
    <n v="850"/>
    <x v="8"/>
    <x v="1"/>
  </r>
  <r>
    <n v="635"/>
    <d v="2020-09-26T00:00:00"/>
    <x v="0"/>
    <x v="6"/>
    <x v="2"/>
    <n v="850"/>
    <n v="1"/>
    <n v="850"/>
    <x v="8"/>
    <x v="1"/>
  </r>
  <r>
    <n v="636"/>
    <d v="2020-09-27T00:00:00"/>
    <x v="0"/>
    <x v="3"/>
    <x v="0"/>
    <n v="1000"/>
    <n v="1"/>
    <n v="1000"/>
    <x v="8"/>
    <x v="1"/>
  </r>
  <r>
    <n v="637"/>
    <d v="2020-09-28T00:00:00"/>
    <x v="0"/>
    <x v="4"/>
    <x v="1"/>
    <n v="800"/>
    <n v="1"/>
    <n v="800"/>
    <x v="8"/>
    <x v="1"/>
  </r>
  <r>
    <n v="638"/>
    <d v="2020-09-29T00:00:00"/>
    <x v="0"/>
    <x v="1"/>
    <x v="0"/>
    <n v="1100"/>
    <n v="1"/>
    <n v="1100"/>
    <x v="8"/>
    <x v="1"/>
  </r>
  <r>
    <n v="639"/>
    <d v="2020-09-30T00:00:00"/>
    <x v="0"/>
    <x v="1"/>
    <x v="0"/>
    <n v="1100"/>
    <n v="1"/>
    <n v="1100"/>
    <x v="8"/>
    <x v="1"/>
  </r>
  <r>
    <n v="640"/>
    <d v="2020-10-01T00:00:00"/>
    <x v="0"/>
    <x v="1"/>
    <x v="0"/>
    <n v="1100"/>
    <n v="1"/>
    <n v="1100"/>
    <x v="9"/>
    <x v="1"/>
  </r>
  <r>
    <n v="641"/>
    <d v="2020-10-02T00:00:00"/>
    <x v="0"/>
    <x v="1"/>
    <x v="0"/>
    <n v="1100"/>
    <n v="1"/>
    <n v="1100"/>
    <x v="9"/>
    <x v="1"/>
  </r>
  <r>
    <n v="642"/>
    <d v="2020-10-03T00:00:00"/>
    <x v="0"/>
    <x v="1"/>
    <x v="0"/>
    <n v="1100"/>
    <n v="1"/>
    <n v="1100"/>
    <x v="9"/>
    <x v="1"/>
  </r>
  <r>
    <n v="643"/>
    <d v="2020-10-04T00:00:00"/>
    <x v="0"/>
    <x v="1"/>
    <x v="0"/>
    <n v="1100"/>
    <n v="1"/>
    <n v="1100"/>
    <x v="9"/>
    <x v="1"/>
  </r>
  <r>
    <n v="644"/>
    <d v="2020-10-05T00:00:00"/>
    <x v="0"/>
    <x v="1"/>
    <x v="0"/>
    <n v="1100"/>
    <n v="2"/>
    <n v="2200"/>
    <x v="9"/>
    <x v="1"/>
  </r>
  <r>
    <n v="645"/>
    <d v="2020-10-06T00:00:00"/>
    <x v="0"/>
    <x v="1"/>
    <x v="0"/>
    <n v="1100"/>
    <n v="1"/>
    <n v="1100"/>
    <x v="9"/>
    <x v="1"/>
  </r>
  <r>
    <n v="646"/>
    <d v="2020-10-07T00:00:00"/>
    <x v="0"/>
    <x v="1"/>
    <x v="0"/>
    <n v="1100"/>
    <n v="1"/>
    <n v="1100"/>
    <x v="9"/>
    <x v="1"/>
  </r>
  <r>
    <n v="647"/>
    <d v="2020-10-08T00:00:00"/>
    <x v="0"/>
    <x v="1"/>
    <x v="0"/>
    <n v="900"/>
    <n v="1"/>
    <n v="900"/>
    <x v="9"/>
    <x v="1"/>
  </r>
  <r>
    <n v="648"/>
    <d v="2020-10-09T00:00:00"/>
    <x v="0"/>
    <x v="1"/>
    <x v="0"/>
    <n v="900"/>
    <n v="1"/>
    <n v="900"/>
    <x v="9"/>
    <x v="1"/>
  </r>
  <r>
    <n v="649"/>
    <d v="2020-10-10T00:00:00"/>
    <x v="0"/>
    <x v="1"/>
    <x v="0"/>
    <n v="900"/>
    <n v="1"/>
    <n v="900"/>
    <x v="9"/>
    <x v="1"/>
  </r>
  <r>
    <n v="650"/>
    <d v="2020-10-11T00:00:00"/>
    <x v="0"/>
    <x v="1"/>
    <x v="0"/>
    <n v="900"/>
    <n v="2"/>
    <n v="1800"/>
    <x v="9"/>
    <x v="1"/>
  </r>
  <r>
    <n v="651"/>
    <d v="2020-10-12T00:00:00"/>
    <x v="0"/>
    <x v="1"/>
    <x v="0"/>
    <n v="900"/>
    <n v="1"/>
    <n v="900"/>
    <x v="9"/>
    <x v="1"/>
  </r>
  <r>
    <n v="652"/>
    <d v="2020-10-13T00:00:00"/>
    <x v="0"/>
    <x v="1"/>
    <x v="0"/>
    <n v="900"/>
    <n v="1"/>
    <n v="900"/>
    <x v="9"/>
    <x v="1"/>
  </r>
  <r>
    <n v="653"/>
    <d v="2020-10-14T00:00:00"/>
    <x v="0"/>
    <x v="1"/>
    <x v="0"/>
    <n v="1100"/>
    <n v="1"/>
    <n v="1100"/>
    <x v="9"/>
    <x v="1"/>
  </r>
  <r>
    <n v="654"/>
    <d v="2020-10-15T00:00:00"/>
    <x v="0"/>
    <x v="1"/>
    <x v="0"/>
    <n v="900"/>
    <n v="1"/>
    <n v="900"/>
    <x v="9"/>
    <x v="1"/>
  </r>
  <r>
    <n v="655"/>
    <d v="2020-10-16T00:00:00"/>
    <x v="0"/>
    <x v="1"/>
    <x v="0"/>
    <n v="1100"/>
    <n v="2"/>
    <n v="2200"/>
    <x v="9"/>
    <x v="1"/>
  </r>
  <r>
    <n v="656"/>
    <d v="2020-10-17T00:00:00"/>
    <x v="0"/>
    <x v="1"/>
    <x v="0"/>
    <n v="1100"/>
    <n v="1"/>
    <n v="1100"/>
    <x v="9"/>
    <x v="1"/>
  </r>
  <r>
    <n v="657"/>
    <d v="2020-10-18T00:00:00"/>
    <x v="0"/>
    <x v="1"/>
    <x v="0"/>
    <n v="900"/>
    <n v="1"/>
    <n v="900"/>
    <x v="9"/>
    <x v="1"/>
  </r>
  <r>
    <n v="658"/>
    <d v="2020-10-19T00:00:00"/>
    <x v="0"/>
    <x v="1"/>
    <x v="0"/>
    <n v="900"/>
    <n v="1"/>
    <n v="900"/>
    <x v="9"/>
    <x v="1"/>
  </r>
  <r>
    <n v="659"/>
    <d v="2020-10-20T00:00:00"/>
    <x v="0"/>
    <x v="2"/>
    <x v="0"/>
    <n v="900"/>
    <n v="1"/>
    <n v="900"/>
    <x v="9"/>
    <x v="1"/>
  </r>
  <r>
    <n v="660"/>
    <d v="2020-10-21T00:00:00"/>
    <x v="0"/>
    <x v="1"/>
    <x v="0"/>
    <n v="1100"/>
    <n v="1"/>
    <n v="1100"/>
    <x v="9"/>
    <x v="1"/>
  </r>
  <r>
    <n v="661"/>
    <d v="2020-10-22T00:00:00"/>
    <x v="0"/>
    <x v="1"/>
    <x v="0"/>
    <n v="1100"/>
    <n v="1"/>
    <n v="1100"/>
    <x v="9"/>
    <x v="1"/>
  </r>
  <r>
    <n v="662"/>
    <d v="2020-10-23T00:00:00"/>
    <x v="0"/>
    <x v="2"/>
    <x v="0"/>
    <n v="900"/>
    <n v="1"/>
    <n v="900"/>
    <x v="9"/>
    <x v="1"/>
  </r>
  <r>
    <n v="663"/>
    <d v="2020-10-24T00:00:00"/>
    <x v="0"/>
    <x v="1"/>
    <x v="0"/>
    <n v="900"/>
    <n v="1"/>
    <n v="900"/>
    <x v="9"/>
    <x v="1"/>
  </r>
  <r>
    <n v="664"/>
    <d v="2020-10-25T00:00:00"/>
    <x v="0"/>
    <x v="2"/>
    <x v="0"/>
    <n v="900"/>
    <n v="1"/>
    <n v="900"/>
    <x v="9"/>
    <x v="1"/>
  </r>
  <r>
    <n v="665"/>
    <d v="2020-10-26T00:00:00"/>
    <x v="0"/>
    <x v="1"/>
    <x v="0"/>
    <n v="1100"/>
    <n v="1"/>
    <n v="1100"/>
    <x v="9"/>
    <x v="1"/>
  </r>
  <r>
    <n v="666"/>
    <d v="2020-10-27T00:00:00"/>
    <x v="0"/>
    <x v="1"/>
    <x v="0"/>
    <n v="1100"/>
    <n v="1"/>
    <n v="1100"/>
    <x v="9"/>
    <x v="1"/>
  </r>
  <r>
    <n v="667"/>
    <d v="2020-10-28T00:00:00"/>
    <x v="0"/>
    <x v="2"/>
    <x v="0"/>
    <n v="900"/>
    <n v="1"/>
    <n v="900"/>
    <x v="9"/>
    <x v="1"/>
  </r>
  <r>
    <n v="668"/>
    <d v="2020-10-29T00:00:00"/>
    <x v="0"/>
    <x v="2"/>
    <x v="0"/>
    <n v="900"/>
    <n v="1"/>
    <n v="900"/>
    <x v="9"/>
    <x v="1"/>
  </r>
  <r>
    <n v="669"/>
    <d v="2020-10-30T00:00:00"/>
    <x v="0"/>
    <x v="2"/>
    <x v="0"/>
    <n v="900"/>
    <n v="1"/>
    <n v="900"/>
    <x v="9"/>
    <x v="1"/>
  </r>
  <r>
    <n v="670"/>
    <d v="2020-10-31T00:00:00"/>
    <x v="0"/>
    <x v="2"/>
    <x v="0"/>
    <n v="900"/>
    <n v="1"/>
    <n v="900"/>
    <x v="9"/>
    <x v="1"/>
  </r>
  <r>
    <n v="671"/>
    <d v="2020-11-01T00:00:00"/>
    <x v="0"/>
    <x v="2"/>
    <x v="0"/>
    <n v="900"/>
    <n v="1"/>
    <n v="900"/>
    <x v="10"/>
    <x v="1"/>
  </r>
  <r>
    <n v="672"/>
    <d v="2020-11-02T00:00:00"/>
    <x v="0"/>
    <x v="1"/>
    <x v="0"/>
    <n v="900"/>
    <n v="1"/>
    <n v="900"/>
    <x v="10"/>
    <x v="1"/>
  </r>
  <r>
    <n v="673"/>
    <d v="2020-11-03T00:00:00"/>
    <x v="0"/>
    <x v="1"/>
    <x v="0"/>
    <n v="900"/>
    <n v="1"/>
    <n v="900"/>
    <x v="10"/>
    <x v="1"/>
  </r>
  <r>
    <n v="674"/>
    <d v="2020-11-04T00:00:00"/>
    <x v="0"/>
    <x v="1"/>
    <x v="0"/>
    <n v="900"/>
    <n v="1"/>
    <n v="900"/>
    <x v="10"/>
    <x v="1"/>
  </r>
  <r>
    <n v="675"/>
    <d v="2020-11-05T00:00:00"/>
    <x v="0"/>
    <x v="1"/>
    <x v="0"/>
    <n v="1100"/>
    <n v="1"/>
    <n v="1100"/>
    <x v="10"/>
    <x v="1"/>
  </r>
  <r>
    <n v="676"/>
    <d v="2020-11-06T00:00:00"/>
    <x v="0"/>
    <x v="1"/>
    <x v="0"/>
    <n v="1100"/>
    <n v="1"/>
    <n v="1100"/>
    <x v="10"/>
    <x v="1"/>
  </r>
  <r>
    <n v="677"/>
    <d v="2020-11-07T00:00:00"/>
    <x v="0"/>
    <x v="3"/>
    <x v="0"/>
    <n v="1000"/>
    <n v="1"/>
    <n v="1000"/>
    <x v="10"/>
    <x v="1"/>
  </r>
  <r>
    <n v="678"/>
    <d v="2020-11-08T00:00:00"/>
    <x v="0"/>
    <x v="3"/>
    <x v="0"/>
    <n v="1000"/>
    <n v="1"/>
    <n v="1000"/>
    <x v="10"/>
    <x v="1"/>
  </r>
  <r>
    <n v="679"/>
    <d v="2020-11-09T00:00:00"/>
    <x v="0"/>
    <x v="1"/>
    <x v="0"/>
    <n v="1100"/>
    <n v="1"/>
    <n v="1100"/>
    <x v="10"/>
    <x v="1"/>
  </r>
  <r>
    <n v="680"/>
    <d v="2020-11-10T00:00:00"/>
    <x v="0"/>
    <x v="3"/>
    <x v="0"/>
    <n v="1000"/>
    <n v="1"/>
    <n v="1000"/>
    <x v="10"/>
    <x v="1"/>
  </r>
  <r>
    <n v="681"/>
    <d v="2020-11-11T00:00:00"/>
    <x v="0"/>
    <x v="1"/>
    <x v="0"/>
    <n v="900"/>
    <n v="1"/>
    <n v="900"/>
    <x v="10"/>
    <x v="1"/>
  </r>
  <r>
    <n v="682"/>
    <d v="2020-11-12T00:00:00"/>
    <x v="0"/>
    <x v="1"/>
    <x v="0"/>
    <n v="900"/>
    <n v="2"/>
    <n v="1800"/>
    <x v="10"/>
    <x v="1"/>
  </r>
  <r>
    <n v="683"/>
    <d v="2020-11-13T00:00:00"/>
    <x v="0"/>
    <x v="1"/>
    <x v="0"/>
    <n v="1100"/>
    <n v="1"/>
    <n v="1100"/>
    <x v="10"/>
    <x v="1"/>
  </r>
  <r>
    <n v="684"/>
    <d v="2020-11-14T00:00:00"/>
    <x v="0"/>
    <x v="1"/>
    <x v="0"/>
    <n v="900"/>
    <n v="1"/>
    <n v="900"/>
    <x v="10"/>
    <x v="1"/>
  </r>
  <r>
    <n v="685"/>
    <d v="2020-11-15T00:00:00"/>
    <x v="0"/>
    <x v="1"/>
    <x v="0"/>
    <n v="1100"/>
    <n v="1"/>
    <n v="1100"/>
    <x v="10"/>
    <x v="1"/>
  </r>
  <r>
    <n v="686"/>
    <d v="2020-11-16T00:00:00"/>
    <x v="0"/>
    <x v="4"/>
    <x v="1"/>
    <n v="800"/>
    <n v="1"/>
    <n v="800"/>
    <x v="10"/>
    <x v="1"/>
  </r>
  <r>
    <n v="687"/>
    <d v="2020-11-17T00:00:00"/>
    <x v="0"/>
    <x v="4"/>
    <x v="1"/>
    <n v="800"/>
    <n v="2"/>
    <n v="1600"/>
    <x v="10"/>
    <x v="1"/>
  </r>
  <r>
    <n v="688"/>
    <d v="2020-11-18T00:00:00"/>
    <x v="0"/>
    <x v="2"/>
    <x v="0"/>
    <n v="900"/>
    <n v="1"/>
    <n v="900"/>
    <x v="10"/>
    <x v="1"/>
  </r>
  <r>
    <n v="689"/>
    <d v="2020-11-19T00:00:00"/>
    <x v="0"/>
    <x v="1"/>
    <x v="0"/>
    <n v="1100"/>
    <n v="1"/>
    <n v="1100"/>
    <x v="10"/>
    <x v="1"/>
  </r>
  <r>
    <n v="690"/>
    <d v="2020-11-20T00:00:00"/>
    <x v="0"/>
    <x v="4"/>
    <x v="1"/>
    <n v="800"/>
    <n v="1"/>
    <n v="800"/>
    <x v="10"/>
    <x v="1"/>
  </r>
  <r>
    <n v="691"/>
    <d v="2020-11-21T00:00:00"/>
    <x v="0"/>
    <x v="3"/>
    <x v="0"/>
    <n v="1000"/>
    <n v="1"/>
    <n v="1000"/>
    <x v="10"/>
    <x v="1"/>
  </r>
  <r>
    <n v="692"/>
    <d v="2020-11-22T00:00:00"/>
    <x v="0"/>
    <x v="4"/>
    <x v="1"/>
    <n v="800"/>
    <n v="1"/>
    <n v="800"/>
    <x v="10"/>
    <x v="1"/>
  </r>
  <r>
    <n v="693"/>
    <d v="2020-11-23T00:00:00"/>
    <x v="0"/>
    <x v="5"/>
    <x v="1"/>
    <n v="600"/>
    <n v="1"/>
    <n v="600"/>
    <x v="10"/>
    <x v="1"/>
  </r>
  <r>
    <n v="694"/>
    <d v="2020-11-24T00:00:00"/>
    <x v="0"/>
    <x v="1"/>
    <x v="0"/>
    <n v="900"/>
    <n v="1"/>
    <n v="900"/>
    <x v="10"/>
    <x v="1"/>
  </r>
  <r>
    <n v="695"/>
    <d v="2020-11-25T00:00:00"/>
    <x v="0"/>
    <x v="1"/>
    <x v="0"/>
    <n v="1100"/>
    <n v="1"/>
    <n v="1100"/>
    <x v="10"/>
    <x v="1"/>
  </r>
  <r>
    <n v="696"/>
    <d v="2020-11-26T00:00:00"/>
    <x v="0"/>
    <x v="3"/>
    <x v="0"/>
    <n v="1000"/>
    <n v="1"/>
    <n v="1000"/>
    <x v="10"/>
    <x v="1"/>
  </r>
  <r>
    <n v="697"/>
    <d v="2020-11-27T00:00:00"/>
    <x v="0"/>
    <x v="1"/>
    <x v="0"/>
    <n v="900"/>
    <n v="1"/>
    <n v="900"/>
    <x v="10"/>
    <x v="1"/>
  </r>
  <r>
    <n v="698"/>
    <d v="2020-11-28T00:00:00"/>
    <x v="0"/>
    <x v="1"/>
    <x v="0"/>
    <n v="1100"/>
    <n v="2"/>
    <n v="2200"/>
    <x v="10"/>
    <x v="1"/>
  </r>
  <r>
    <n v="699"/>
    <d v="2020-11-29T00:00:00"/>
    <x v="0"/>
    <x v="5"/>
    <x v="1"/>
    <n v="600"/>
    <n v="1"/>
    <n v="600"/>
    <x v="10"/>
    <x v="1"/>
  </r>
  <r>
    <n v="700"/>
    <d v="2020-11-30T00:00:00"/>
    <x v="0"/>
    <x v="5"/>
    <x v="1"/>
    <n v="600"/>
    <n v="1"/>
    <n v="600"/>
    <x v="10"/>
    <x v="1"/>
  </r>
  <r>
    <n v="701"/>
    <d v="2020-12-01T00:00:00"/>
    <x v="0"/>
    <x v="5"/>
    <x v="1"/>
    <n v="600"/>
    <n v="1"/>
    <n v="600"/>
    <x v="11"/>
    <x v="1"/>
  </r>
  <r>
    <n v="702"/>
    <d v="2020-12-02T00:00:00"/>
    <x v="0"/>
    <x v="1"/>
    <x v="0"/>
    <n v="900"/>
    <n v="1"/>
    <n v="900"/>
    <x v="11"/>
    <x v="1"/>
  </r>
  <r>
    <n v="703"/>
    <d v="2020-12-03T00:00:00"/>
    <x v="0"/>
    <x v="5"/>
    <x v="1"/>
    <n v="600"/>
    <n v="1"/>
    <n v="600"/>
    <x v="11"/>
    <x v="1"/>
  </r>
  <r>
    <n v="704"/>
    <d v="2020-12-04T00:00:00"/>
    <x v="0"/>
    <x v="5"/>
    <x v="1"/>
    <n v="600"/>
    <n v="1"/>
    <n v="600"/>
    <x v="11"/>
    <x v="1"/>
  </r>
  <r>
    <n v="705"/>
    <d v="2020-12-05T00:00:00"/>
    <x v="0"/>
    <x v="1"/>
    <x v="0"/>
    <n v="1100"/>
    <n v="1"/>
    <n v="1100"/>
    <x v="11"/>
    <x v="1"/>
  </r>
  <r>
    <n v="706"/>
    <d v="2020-12-06T00:00:00"/>
    <x v="0"/>
    <x v="2"/>
    <x v="0"/>
    <n v="900"/>
    <n v="3"/>
    <n v="2700"/>
    <x v="11"/>
    <x v="1"/>
  </r>
  <r>
    <n v="707"/>
    <d v="2020-12-07T00:00:00"/>
    <x v="0"/>
    <x v="0"/>
    <x v="0"/>
    <n v="1100"/>
    <n v="2"/>
    <n v="2200"/>
    <x v="11"/>
    <x v="1"/>
  </r>
  <r>
    <n v="708"/>
    <d v="2020-12-08T00:00:00"/>
    <x v="0"/>
    <x v="0"/>
    <x v="0"/>
    <n v="1100"/>
    <n v="1"/>
    <n v="1100"/>
    <x v="11"/>
    <x v="1"/>
  </r>
  <r>
    <n v="709"/>
    <d v="2020-12-09T00:00:00"/>
    <x v="0"/>
    <x v="5"/>
    <x v="1"/>
    <n v="600"/>
    <n v="1"/>
    <n v="600"/>
    <x v="11"/>
    <x v="1"/>
  </r>
  <r>
    <n v="710"/>
    <d v="2020-12-10T00:00:00"/>
    <x v="0"/>
    <x v="1"/>
    <x v="0"/>
    <n v="900"/>
    <n v="1"/>
    <n v="900"/>
    <x v="11"/>
    <x v="1"/>
  </r>
  <r>
    <n v="711"/>
    <d v="2020-12-11T00:00:00"/>
    <x v="0"/>
    <x v="5"/>
    <x v="1"/>
    <n v="600"/>
    <n v="1"/>
    <n v="600"/>
    <x v="11"/>
    <x v="1"/>
  </r>
  <r>
    <n v="712"/>
    <d v="2020-12-12T00:00:00"/>
    <x v="0"/>
    <x v="5"/>
    <x v="1"/>
    <n v="600"/>
    <n v="1"/>
    <n v="600"/>
    <x v="11"/>
    <x v="1"/>
  </r>
  <r>
    <n v="713"/>
    <d v="2020-12-13T00:00:00"/>
    <x v="1"/>
    <x v="1"/>
    <x v="0"/>
    <n v="900"/>
    <n v="3"/>
    <n v="2700"/>
    <x v="11"/>
    <x v="1"/>
  </r>
  <r>
    <n v="714"/>
    <d v="2020-12-14T00:00:00"/>
    <x v="1"/>
    <x v="5"/>
    <x v="1"/>
    <n v="600"/>
    <n v="1"/>
    <n v="600"/>
    <x v="11"/>
    <x v="1"/>
  </r>
  <r>
    <n v="715"/>
    <d v="2020-12-15T00:00:00"/>
    <x v="1"/>
    <x v="4"/>
    <x v="1"/>
    <n v="800"/>
    <n v="1"/>
    <n v="800"/>
    <x v="11"/>
    <x v="1"/>
  </r>
  <r>
    <n v="716"/>
    <d v="2020-12-16T00:00:00"/>
    <x v="1"/>
    <x v="5"/>
    <x v="1"/>
    <n v="600"/>
    <n v="1"/>
    <n v="600"/>
    <x v="11"/>
    <x v="1"/>
  </r>
  <r>
    <n v="717"/>
    <d v="2020-12-17T00:00:00"/>
    <x v="1"/>
    <x v="0"/>
    <x v="0"/>
    <n v="1100"/>
    <n v="1"/>
    <n v="1100"/>
    <x v="11"/>
    <x v="1"/>
  </r>
  <r>
    <n v="718"/>
    <d v="2020-12-18T00:00:00"/>
    <x v="1"/>
    <x v="2"/>
    <x v="0"/>
    <n v="900"/>
    <n v="1"/>
    <n v="900"/>
    <x v="11"/>
    <x v="1"/>
  </r>
  <r>
    <n v="719"/>
    <d v="2020-12-19T00:00:00"/>
    <x v="1"/>
    <x v="0"/>
    <x v="0"/>
    <n v="1100"/>
    <n v="1"/>
    <n v="1100"/>
    <x v="11"/>
    <x v="1"/>
  </r>
  <r>
    <n v="720"/>
    <d v="2020-12-20T00:00:00"/>
    <x v="1"/>
    <x v="0"/>
    <x v="0"/>
    <n v="1100"/>
    <n v="1"/>
    <n v="1100"/>
    <x v="11"/>
    <x v="1"/>
  </r>
  <r>
    <n v="721"/>
    <d v="2020-12-21T00:00:00"/>
    <x v="1"/>
    <x v="0"/>
    <x v="0"/>
    <n v="1100"/>
    <n v="1"/>
    <n v="1100"/>
    <x v="11"/>
    <x v="1"/>
  </r>
  <r>
    <n v="722"/>
    <d v="2020-12-22T00:00:00"/>
    <x v="0"/>
    <x v="3"/>
    <x v="0"/>
    <n v="1000"/>
    <n v="1"/>
    <n v="1000"/>
    <x v="11"/>
    <x v="1"/>
  </r>
  <r>
    <n v="723"/>
    <d v="2020-12-23T00:00:00"/>
    <x v="0"/>
    <x v="5"/>
    <x v="1"/>
    <n v="600"/>
    <n v="1"/>
    <n v="600"/>
    <x v="11"/>
    <x v="1"/>
  </r>
  <r>
    <n v="724"/>
    <d v="2020-12-24T00:00:00"/>
    <x v="0"/>
    <x v="4"/>
    <x v="1"/>
    <n v="800"/>
    <n v="1"/>
    <n v="800"/>
    <x v="11"/>
    <x v="1"/>
  </r>
  <r>
    <n v="725"/>
    <d v="2020-12-25T00:00:00"/>
    <x v="0"/>
    <x v="0"/>
    <x v="0"/>
    <n v="1100"/>
    <n v="1"/>
    <n v="1100"/>
    <x v="11"/>
    <x v="1"/>
  </r>
  <r>
    <n v="726"/>
    <d v="2020-12-26T00:00:00"/>
    <x v="0"/>
    <x v="5"/>
    <x v="1"/>
    <n v="600"/>
    <n v="1"/>
    <n v="600"/>
    <x v="11"/>
    <x v="1"/>
  </r>
  <r>
    <n v="727"/>
    <d v="2020-12-27T00:00:00"/>
    <x v="0"/>
    <x v="6"/>
    <x v="2"/>
    <n v="850"/>
    <n v="1"/>
    <n v="850"/>
    <x v="11"/>
    <x v="1"/>
  </r>
  <r>
    <n v="728"/>
    <d v="2020-12-28T00:00:00"/>
    <x v="0"/>
    <x v="2"/>
    <x v="0"/>
    <n v="900"/>
    <n v="1"/>
    <n v="900"/>
    <x v="11"/>
    <x v="1"/>
  </r>
  <r>
    <n v="729"/>
    <d v="2020-12-29T00:00:00"/>
    <x v="0"/>
    <x v="3"/>
    <x v="0"/>
    <n v="1000"/>
    <n v="1"/>
    <n v="1000"/>
    <x v="11"/>
    <x v="1"/>
  </r>
  <r>
    <n v="730"/>
    <d v="2020-12-30T00:00:00"/>
    <x v="0"/>
    <x v="6"/>
    <x v="2"/>
    <n v="850"/>
    <n v="1"/>
    <n v="850"/>
    <x v="11"/>
    <x v="1"/>
  </r>
  <r>
    <n v="731"/>
    <d v="2020-12-31T00:00:00"/>
    <x v="0"/>
    <x v="6"/>
    <x v="2"/>
    <n v="850"/>
    <n v="1"/>
    <n v="850"/>
    <x v="11"/>
    <x v="1"/>
  </r>
  <r>
    <n v="732"/>
    <d v="2021-01-01T00:00:00"/>
    <x v="0"/>
    <x v="3"/>
    <x v="0"/>
    <n v="1000"/>
    <n v="1"/>
    <n v="1000"/>
    <x v="0"/>
    <x v="2"/>
  </r>
  <r>
    <n v="733"/>
    <d v="2021-01-02T00:00:00"/>
    <x v="0"/>
    <x v="4"/>
    <x v="1"/>
    <n v="800"/>
    <n v="1"/>
    <n v="800"/>
    <x v="0"/>
    <x v="2"/>
  </r>
  <r>
    <n v="734"/>
    <d v="2021-01-03T00:00:00"/>
    <x v="0"/>
    <x v="5"/>
    <x v="1"/>
    <n v="600"/>
    <n v="1"/>
    <n v="600"/>
    <x v="0"/>
    <x v="2"/>
  </r>
  <r>
    <n v="735"/>
    <d v="2021-01-04T00:00:00"/>
    <x v="0"/>
    <x v="4"/>
    <x v="1"/>
    <n v="800"/>
    <n v="1"/>
    <n v="800"/>
    <x v="0"/>
    <x v="2"/>
  </r>
  <r>
    <n v="736"/>
    <d v="2021-01-05T00:00:00"/>
    <x v="0"/>
    <x v="0"/>
    <x v="0"/>
    <n v="1100"/>
    <n v="1"/>
    <n v="1100"/>
    <x v="0"/>
    <x v="2"/>
  </r>
  <r>
    <n v="737"/>
    <d v="2021-01-06T00:00:00"/>
    <x v="0"/>
    <x v="6"/>
    <x v="2"/>
    <n v="850"/>
    <n v="1"/>
    <n v="850"/>
    <x v="0"/>
    <x v="2"/>
  </r>
  <r>
    <n v="738"/>
    <d v="2021-01-07T00:00:00"/>
    <x v="0"/>
    <x v="6"/>
    <x v="2"/>
    <n v="850"/>
    <n v="1"/>
    <n v="850"/>
    <x v="0"/>
    <x v="2"/>
  </r>
  <r>
    <n v="739"/>
    <d v="2021-01-08T00:00:00"/>
    <x v="0"/>
    <x v="6"/>
    <x v="2"/>
    <n v="850"/>
    <n v="1"/>
    <n v="850"/>
    <x v="0"/>
    <x v="2"/>
  </r>
  <r>
    <n v="740"/>
    <d v="2021-01-09T00:00:00"/>
    <x v="0"/>
    <x v="5"/>
    <x v="1"/>
    <n v="600"/>
    <n v="1"/>
    <n v="600"/>
    <x v="0"/>
    <x v="2"/>
  </r>
  <r>
    <n v="741"/>
    <d v="2021-01-10T00:00:00"/>
    <x v="0"/>
    <x v="6"/>
    <x v="2"/>
    <n v="850"/>
    <n v="1"/>
    <n v="850"/>
    <x v="0"/>
    <x v="2"/>
  </r>
  <r>
    <n v="742"/>
    <d v="2021-01-11T00:00:00"/>
    <x v="0"/>
    <x v="6"/>
    <x v="2"/>
    <n v="850"/>
    <n v="1"/>
    <n v="850"/>
    <x v="0"/>
    <x v="2"/>
  </r>
  <r>
    <n v="743"/>
    <d v="2021-01-12T00:00:00"/>
    <x v="0"/>
    <x v="0"/>
    <x v="0"/>
    <n v="1100"/>
    <n v="1"/>
    <n v="1100"/>
    <x v="0"/>
    <x v="2"/>
  </r>
  <r>
    <n v="744"/>
    <d v="2021-01-13T00:00:00"/>
    <x v="0"/>
    <x v="3"/>
    <x v="0"/>
    <n v="1000"/>
    <n v="1"/>
    <n v="1000"/>
    <x v="0"/>
    <x v="2"/>
  </r>
  <r>
    <n v="745"/>
    <d v="2021-01-14T00:00:00"/>
    <x v="0"/>
    <x v="0"/>
    <x v="0"/>
    <n v="1100"/>
    <n v="1"/>
    <n v="1100"/>
    <x v="0"/>
    <x v="2"/>
  </r>
  <r>
    <n v="746"/>
    <d v="2021-01-15T00:00:00"/>
    <x v="0"/>
    <x v="5"/>
    <x v="1"/>
    <n v="600"/>
    <n v="1"/>
    <n v="600"/>
    <x v="0"/>
    <x v="2"/>
  </r>
  <r>
    <n v="747"/>
    <d v="2021-01-16T00:00:00"/>
    <x v="0"/>
    <x v="5"/>
    <x v="1"/>
    <n v="600"/>
    <n v="2"/>
    <n v="1200"/>
    <x v="0"/>
    <x v="2"/>
  </r>
  <r>
    <n v="748"/>
    <d v="2021-01-17T00:00:00"/>
    <x v="0"/>
    <x v="5"/>
    <x v="1"/>
    <n v="600"/>
    <n v="1"/>
    <n v="600"/>
    <x v="0"/>
    <x v="2"/>
  </r>
  <r>
    <n v="749"/>
    <d v="2021-01-18T00:00:00"/>
    <x v="0"/>
    <x v="5"/>
    <x v="1"/>
    <n v="600"/>
    <n v="1"/>
    <n v="600"/>
    <x v="0"/>
    <x v="2"/>
  </r>
  <r>
    <n v="750"/>
    <d v="2021-01-19T00:00:00"/>
    <x v="0"/>
    <x v="0"/>
    <x v="0"/>
    <n v="1100"/>
    <n v="1"/>
    <n v="1100"/>
    <x v="0"/>
    <x v="2"/>
  </r>
  <r>
    <n v="751"/>
    <d v="2021-01-20T00:00:00"/>
    <x v="0"/>
    <x v="2"/>
    <x v="0"/>
    <n v="900"/>
    <n v="1"/>
    <n v="900"/>
    <x v="0"/>
    <x v="2"/>
  </r>
  <r>
    <n v="752"/>
    <d v="2021-01-21T00:00:00"/>
    <x v="0"/>
    <x v="5"/>
    <x v="1"/>
    <n v="600"/>
    <n v="1"/>
    <n v="600"/>
    <x v="0"/>
    <x v="2"/>
  </r>
  <r>
    <n v="753"/>
    <d v="2021-01-22T00:00:00"/>
    <x v="0"/>
    <x v="2"/>
    <x v="0"/>
    <n v="900"/>
    <n v="1"/>
    <n v="900"/>
    <x v="0"/>
    <x v="2"/>
  </r>
  <r>
    <n v="754"/>
    <d v="2021-01-23T00:00:00"/>
    <x v="0"/>
    <x v="1"/>
    <x v="0"/>
    <n v="900"/>
    <n v="1"/>
    <n v="900"/>
    <x v="0"/>
    <x v="2"/>
  </r>
  <r>
    <n v="755"/>
    <d v="2021-01-24T00:00:00"/>
    <x v="0"/>
    <x v="5"/>
    <x v="1"/>
    <n v="600"/>
    <n v="1"/>
    <n v="600"/>
    <x v="0"/>
    <x v="2"/>
  </r>
  <r>
    <n v="756"/>
    <d v="2021-01-25T00:00:00"/>
    <x v="0"/>
    <x v="5"/>
    <x v="1"/>
    <n v="600"/>
    <n v="1"/>
    <n v="600"/>
    <x v="0"/>
    <x v="2"/>
  </r>
  <r>
    <n v="757"/>
    <d v="2021-01-26T00:00:00"/>
    <x v="0"/>
    <x v="5"/>
    <x v="1"/>
    <n v="600"/>
    <n v="1"/>
    <n v="600"/>
    <x v="0"/>
    <x v="2"/>
  </r>
  <r>
    <n v="758"/>
    <d v="2021-01-27T00:00:00"/>
    <x v="0"/>
    <x v="0"/>
    <x v="0"/>
    <n v="1100"/>
    <n v="1"/>
    <n v="1100"/>
    <x v="0"/>
    <x v="2"/>
  </r>
  <r>
    <n v="759"/>
    <d v="2021-01-28T00:00:00"/>
    <x v="0"/>
    <x v="5"/>
    <x v="1"/>
    <n v="600"/>
    <n v="1"/>
    <n v="600"/>
    <x v="0"/>
    <x v="2"/>
  </r>
  <r>
    <n v="760"/>
    <d v="2021-01-29T00:00:00"/>
    <x v="0"/>
    <x v="5"/>
    <x v="1"/>
    <n v="600"/>
    <n v="1"/>
    <n v="600"/>
    <x v="0"/>
    <x v="2"/>
  </r>
  <r>
    <n v="761"/>
    <d v="2021-01-30T00:00:00"/>
    <x v="0"/>
    <x v="5"/>
    <x v="1"/>
    <n v="600"/>
    <n v="1"/>
    <n v="600"/>
    <x v="0"/>
    <x v="2"/>
  </r>
  <r>
    <n v="762"/>
    <d v="2021-01-31T00:00:00"/>
    <x v="0"/>
    <x v="1"/>
    <x v="0"/>
    <n v="900"/>
    <n v="1"/>
    <n v="900"/>
    <x v="0"/>
    <x v="2"/>
  </r>
  <r>
    <n v="763"/>
    <d v="2021-02-01T00:00:00"/>
    <x v="0"/>
    <x v="5"/>
    <x v="1"/>
    <n v="600"/>
    <n v="1"/>
    <n v="600"/>
    <x v="1"/>
    <x v="2"/>
  </r>
  <r>
    <n v="764"/>
    <d v="2021-02-02T00:00:00"/>
    <x v="0"/>
    <x v="2"/>
    <x v="0"/>
    <n v="900"/>
    <n v="1"/>
    <n v="900"/>
    <x v="1"/>
    <x v="2"/>
  </r>
  <r>
    <n v="765"/>
    <d v="2021-02-03T00:00:00"/>
    <x v="0"/>
    <x v="7"/>
    <x v="2"/>
    <n v="1200"/>
    <n v="1"/>
    <n v="1200"/>
    <x v="1"/>
    <x v="2"/>
  </r>
  <r>
    <n v="766"/>
    <d v="2021-02-04T00:00:00"/>
    <x v="0"/>
    <x v="0"/>
    <x v="0"/>
    <n v="1100"/>
    <n v="1"/>
    <n v="1100"/>
    <x v="1"/>
    <x v="2"/>
  </r>
  <r>
    <n v="767"/>
    <d v="2021-02-05T00:00:00"/>
    <x v="0"/>
    <x v="0"/>
    <x v="0"/>
    <n v="1100"/>
    <n v="1"/>
    <n v="1100"/>
    <x v="1"/>
    <x v="2"/>
  </r>
  <r>
    <n v="768"/>
    <d v="2021-02-06T00:00:00"/>
    <x v="0"/>
    <x v="5"/>
    <x v="1"/>
    <n v="600"/>
    <n v="1"/>
    <n v="600"/>
    <x v="1"/>
    <x v="2"/>
  </r>
  <r>
    <n v="769"/>
    <d v="2021-02-07T00:00:00"/>
    <x v="0"/>
    <x v="5"/>
    <x v="1"/>
    <n v="600"/>
    <n v="2"/>
    <n v="1200"/>
    <x v="1"/>
    <x v="2"/>
  </r>
  <r>
    <n v="770"/>
    <d v="2021-02-08T00:00:00"/>
    <x v="0"/>
    <x v="7"/>
    <x v="2"/>
    <n v="1200"/>
    <n v="1"/>
    <n v="1200"/>
    <x v="1"/>
    <x v="2"/>
  </r>
  <r>
    <n v="771"/>
    <d v="2021-02-09T00:00:00"/>
    <x v="0"/>
    <x v="7"/>
    <x v="2"/>
    <n v="1200"/>
    <n v="1"/>
    <n v="1200"/>
    <x v="1"/>
    <x v="2"/>
  </r>
  <r>
    <n v="772"/>
    <d v="2021-02-10T00:00:00"/>
    <x v="0"/>
    <x v="3"/>
    <x v="0"/>
    <n v="1000"/>
    <n v="1"/>
    <n v="1000"/>
    <x v="1"/>
    <x v="2"/>
  </r>
  <r>
    <n v="773"/>
    <d v="2021-02-11T00:00:00"/>
    <x v="0"/>
    <x v="4"/>
    <x v="1"/>
    <n v="800"/>
    <n v="2"/>
    <n v="1600"/>
    <x v="1"/>
    <x v="2"/>
  </r>
  <r>
    <n v="774"/>
    <d v="2021-02-12T00:00:00"/>
    <x v="0"/>
    <x v="7"/>
    <x v="2"/>
    <n v="1200"/>
    <n v="1"/>
    <n v="1200"/>
    <x v="1"/>
    <x v="2"/>
  </r>
  <r>
    <n v="775"/>
    <d v="2021-02-13T00:00:00"/>
    <x v="0"/>
    <x v="2"/>
    <x v="0"/>
    <n v="900"/>
    <n v="1"/>
    <n v="900"/>
    <x v="1"/>
    <x v="2"/>
  </r>
  <r>
    <n v="776"/>
    <d v="2021-02-14T00:00:00"/>
    <x v="0"/>
    <x v="3"/>
    <x v="0"/>
    <n v="1000"/>
    <n v="1"/>
    <n v="1000"/>
    <x v="1"/>
    <x v="2"/>
  </r>
  <r>
    <n v="777"/>
    <d v="2021-02-15T00:00:00"/>
    <x v="0"/>
    <x v="4"/>
    <x v="1"/>
    <n v="800"/>
    <n v="1"/>
    <n v="800"/>
    <x v="1"/>
    <x v="2"/>
  </r>
  <r>
    <n v="778"/>
    <d v="2021-02-16T00:00:00"/>
    <x v="0"/>
    <x v="7"/>
    <x v="2"/>
    <n v="1200"/>
    <n v="1"/>
    <n v="1200"/>
    <x v="1"/>
    <x v="2"/>
  </r>
  <r>
    <n v="779"/>
    <d v="2021-02-17T00:00:00"/>
    <x v="0"/>
    <x v="7"/>
    <x v="2"/>
    <n v="1200"/>
    <n v="1"/>
    <n v="1200"/>
    <x v="1"/>
    <x v="2"/>
  </r>
  <r>
    <n v="780"/>
    <d v="2021-02-18T00:00:00"/>
    <x v="0"/>
    <x v="4"/>
    <x v="1"/>
    <n v="800"/>
    <n v="2"/>
    <n v="1600"/>
    <x v="1"/>
    <x v="2"/>
  </r>
  <r>
    <n v="781"/>
    <d v="2021-02-19T00:00:00"/>
    <x v="0"/>
    <x v="1"/>
    <x v="0"/>
    <n v="900"/>
    <n v="1"/>
    <n v="900"/>
    <x v="1"/>
    <x v="2"/>
  </r>
  <r>
    <n v="782"/>
    <d v="2021-02-20T00:00:00"/>
    <x v="0"/>
    <x v="3"/>
    <x v="0"/>
    <n v="1000"/>
    <n v="1"/>
    <n v="1000"/>
    <x v="1"/>
    <x v="2"/>
  </r>
  <r>
    <n v="783"/>
    <d v="2021-02-21T00:00:00"/>
    <x v="0"/>
    <x v="3"/>
    <x v="0"/>
    <n v="1000"/>
    <n v="1"/>
    <n v="1000"/>
    <x v="1"/>
    <x v="2"/>
  </r>
  <r>
    <n v="784"/>
    <d v="2021-02-22T00:00:00"/>
    <x v="0"/>
    <x v="5"/>
    <x v="1"/>
    <n v="600"/>
    <n v="1"/>
    <n v="600"/>
    <x v="1"/>
    <x v="2"/>
  </r>
  <r>
    <n v="785"/>
    <d v="2021-02-23T00:00:00"/>
    <x v="0"/>
    <x v="6"/>
    <x v="2"/>
    <n v="850"/>
    <n v="1"/>
    <n v="850"/>
    <x v="1"/>
    <x v="2"/>
  </r>
  <r>
    <n v="786"/>
    <d v="2021-02-24T00:00:00"/>
    <x v="0"/>
    <x v="5"/>
    <x v="1"/>
    <n v="600"/>
    <n v="1"/>
    <n v="600"/>
    <x v="1"/>
    <x v="2"/>
  </r>
  <r>
    <n v="787"/>
    <d v="2021-02-25T00:00:00"/>
    <x v="0"/>
    <x v="6"/>
    <x v="2"/>
    <n v="850"/>
    <n v="1"/>
    <n v="850"/>
    <x v="1"/>
    <x v="2"/>
  </r>
  <r>
    <n v="788"/>
    <d v="2021-02-26T00:00:00"/>
    <x v="0"/>
    <x v="6"/>
    <x v="2"/>
    <n v="850"/>
    <n v="1"/>
    <n v="850"/>
    <x v="1"/>
    <x v="2"/>
  </r>
  <r>
    <n v="789"/>
    <d v="2021-02-27T00:00:00"/>
    <x v="0"/>
    <x v="1"/>
    <x v="0"/>
    <n v="900"/>
    <n v="1"/>
    <n v="900"/>
    <x v="1"/>
    <x v="2"/>
  </r>
  <r>
    <n v="790"/>
    <d v="2021-02-28T00:00:00"/>
    <x v="0"/>
    <x v="7"/>
    <x v="2"/>
    <n v="1200"/>
    <n v="2"/>
    <n v="2400"/>
    <x v="1"/>
    <x v="2"/>
  </r>
  <r>
    <n v="791"/>
    <d v="2021-03-01T00:00:00"/>
    <x v="0"/>
    <x v="4"/>
    <x v="1"/>
    <n v="800"/>
    <n v="1"/>
    <n v="800"/>
    <x v="2"/>
    <x v="2"/>
  </r>
  <r>
    <n v="792"/>
    <d v="2021-03-02T00:00:00"/>
    <x v="0"/>
    <x v="4"/>
    <x v="1"/>
    <n v="800"/>
    <n v="1"/>
    <n v="800"/>
    <x v="2"/>
    <x v="2"/>
  </r>
  <r>
    <n v="793"/>
    <d v="2021-03-03T00:00:00"/>
    <x v="0"/>
    <x v="2"/>
    <x v="0"/>
    <n v="900"/>
    <n v="1"/>
    <n v="900"/>
    <x v="2"/>
    <x v="2"/>
  </r>
  <r>
    <n v="794"/>
    <d v="2021-03-04T00:00:00"/>
    <x v="0"/>
    <x v="4"/>
    <x v="1"/>
    <n v="800"/>
    <n v="1"/>
    <n v="800"/>
    <x v="2"/>
    <x v="2"/>
  </r>
  <r>
    <n v="795"/>
    <d v="2021-03-05T00:00:00"/>
    <x v="0"/>
    <x v="5"/>
    <x v="1"/>
    <n v="600"/>
    <n v="1"/>
    <n v="600"/>
    <x v="2"/>
    <x v="2"/>
  </r>
  <r>
    <n v="796"/>
    <d v="2021-03-06T00:00:00"/>
    <x v="0"/>
    <x v="1"/>
    <x v="0"/>
    <n v="900"/>
    <n v="3"/>
    <n v="2700"/>
    <x v="2"/>
    <x v="2"/>
  </r>
  <r>
    <n v="797"/>
    <d v="2021-03-07T00:00:00"/>
    <x v="0"/>
    <x v="5"/>
    <x v="1"/>
    <n v="600"/>
    <n v="1"/>
    <n v="600"/>
    <x v="2"/>
    <x v="2"/>
  </r>
  <r>
    <n v="798"/>
    <d v="2021-03-08T00:00:00"/>
    <x v="0"/>
    <x v="4"/>
    <x v="1"/>
    <n v="800"/>
    <n v="1"/>
    <n v="800"/>
    <x v="2"/>
    <x v="2"/>
  </r>
  <r>
    <n v="799"/>
    <d v="2021-03-09T00:00:00"/>
    <x v="0"/>
    <x v="5"/>
    <x v="1"/>
    <n v="600"/>
    <n v="1"/>
    <n v="600"/>
    <x v="2"/>
    <x v="2"/>
  </r>
  <r>
    <n v="800"/>
    <d v="2021-03-10T00:00:00"/>
    <x v="0"/>
    <x v="0"/>
    <x v="0"/>
    <n v="1100"/>
    <n v="1"/>
    <n v="1100"/>
    <x v="2"/>
    <x v="2"/>
  </r>
  <r>
    <n v="801"/>
    <d v="2021-03-11T00:00:00"/>
    <x v="0"/>
    <x v="2"/>
    <x v="0"/>
    <n v="900"/>
    <n v="1"/>
    <n v="900"/>
    <x v="2"/>
    <x v="2"/>
  </r>
  <r>
    <n v="802"/>
    <d v="2021-03-12T00:00:00"/>
    <x v="0"/>
    <x v="0"/>
    <x v="0"/>
    <n v="1100"/>
    <n v="1"/>
    <n v="1100"/>
    <x v="2"/>
    <x v="2"/>
  </r>
  <r>
    <n v="803"/>
    <d v="2021-03-13T00:00:00"/>
    <x v="0"/>
    <x v="0"/>
    <x v="0"/>
    <n v="1100"/>
    <n v="1"/>
    <n v="1100"/>
    <x v="2"/>
    <x v="2"/>
  </r>
  <r>
    <n v="804"/>
    <d v="2021-03-14T00:00:00"/>
    <x v="0"/>
    <x v="7"/>
    <x v="2"/>
    <n v="1200"/>
    <n v="1"/>
    <n v="1200"/>
    <x v="2"/>
    <x v="2"/>
  </r>
  <r>
    <n v="805"/>
    <d v="2021-03-15T00:00:00"/>
    <x v="0"/>
    <x v="7"/>
    <x v="2"/>
    <n v="1200"/>
    <n v="1"/>
    <n v="1200"/>
    <x v="2"/>
    <x v="2"/>
  </r>
  <r>
    <n v="806"/>
    <d v="2021-03-16T00:00:00"/>
    <x v="0"/>
    <x v="0"/>
    <x v="0"/>
    <n v="1100"/>
    <n v="1"/>
    <n v="1100"/>
    <x v="2"/>
    <x v="2"/>
  </r>
  <r>
    <n v="807"/>
    <d v="2021-03-17T00:00:00"/>
    <x v="0"/>
    <x v="0"/>
    <x v="0"/>
    <n v="1100"/>
    <n v="1"/>
    <n v="1100"/>
    <x v="2"/>
    <x v="2"/>
  </r>
  <r>
    <n v="808"/>
    <d v="2021-03-18T00:00:00"/>
    <x v="0"/>
    <x v="8"/>
    <x v="3"/>
    <n v="900"/>
    <n v="1"/>
    <n v="900"/>
    <x v="2"/>
    <x v="2"/>
  </r>
  <r>
    <n v="809"/>
    <d v="2021-03-19T00:00:00"/>
    <x v="0"/>
    <x v="2"/>
    <x v="0"/>
    <n v="900"/>
    <n v="1"/>
    <n v="900"/>
    <x v="2"/>
    <x v="2"/>
  </r>
  <r>
    <n v="810"/>
    <d v="2021-03-20T00:00:00"/>
    <x v="0"/>
    <x v="8"/>
    <x v="3"/>
    <n v="800"/>
    <n v="1"/>
    <n v="800"/>
    <x v="2"/>
    <x v="2"/>
  </r>
  <r>
    <n v="811"/>
    <d v="2021-03-21T00:00:00"/>
    <x v="0"/>
    <x v="5"/>
    <x v="1"/>
    <n v="600"/>
    <n v="1"/>
    <n v="600"/>
    <x v="2"/>
    <x v="2"/>
  </r>
  <r>
    <n v="812"/>
    <d v="2021-03-22T00:00:00"/>
    <x v="0"/>
    <x v="8"/>
    <x v="3"/>
    <n v="800"/>
    <n v="1"/>
    <n v="800"/>
    <x v="2"/>
    <x v="2"/>
  </r>
  <r>
    <n v="813"/>
    <d v="2021-03-23T00:00:00"/>
    <x v="0"/>
    <x v="2"/>
    <x v="0"/>
    <n v="900"/>
    <n v="1"/>
    <n v="900"/>
    <x v="2"/>
    <x v="2"/>
  </r>
  <r>
    <n v="814"/>
    <d v="2021-03-24T00:00:00"/>
    <x v="0"/>
    <x v="7"/>
    <x v="2"/>
    <n v="1200"/>
    <n v="1"/>
    <n v="1200"/>
    <x v="2"/>
    <x v="2"/>
  </r>
  <r>
    <n v="815"/>
    <d v="2021-03-25T00:00:00"/>
    <x v="0"/>
    <x v="8"/>
    <x v="3"/>
    <n v="800"/>
    <n v="1"/>
    <n v="800"/>
    <x v="2"/>
    <x v="2"/>
  </r>
  <r>
    <n v="816"/>
    <d v="2021-03-26T00:00:00"/>
    <x v="0"/>
    <x v="1"/>
    <x v="0"/>
    <n v="900"/>
    <n v="1"/>
    <n v="900"/>
    <x v="2"/>
    <x v="2"/>
  </r>
  <r>
    <n v="817"/>
    <d v="2021-03-27T00:00:00"/>
    <x v="0"/>
    <x v="7"/>
    <x v="2"/>
    <n v="1200"/>
    <n v="1"/>
    <n v="1200"/>
    <x v="2"/>
    <x v="2"/>
  </r>
  <r>
    <n v="818"/>
    <d v="2021-03-28T00:00:00"/>
    <x v="0"/>
    <x v="0"/>
    <x v="0"/>
    <n v="1100"/>
    <n v="1"/>
    <n v="1100"/>
    <x v="2"/>
    <x v="2"/>
  </r>
  <r>
    <n v="819"/>
    <d v="2021-03-29T00:00:00"/>
    <x v="0"/>
    <x v="7"/>
    <x v="2"/>
    <n v="1200"/>
    <n v="1"/>
    <n v="1200"/>
    <x v="2"/>
    <x v="2"/>
  </r>
  <r>
    <n v="820"/>
    <d v="2021-03-30T00:00:00"/>
    <x v="0"/>
    <x v="2"/>
    <x v="0"/>
    <n v="900"/>
    <n v="1"/>
    <n v="900"/>
    <x v="2"/>
    <x v="2"/>
  </r>
  <r>
    <n v="821"/>
    <d v="2021-03-31T00:00:00"/>
    <x v="0"/>
    <x v="0"/>
    <x v="0"/>
    <n v="1100"/>
    <n v="2"/>
    <n v="2200"/>
    <x v="2"/>
    <x v="2"/>
  </r>
  <r>
    <n v="822"/>
    <d v="2021-04-01T00:00:00"/>
    <x v="0"/>
    <x v="7"/>
    <x v="2"/>
    <n v="1200"/>
    <n v="1"/>
    <n v="1200"/>
    <x v="3"/>
    <x v="2"/>
  </r>
  <r>
    <n v="823"/>
    <d v="2021-04-02T00:00:00"/>
    <x v="0"/>
    <x v="0"/>
    <x v="0"/>
    <n v="1100"/>
    <n v="1"/>
    <n v="1100"/>
    <x v="3"/>
    <x v="2"/>
  </r>
  <r>
    <n v="824"/>
    <d v="2021-04-03T00:00:00"/>
    <x v="0"/>
    <x v="1"/>
    <x v="0"/>
    <n v="900"/>
    <n v="1"/>
    <n v="900"/>
    <x v="3"/>
    <x v="2"/>
  </r>
  <r>
    <n v="825"/>
    <d v="2021-04-04T00:00:00"/>
    <x v="0"/>
    <x v="5"/>
    <x v="1"/>
    <n v="600"/>
    <n v="1"/>
    <n v="600"/>
    <x v="3"/>
    <x v="2"/>
  </r>
  <r>
    <n v="826"/>
    <d v="2021-04-05T00:00:00"/>
    <x v="0"/>
    <x v="8"/>
    <x v="3"/>
    <n v="900"/>
    <n v="1"/>
    <n v="900"/>
    <x v="3"/>
    <x v="2"/>
  </r>
  <r>
    <n v="827"/>
    <d v="2021-04-06T00:00:00"/>
    <x v="0"/>
    <x v="4"/>
    <x v="1"/>
    <n v="800"/>
    <n v="1"/>
    <n v="800"/>
    <x v="3"/>
    <x v="2"/>
  </r>
  <r>
    <n v="828"/>
    <d v="2021-04-07T00:00:00"/>
    <x v="0"/>
    <x v="0"/>
    <x v="0"/>
    <n v="1100"/>
    <n v="1"/>
    <n v="1100"/>
    <x v="3"/>
    <x v="2"/>
  </r>
  <r>
    <n v="829"/>
    <d v="2021-04-08T00:00:00"/>
    <x v="0"/>
    <x v="2"/>
    <x v="0"/>
    <n v="900"/>
    <n v="1"/>
    <n v="900"/>
    <x v="3"/>
    <x v="2"/>
  </r>
  <r>
    <n v="830"/>
    <d v="2021-04-09T00:00:00"/>
    <x v="0"/>
    <x v="3"/>
    <x v="0"/>
    <n v="1000"/>
    <n v="1"/>
    <n v="1000"/>
    <x v="3"/>
    <x v="2"/>
  </r>
  <r>
    <n v="831"/>
    <d v="2021-04-10T00:00:00"/>
    <x v="0"/>
    <x v="6"/>
    <x v="2"/>
    <n v="850"/>
    <n v="1"/>
    <n v="850"/>
    <x v="3"/>
    <x v="2"/>
  </r>
  <r>
    <n v="832"/>
    <d v="2021-04-11T00:00:00"/>
    <x v="0"/>
    <x v="5"/>
    <x v="1"/>
    <n v="600"/>
    <n v="1"/>
    <n v="600"/>
    <x v="3"/>
    <x v="2"/>
  </r>
  <r>
    <n v="833"/>
    <d v="2021-04-12T00:00:00"/>
    <x v="0"/>
    <x v="2"/>
    <x v="0"/>
    <n v="900"/>
    <n v="1"/>
    <n v="900"/>
    <x v="3"/>
    <x v="2"/>
  </r>
  <r>
    <n v="834"/>
    <d v="2021-04-13T00:00:00"/>
    <x v="0"/>
    <x v="3"/>
    <x v="0"/>
    <n v="1000"/>
    <n v="1"/>
    <n v="1000"/>
    <x v="3"/>
    <x v="2"/>
  </r>
  <r>
    <n v="835"/>
    <d v="2021-04-14T00:00:00"/>
    <x v="0"/>
    <x v="2"/>
    <x v="0"/>
    <n v="900"/>
    <n v="1"/>
    <n v="900"/>
    <x v="3"/>
    <x v="2"/>
  </r>
  <r>
    <n v="836"/>
    <d v="2021-04-15T00:00:00"/>
    <x v="0"/>
    <x v="1"/>
    <x v="0"/>
    <n v="900"/>
    <n v="1"/>
    <n v="900"/>
    <x v="3"/>
    <x v="2"/>
  </r>
  <r>
    <n v="837"/>
    <d v="2021-04-16T00:00:00"/>
    <x v="0"/>
    <x v="5"/>
    <x v="1"/>
    <n v="600"/>
    <n v="1"/>
    <n v="600"/>
    <x v="3"/>
    <x v="2"/>
  </r>
  <r>
    <n v="838"/>
    <d v="2021-04-17T00:00:00"/>
    <x v="0"/>
    <x v="8"/>
    <x v="3"/>
    <n v="900"/>
    <n v="1"/>
    <n v="900"/>
    <x v="3"/>
    <x v="2"/>
  </r>
  <r>
    <n v="839"/>
    <d v="2021-04-18T00:00:00"/>
    <x v="0"/>
    <x v="8"/>
    <x v="3"/>
    <n v="800"/>
    <n v="1"/>
    <n v="800"/>
    <x v="3"/>
    <x v="2"/>
  </r>
  <r>
    <n v="840"/>
    <d v="2021-04-19T00:00:00"/>
    <x v="0"/>
    <x v="4"/>
    <x v="1"/>
    <n v="800"/>
    <n v="1"/>
    <n v="800"/>
    <x v="3"/>
    <x v="2"/>
  </r>
  <r>
    <n v="841"/>
    <d v="2021-04-20T00:00:00"/>
    <x v="0"/>
    <x v="5"/>
    <x v="1"/>
    <n v="600"/>
    <n v="1"/>
    <n v="600"/>
    <x v="3"/>
    <x v="2"/>
  </r>
  <r>
    <n v="842"/>
    <d v="2021-04-21T00:00:00"/>
    <x v="0"/>
    <x v="8"/>
    <x v="3"/>
    <n v="500"/>
    <n v="1"/>
    <n v="500"/>
    <x v="3"/>
    <x v="2"/>
  </r>
  <r>
    <n v="843"/>
    <d v="2021-04-22T00:00:00"/>
    <x v="0"/>
    <x v="2"/>
    <x v="0"/>
    <n v="900"/>
    <n v="1"/>
    <n v="900"/>
    <x v="3"/>
    <x v="2"/>
  </r>
  <r>
    <n v="844"/>
    <d v="2021-04-23T00:00:00"/>
    <x v="0"/>
    <x v="0"/>
    <x v="0"/>
    <n v="1100"/>
    <n v="1"/>
    <n v="1100"/>
    <x v="3"/>
    <x v="2"/>
  </r>
  <r>
    <n v="845"/>
    <d v="2021-04-24T00:00:00"/>
    <x v="0"/>
    <x v="8"/>
    <x v="3"/>
    <n v="500"/>
    <n v="1"/>
    <n v="500"/>
    <x v="3"/>
    <x v="2"/>
  </r>
  <r>
    <n v="846"/>
    <d v="2021-04-25T00:00:00"/>
    <x v="0"/>
    <x v="5"/>
    <x v="1"/>
    <n v="600"/>
    <n v="1"/>
    <n v="600"/>
    <x v="3"/>
    <x v="2"/>
  </r>
  <r>
    <n v="847"/>
    <d v="2021-04-26T00:00:00"/>
    <x v="0"/>
    <x v="2"/>
    <x v="0"/>
    <n v="900"/>
    <n v="1"/>
    <n v="900"/>
    <x v="3"/>
    <x v="2"/>
  </r>
  <r>
    <n v="848"/>
    <d v="2021-04-27T00:00:00"/>
    <x v="0"/>
    <x v="8"/>
    <x v="3"/>
    <n v="500"/>
    <n v="1"/>
    <n v="500"/>
    <x v="3"/>
    <x v="2"/>
  </r>
  <r>
    <n v="849"/>
    <d v="2021-04-28T00:00:00"/>
    <x v="0"/>
    <x v="8"/>
    <x v="3"/>
    <n v="500"/>
    <n v="1"/>
    <n v="500"/>
    <x v="3"/>
    <x v="2"/>
  </r>
  <r>
    <n v="850"/>
    <d v="2021-04-29T00:00:00"/>
    <x v="0"/>
    <x v="5"/>
    <x v="1"/>
    <n v="600"/>
    <n v="1"/>
    <n v="600"/>
    <x v="3"/>
    <x v="2"/>
  </r>
  <r>
    <n v="851"/>
    <d v="2021-04-30T00:00:00"/>
    <x v="0"/>
    <x v="5"/>
    <x v="1"/>
    <n v="600"/>
    <n v="1"/>
    <n v="600"/>
    <x v="3"/>
    <x v="2"/>
  </r>
  <r>
    <n v="852"/>
    <d v="2021-05-01T00:00:00"/>
    <x v="0"/>
    <x v="4"/>
    <x v="1"/>
    <n v="800"/>
    <n v="1"/>
    <n v="800"/>
    <x v="4"/>
    <x v="2"/>
  </r>
  <r>
    <n v="853"/>
    <d v="2021-05-02T00:00:00"/>
    <x v="0"/>
    <x v="6"/>
    <x v="2"/>
    <n v="850"/>
    <n v="1"/>
    <n v="850"/>
    <x v="4"/>
    <x v="2"/>
  </r>
  <r>
    <n v="854"/>
    <d v="2021-05-03T00:00:00"/>
    <x v="0"/>
    <x v="8"/>
    <x v="3"/>
    <n v="500"/>
    <n v="1"/>
    <n v="500"/>
    <x v="4"/>
    <x v="2"/>
  </r>
  <r>
    <n v="855"/>
    <d v="2021-05-04T00:00:00"/>
    <x v="0"/>
    <x v="8"/>
    <x v="3"/>
    <n v="500"/>
    <n v="1"/>
    <n v="500"/>
    <x v="4"/>
    <x v="2"/>
  </r>
  <r>
    <n v="856"/>
    <d v="2021-05-05T00:00:00"/>
    <x v="0"/>
    <x v="0"/>
    <x v="0"/>
    <n v="1100"/>
    <n v="1"/>
    <n v="1100"/>
    <x v="4"/>
    <x v="2"/>
  </r>
  <r>
    <n v="857"/>
    <d v="2021-05-06T00:00:00"/>
    <x v="0"/>
    <x v="8"/>
    <x v="3"/>
    <n v="500"/>
    <n v="1"/>
    <n v="500"/>
    <x v="4"/>
    <x v="2"/>
  </r>
  <r>
    <n v="858"/>
    <d v="2021-05-07T00:00:00"/>
    <x v="0"/>
    <x v="3"/>
    <x v="0"/>
    <n v="1000"/>
    <n v="1"/>
    <n v="1000"/>
    <x v="4"/>
    <x v="2"/>
  </r>
  <r>
    <n v="859"/>
    <d v="2021-05-08T00:00:00"/>
    <x v="0"/>
    <x v="4"/>
    <x v="1"/>
    <n v="800"/>
    <n v="1"/>
    <n v="800"/>
    <x v="4"/>
    <x v="2"/>
  </r>
  <r>
    <n v="860"/>
    <d v="2021-05-09T00:00:00"/>
    <x v="0"/>
    <x v="9"/>
    <x v="3"/>
    <n v="600"/>
    <n v="1"/>
    <n v="600"/>
    <x v="4"/>
    <x v="2"/>
  </r>
  <r>
    <n v="861"/>
    <d v="2021-05-10T00:00:00"/>
    <x v="0"/>
    <x v="9"/>
    <x v="3"/>
    <n v="600"/>
    <n v="1"/>
    <n v="600"/>
    <x v="4"/>
    <x v="2"/>
  </r>
  <r>
    <n v="862"/>
    <d v="2021-05-11T00:00:00"/>
    <x v="0"/>
    <x v="6"/>
    <x v="2"/>
    <n v="850"/>
    <n v="1"/>
    <n v="850"/>
    <x v="4"/>
    <x v="2"/>
  </r>
  <r>
    <n v="863"/>
    <d v="2021-05-12T00:00:00"/>
    <x v="0"/>
    <x v="9"/>
    <x v="3"/>
    <n v="600"/>
    <n v="1"/>
    <n v="600"/>
    <x v="4"/>
    <x v="2"/>
  </r>
  <r>
    <n v="864"/>
    <d v="2021-05-13T00:00:00"/>
    <x v="0"/>
    <x v="5"/>
    <x v="1"/>
    <n v="600"/>
    <n v="1"/>
    <n v="600"/>
    <x v="4"/>
    <x v="2"/>
  </r>
  <r>
    <n v="865"/>
    <d v="2021-05-14T00:00:00"/>
    <x v="0"/>
    <x v="9"/>
    <x v="3"/>
    <n v="600"/>
    <n v="1"/>
    <n v="600"/>
    <x v="4"/>
    <x v="2"/>
  </r>
  <r>
    <n v="866"/>
    <d v="2021-05-15T00:00:00"/>
    <x v="0"/>
    <x v="0"/>
    <x v="0"/>
    <n v="1100"/>
    <n v="1"/>
    <n v="1100"/>
    <x v="4"/>
    <x v="2"/>
  </r>
  <r>
    <n v="867"/>
    <d v="2021-05-16T00:00:00"/>
    <x v="0"/>
    <x v="5"/>
    <x v="1"/>
    <n v="600"/>
    <n v="1"/>
    <n v="600"/>
    <x v="4"/>
    <x v="2"/>
  </r>
  <r>
    <n v="868"/>
    <d v="2021-05-17T00:00:00"/>
    <x v="0"/>
    <x v="0"/>
    <x v="0"/>
    <n v="1100"/>
    <n v="1"/>
    <n v="1100"/>
    <x v="4"/>
    <x v="2"/>
  </r>
  <r>
    <n v="869"/>
    <d v="2021-05-18T00:00:00"/>
    <x v="0"/>
    <x v="0"/>
    <x v="0"/>
    <n v="1100"/>
    <n v="1"/>
    <n v="1100"/>
    <x v="4"/>
    <x v="2"/>
  </r>
  <r>
    <n v="870"/>
    <d v="2021-05-19T00:00:00"/>
    <x v="0"/>
    <x v="0"/>
    <x v="0"/>
    <n v="1100"/>
    <n v="1"/>
    <n v="1100"/>
    <x v="4"/>
    <x v="2"/>
  </r>
  <r>
    <n v="871"/>
    <d v="2021-05-20T00:00:00"/>
    <x v="0"/>
    <x v="6"/>
    <x v="2"/>
    <n v="850"/>
    <n v="1"/>
    <n v="850"/>
    <x v="4"/>
    <x v="2"/>
  </r>
  <r>
    <n v="872"/>
    <d v="2021-05-21T00:00:00"/>
    <x v="0"/>
    <x v="5"/>
    <x v="1"/>
    <n v="600"/>
    <n v="1"/>
    <n v="600"/>
    <x v="4"/>
    <x v="2"/>
  </r>
  <r>
    <n v="873"/>
    <d v="2021-05-22T00:00:00"/>
    <x v="0"/>
    <x v="5"/>
    <x v="1"/>
    <n v="600"/>
    <n v="1"/>
    <n v="600"/>
    <x v="4"/>
    <x v="2"/>
  </r>
  <r>
    <n v="874"/>
    <d v="2021-05-23T00:00:00"/>
    <x v="0"/>
    <x v="4"/>
    <x v="1"/>
    <n v="800"/>
    <n v="1"/>
    <n v="800"/>
    <x v="4"/>
    <x v="2"/>
  </r>
  <r>
    <n v="875"/>
    <d v="2021-05-24T00:00:00"/>
    <x v="0"/>
    <x v="7"/>
    <x v="2"/>
    <n v="1200"/>
    <n v="1"/>
    <n v="1200"/>
    <x v="4"/>
    <x v="2"/>
  </r>
  <r>
    <n v="876"/>
    <d v="2021-05-25T00:00:00"/>
    <x v="0"/>
    <x v="3"/>
    <x v="0"/>
    <n v="1000"/>
    <n v="1"/>
    <n v="1000"/>
    <x v="4"/>
    <x v="2"/>
  </r>
  <r>
    <n v="877"/>
    <d v="2021-05-26T00:00:00"/>
    <x v="0"/>
    <x v="9"/>
    <x v="3"/>
    <n v="600"/>
    <n v="1"/>
    <n v="600"/>
    <x v="4"/>
    <x v="2"/>
  </r>
  <r>
    <n v="878"/>
    <d v="2021-05-27T00:00:00"/>
    <x v="0"/>
    <x v="2"/>
    <x v="0"/>
    <n v="900"/>
    <n v="1"/>
    <n v="900"/>
    <x v="4"/>
    <x v="2"/>
  </r>
  <r>
    <n v="879"/>
    <d v="2021-05-28T00:00:00"/>
    <x v="0"/>
    <x v="5"/>
    <x v="1"/>
    <n v="600"/>
    <n v="1"/>
    <n v="600"/>
    <x v="4"/>
    <x v="2"/>
  </r>
  <r>
    <n v="880"/>
    <d v="2021-05-29T00:00:00"/>
    <x v="0"/>
    <x v="1"/>
    <x v="0"/>
    <n v="900"/>
    <n v="1"/>
    <n v="900"/>
    <x v="4"/>
    <x v="2"/>
  </r>
  <r>
    <n v="881"/>
    <d v="2021-05-30T00:00:00"/>
    <x v="0"/>
    <x v="9"/>
    <x v="3"/>
    <n v="600"/>
    <n v="1"/>
    <n v="600"/>
    <x v="4"/>
    <x v="2"/>
  </r>
  <r>
    <n v="882"/>
    <d v="2021-05-31T00:00:00"/>
    <x v="0"/>
    <x v="6"/>
    <x v="2"/>
    <n v="850"/>
    <n v="1"/>
    <n v="850"/>
    <x v="4"/>
    <x v="2"/>
  </r>
  <r>
    <n v="883"/>
    <d v="2021-06-01T00:00:00"/>
    <x v="0"/>
    <x v="2"/>
    <x v="0"/>
    <n v="900"/>
    <n v="1"/>
    <n v="900"/>
    <x v="5"/>
    <x v="2"/>
  </r>
  <r>
    <n v="884"/>
    <d v="2021-06-02T00:00:00"/>
    <x v="0"/>
    <x v="0"/>
    <x v="0"/>
    <n v="1100"/>
    <n v="1"/>
    <n v="1100"/>
    <x v="5"/>
    <x v="2"/>
  </r>
  <r>
    <n v="885"/>
    <d v="2021-06-03T00:00:00"/>
    <x v="0"/>
    <x v="2"/>
    <x v="0"/>
    <n v="900"/>
    <n v="1"/>
    <n v="900"/>
    <x v="5"/>
    <x v="2"/>
  </r>
  <r>
    <n v="886"/>
    <d v="2021-06-04T00:00:00"/>
    <x v="0"/>
    <x v="3"/>
    <x v="0"/>
    <n v="1000"/>
    <n v="1"/>
    <n v="1000"/>
    <x v="5"/>
    <x v="2"/>
  </r>
  <r>
    <n v="887"/>
    <d v="2021-06-05T00:00:00"/>
    <x v="0"/>
    <x v="0"/>
    <x v="0"/>
    <n v="1100"/>
    <n v="1"/>
    <n v="1100"/>
    <x v="5"/>
    <x v="2"/>
  </r>
  <r>
    <n v="888"/>
    <d v="2021-06-06T00:00:00"/>
    <x v="0"/>
    <x v="3"/>
    <x v="0"/>
    <n v="1000"/>
    <n v="1"/>
    <n v="1000"/>
    <x v="5"/>
    <x v="2"/>
  </r>
  <r>
    <n v="889"/>
    <d v="2021-06-07T00:00:00"/>
    <x v="0"/>
    <x v="0"/>
    <x v="0"/>
    <n v="1100"/>
    <n v="1"/>
    <n v="1100"/>
    <x v="5"/>
    <x v="2"/>
  </r>
  <r>
    <n v="890"/>
    <d v="2021-06-08T00:00:00"/>
    <x v="0"/>
    <x v="2"/>
    <x v="0"/>
    <n v="900"/>
    <n v="1"/>
    <n v="900"/>
    <x v="5"/>
    <x v="2"/>
  </r>
  <r>
    <n v="891"/>
    <d v="2021-06-09T00:00:00"/>
    <x v="0"/>
    <x v="1"/>
    <x v="0"/>
    <n v="900"/>
    <n v="1"/>
    <n v="900"/>
    <x v="5"/>
    <x v="2"/>
  </r>
  <r>
    <n v="892"/>
    <d v="2021-06-10T00:00:00"/>
    <x v="0"/>
    <x v="0"/>
    <x v="0"/>
    <n v="1100"/>
    <n v="1"/>
    <n v="1100"/>
    <x v="5"/>
    <x v="2"/>
  </r>
  <r>
    <n v="893"/>
    <d v="2021-06-11T00:00:00"/>
    <x v="0"/>
    <x v="0"/>
    <x v="0"/>
    <n v="1100"/>
    <n v="1"/>
    <n v="1100"/>
    <x v="5"/>
    <x v="2"/>
  </r>
  <r>
    <n v="894"/>
    <d v="2021-06-12T00:00:00"/>
    <x v="0"/>
    <x v="3"/>
    <x v="0"/>
    <n v="1000"/>
    <n v="1"/>
    <n v="1000"/>
    <x v="5"/>
    <x v="2"/>
  </r>
  <r>
    <n v="895"/>
    <d v="2021-06-13T00:00:00"/>
    <x v="0"/>
    <x v="1"/>
    <x v="0"/>
    <n v="900"/>
    <n v="1"/>
    <n v="900"/>
    <x v="5"/>
    <x v="2"/>
  </r>
  <r>
    <n v="896"/>
    <d v="2021-06-14T00:00:00"/>
    <x v="0"/>
    <x v="5"/>
    <x v="1"/>
    <n v="600"/>
    <n v="1"/>
    <n v="600"/>
    <x v="5"/>
    <x v="2"/>
  </r>
  <r>
    <n v="897"/>
    <d v="2021-06-15T00:00:00"/>
    <x v="0"/>
    <x v="1"/>
    <x v="0"/>
    <n v="900"/>
    <n v="1"/>
    <n v="900"/>
    <x v="5"/>
    <x v="2"/>
  </r>
  <r>
    <n v="898"/>
    <d v="2021-06-16T00:00:00"/>
    <x v="0"/>
    <x v="5"/>
    <x v="1"/>
    <n v="600"/>
    <n v="1"/>
    <n v="600"/>
    <x v="5"/>
    <x v="2"/>
  </r>
  <r>
    <n v="899"/>
    <d v="2021-06-17T00:00:00"/>
    <x v="0"/>
    <x v="2"/>
    <x v="0"/>
    <n v="900"/>
    <n v="1"/>
    <n v="900"/>
    <x v="5"/>
    <x v="2"/>
  </r>
  <r>
    <n v="900"/>
    <d v="2021-06-18T00:00:00"/>
    <x v="0"/>
    <x v="0"/>
    <x v="0"/>
    <n v="1100"/>
    <n v="2"/>
    <n v="2200"/>
    <x v="5"/>
    <x v="2"/>
  </r>
  <r>
    <n v="901"/>
    <d v="2021-06-19T00:00:00"/>
    <x v="0"/>
    <x v="5"/>
    <x v="1"/>
    <n v="600"/>
    <n v="1"/>
    <n v="600"/>
    <x v="5"/>
    <x v="2"/>
  </r>
  <r>
    <n v="902"/>
    <d v="2021-06-20T00:00:00"/>
    <x v="0"/>
    <x v="5"/>
    <x v="1"/>
    <n v="600"/>
    <n v="1"/>
    <n v="600"/>
    <x v="5"/>
    <x v="2"/>
  </r>
  <r>
    <n v="903"/>
    <d v="2021-06-21T00:00:00"/>
    <x v="0"/>
    <x v="2"/>
    <x v="0"/>
    <n v="900"/>
    <n v="1"/>
    <n v="900"/>
    <x v="5"/>
    <x v="2"/>
  </r>
  <r>
    <n v="904"/>
    <d v="2021-06-22T00:00:00"/>
    <x v="0"/>
    <x v="0"/>
    <x v="0"/>
    <n v="1100"/>
    <n v="1"/>
    <n v="1100"/>
    <x v="5"/>
    <x v="2"/>
  </r>
  <r>
    <n v="905"/>
    <d v="2021-06-23T00:00:00"/>
    <x v="0"/>
    <x v="5"/>
    <x v="1"/>
    <n v="600"/>
    <n v="1"/>
    <n v="600"/>
    <x v="5"/>
    <x v="2"/>
  </r>
  <r>
    <n v="906"/>
    <d v="2021-06-24T00:00:00"/>
    <x v="0"/>
    <x v="9"/>
    <x v="3"/>
    <n v="600"/>
    <n v="1"/>
    <n v="600"/>
    <x v="5"/>
    <x v="2"/>
  </r>
  <r>
    <n v="907"/>
    <d v="2021-06-25T00:00:00"/>
    <x v="0"/>
    <x v="5"/>
    <x v="1"/>
    <n v="600"/>
    <n v="1"/>
    <n v="600"/>
    <x v="5"/>
    <x v="2"/>
  </r>
  <r>
    <n v="908"/>
    <d v="2021-06-26T00:00:00"/>
    <x v="0"/>
    <x v="9"/>
    <x v="3"/>
    <n v="600"/>
    <n v="1"/>
    <n v="600"/>
    <x v="5"/>
    <x v="2"/>
  </r>
  <r>
    <n v="909"/>
    <d v="2021-06-27T00:00:00"/>
    <x v="0"/>
    <x v="9"/>
    <x v="3"/>
    <n v="600"/>
    <n v="2"/>
    <n v="1200"/>
    <x v="5"/>
    <x v="2"/>
  </r>
  <r>
    <n v="910"/>
    <d v="2021-06-28T00:00:00"/>
    <x v="0"/>
    <x v="5"/>
    <x v="1"/>
    <n v="600"/>
    <n v="1"/>
    <n v="600"/>
    <x v="5"/>
    <x v="2"/>
  </r>
  <r>
    <n v="911"/>
    <d v="2021-06-29T00:00:00"/>
    <x v="0"/>
    <x v="0"/>
    <x v="0"/>
    <n v="1100"/>
    <n v="3"/>
    <n v="3300"/>
    <x v="5"/>
    <x v="2"/>
  </r>
  <r>
    <n v="912"/>
    <d v="2021-06-30T00:00:00"/>
    <x v="0"/>
    <x v="0"/>
    <x v="0"/>
    <n v="1100"/>
    <n v="1"/>
    <n v="1100"/>
    <x v="5"/>
    <x v="2"/>
  </r>
  <r>
    <n v="913"/>
    <d v="2021-07-01T00:00:00"/>
    <x v="0"/>
    <x v="6"/>
    <x v="2"/>
    <n v="850"/>
    <n v="1"/>
    <n v="850"/>
    <x v="6"/>
    <x v="2"/>
  </r>
  <r>
    <n v="914"/>
    <d v="2021-07-02T00:00:00"/>
    <x v="0"/>
    <x v="7"/>
    <x v="2"/>
    <n v="1200"/>
    <n v="1"/>
    <n v="1200"/>
    <x v="6"/>
    <x v="2"/>
  </r>
  <r>
    <n v="915"/>
    <d v="2021-07-03T00:00:00"/>
    <x v="0"/>
    <x v="4"/>
    <x v="1"/>
    <n v="800"/>
    <n v="1"/>
    <n v="800"/>
    <x v="6"/>
    <x v="2"/>
  </r>
  <r>
    <n v="916"/>
    <d v="2021-07-04T00:00:00"/>
    <x v="0"/>
    <x v="2"/>
    <x v="0"/>
    <n v="900"/>
    <n v="1"/>
    <n v="900"/>
    <x v="6"/>
    <x v="2"/>
  </r>
  <r>
    <n v="917"/>
    <d v="2021-07-05T00:00:00"/>
    <x v="0"/>
    <x v="0"/>
    <x v="0"/>
    <n v="1100"/>
    <n v="1"/>
    <n v="1100"/>
    <x v="6"/>
    <x v="2"/>
  </r>
  <r>
    <n v="918"/>
    <d v="2021-07-06T00:00:00"/>
    <x v="0"/>
    <x v="1"/>
    <x v="0"/>
    <n v="900"/>
    <n v="1"/>
    <n v="900"/>
    <x v="6"/>
    <x v="2"/>
  </r>
  <r>
    <n v="919"/>
    <d v="2021-07-07T00:00:00"/>
    <x v="0"/>
    <x v="0"/>
    <x v="0"/>
    <n v="1100"/>
    <n v="1"/>
    <n v="1100"/>
    <x v="6"/>
    <x v="2"/>
  </r>
  <r>
    <n v="920"/>
    <d v="2021-07-08T00:00:00"/>
    <x v="0"/>
    <x v="8"/>
    <x v="3"/>
    <n v="900"/>
    <n v="1"/>
    <n v="900"/>
    <x v="6"/>
    <x v="2"/>
  </r>
  <r>
    <n v="921"/>
    <d v="2021-07-09T00:00:00"/>
    <x v="0"/>
    <x v="8"/>
    <x v="3"/>
    <n v="500"/>
    <n v="1"/>
    <n v="500"/>
    <x v="6"/>
    <x v="2"/>
  </r>
  <r>
    <n v="922"/>
    <d v="2021-07-10T00:00:00"/>
    <x v="0"/>
    <x v="3"/>
    <x v="0"/>
    <n v="1000"/>
    <n v="1"/>
    <n v="1000"/>
    <x v="6"/>
    <x v="2"/>
  </r>
  <r>
    <n v="923"/>
    <d v="2021-07-11T00:00:00"/>
    <x v="0"/>
    <x v="9"/>
    <x v="3"/>
    <n v="600"/>
    <n v="1"/>
    <n v="600"/>
    <x v="6"/>
    <x v="2"/>
  </r>
  <r>
    <n v="924"/>
    <d v="2021-07-12T00:00:00"/>
    <x v="0"/>
    <x v="1"/>
    <x v="0"/>
    <n v="900"/>
    <n v="2"/>
    <n v="1800"/>
    <x v="6"/>
    <x v="2"/>
  </r>
  <r>
    <n v="925"/>
    <d v="2021-07-13T00:00:00"/>
    <x v="0"/>
    <x v="6"/>
    <x v="2"/>
    <n v="850"/>
    <n v="1"/>
    <n v="850"/>
    <x v="6"/>
    <x v="2"/>
  </r>
  <r>
    <n v="926"/>
    <d v="2021-07-14T00:00:00"/>
    <x v="0"/>
    <x v="4"/>
    <x v="1"/>
    <n v="800"/>
    <n v="1"/>
    <n v="800"/>
    <x v="6"/>
    <x v="2"/>
  </r>
  <r>
    <n v="927"/>
    <d v="2021-07-15T00:00:00"/>
    <x v="0"/>
    <x v="1"/>
    <x v="0"/>
    <n v="900"/>
    <n v="1"/>
    <n v="900"/>
    <x v="6"/>
    <x v="2"/>
  </r>
  <r>
    <n v="928"/>
    <d v="2021-07-16T00:00:00"/>
    <x v="0"/>
    <x v="1"/>
    <x v="0"/>
    <n v="900"/>
    <n v="1"/>
    <n v="900"/>
    <x v="6"/>
    <x v="2"/>
  </r>
  <r>
    <n v="929"/>
    <d v="2021-07-17T00:00:00"/>
    <x v="0"/>
    <x v="0"/>
    <x v="0"/>
    <n v="1100"/>
    <n v="1"/>
    <n v="1100"/>
    <x v="6"/>
    <x v="2"/>
  </r>
  <r>
    <n v="930"/>
    <d v="2021-07-18T00:00:00"/>
    <x v="0"/>
    <x v="2"/>
    <x v="0"/>
    <n v="900"/>
    <n v="1"/>
    <n v="900"/>
    <x v="6"/>
    <x v="2"/>
  </r>
  <r>
    <n v="931"/>
    <d v="2021-07-19T00:00:00"/>
    <x v="0"/>
    <x v="5"/>
    <x v="1"/>
    <n v="600"/>
    <n v="1"/>
    <n v="600"/>
    <x v="6"/>
    <x v="2"/>
  </r>
  <r>
    <n v="932"/>
    <d v="2021-07-20T00:00:00"/>
    <x v="0"/>
    <x v="5"/>
    <x v="1"/>
    <n v="600"/>
    <n v="1"/>
    <n v="600"/>
    <x v="6"/>
    <x v="2"/>
  </r>
  <r>
    <n v="933"/>
    <d v="2021-07-21T00:00:00"/>
    <x v="0"/>
    <x v="2"/>
    <x v="0"/>
    <n v="900"/>
    <n v="1"/>
    <n v="900"/>
    <x v="6"/>
    <x v="2"/>
  </r>
  <r>
    <n v="934"/>
    <d v="2021-07-22T00:00:00"/>
    <x v="0"/>
    <x v="6"/>
    <x v="2"/>
    <n v="850"/>
    <n v="1"/>
    <n v="850"/>
    <x v="6"/>
    <x v="2"/>
  </r>
  <r>
    <n v="935"/>
    <d v="2021-07-23T00:00:00"/>
    <x v="0"/>
    <x v="2"/>
    <x v="0"/>
    <n v="900"/>
    <n v="1"/>
    <n v="900"/>
    <x v="6"/>
    <x v="2"/>
  </r>
  <r>
    <n v="936"/>
    <d v="2021-07-24T00:00:00"/>
    <x v="0"/>
    <x v="5"/>
    <x v="1"/>
    <n v="600"/>
    <n v="1"/>
    <n v="600"/>
    <x v="6"/>
    <x v="2"/>
  </r>
  <r>
    <n v="937"/>
    <d v="2021-07-25T00:00:00"/>
    <x v="0"/>
    <x v="5"/>
    <x v="1"/>
    <n v="600"/>
    <n v="1"/>
    <n v="600"/>
    <x v="6"/>
    <x v="2"/>
  </r>
  <r>
    <n v="938"/>
    <d v="2021-07-26T00:00:00"/>
    <x v="0"/>
    <x v="0"/>
    <x v="0"/>
    <n v="1100"/>
    <n v="1"/>
    <n v="1100"/>
    <x v="6"/>
    <x v="2"/>
  </r>
  <r>
    <n v="939"/>
    <d v="2021-07-27T00:00:00"/>
    <x v="0"/>
    <x v="1"/>
    <x v="0"/>
    <n v="900"/>
    <n v="1"/>
    <n v="900"/>
    <x v="6"/>
    <x v="2"/>
  </r>
  <r>
    <n v="940"/>
    <d v="2021-07-28T00:00:00"/>
    <x v="0"/>
    <x v="0"/>
    <x v="0"/>
    <n v="1100"/>
    <n v="1"/>
    <n v="1100"/>
    <x v="6"/>
    <x v="2"/>
  </r>
  <r>
    <n v="941"/>
    <d v="2021-07-29T00:00:00"/>
    <x v="0"/>
    <x v="5"/>
    <x v="1"/>
    <n v="600"/>
    <n v="1"/>
    <n v="600"/>
    <x v="6"/>
    <x v="2"/>
  </r>
  <r>
    <n v="942"/>
    <d v="2021-07-30T00:00:00"/>
    <x v="0"/>
    <x v="7"/>
    <x v="2"/>
    <n v="1200"/>
    <n v="1"/>
    <n v="1200"/>
    <x v="6"/>
    <x v="2"/>
  </r>
  <r>
    <n v="943"/>
    <d v="2021-07-31T00:00:00"/>
    <x v="0"/>
    <x v="9"/>
    <x v="3"/>
    <n v="600"/>
    <n v="1"/>
    <n v="600"/>
    <x v="6"/>
    <x v="2"/>
  </r>
  <r>
    <n v="944"/>
    <d v="2021-08-01T00:00:00"/>
    <x v="0"/>
    <x v="0"/>
    <x v="0"/>
    <n v="1100"/>
    <n v="1"/>
    <n v="1100"/>
    <x v="7"/>
    <x v="2"/>
  </r>
  <r>
    <n v="945"/>
    <d v="2021-08-02T00:00:00"/>
    <x v="0"/>
    <x v="8"/>
    <x v="3"/>
    <n v="500"/>
    <n v="1"/>
    <n v="500"/>
    <x v="7"/>
    <x v="2"/>
  </r>
  <r>
    <n v="946"/>
    <d v="2021-08-03T00:00:00"/>
    <x v="0"/>
    <x v="1"/>
    <x v="0"/>
    <n v="900"/>
    <n v="1"/>
    <n v="900"/>
    <x v="7"/>
    <x v="2"/>
  </r>
  <r>
    <n v="947"/>
    <d v="2021-08-04T00:00:00"/>
    <x v="0"/>
    <x v="6"/>
    <x v="2"/>
    <n v="850"/>
    <n v="1"/>
    <n v="850"/>
    <x v="7"/>
    <x v="2"/>
  </r>
  <r>
    <n v="948"/>
    <d v="2021-08-05T00:00:00"/>
    <x v="0"/>
    <x v="5"/>
    <x v="1"/>
    <n v="600"/>
    <n v="1"/>
    <n v="600"/>
    <x v="7"/>
    <x v="2"/>
  </r>
  <r>
    <n v="949"/>
    <d v="2021-08-06T00:00:00"/>
    <x v="0"/>
    <x v="0"/>
    <x v="0"/>
    <n v="1100"/>
    <n v="1"/>
    <n v="1100"/>
    <x v="7"/>
    <x v="2"/>
  </r>
  <r>
    <n v="950"/>
    <d v="2021-08-07T00:00:00"/>
    <x v="0"/>
    <x v="8"/>
    <x v="3"/>
    <n v="500"/>
    <n v="1"/>
    <n v="500"/>
    <x v="7"/>
    <x v="2"/>
  </r>
  <r>
    <n v="951"/>
    <d v="2021-08-08T00:00:00"/>
    <x v="0"/>
    <x v="5"/>
    <x v="1"/>
    <n v="600"/>
    <n v="1"/>
    <n v="600"/>
    <x v="7"/>
    <x v="2"/>
  </r>
  <r>
    <n v="952"/>
    <d v="2021-08-09T00:00:00"/>
    <x v="0"/>
    <x v="3"/>
    <x v="0"/>
    <n v="1000"/>
    <n v="1"/>
    <n v="1000"/>
    <x v="7"/>
    <x v="2"/>
  </r>
  <r>
    <n v="953"/>
    <d v="2021-08-10T00:00:00"/>
    <x v="0"/>
    <x v="5"/>
    <x v="1"/>
    <n v="600"/>
    <n v="1"/>
    <n v="600"/>
    <x v="7"/>
    <x v="2"/>
  </r>
  <r>
    <n v="954"/>
    <d v="2021-08-11T00:00:00"/>
    <x v="0"/>
    <x v="0"/>
    <x v="0"/>
    <n v="1100"/>
    <n v="1"/>
    <n v="1100"/>
    <x v="7"/>
    <x v="2"/>
  </r>
  <r>
    <n v="955"/>
    <d v="2021-08-12T00:00:00"/>
    <x v="0"/>
    <x v="8"/>
    <x v="3"/>
    <n v="500"/>
    <n v="1"/>
    <n v="500"/>
    <x v="7"/>
    <x v="2"/>
  </r>
  <r>
    <n v="956"/>
    <d v="2021-08-13T00:00:00"/>
    <x v="0"/>
    <x v="0"/>
    <x v="0"/>
    <n v="1100"/>
    <n v="2"/>
    <n v="2200"/>
    <x v="7"/>
    <x v="2"/>
  </r>
  <r>
    <n v="957"/>
    <d v="2021-08-14T00:00:00"/>
    <x v="0"/>
    <x v="5"/>
    <x v="1"/>
    <n v="600"/>
    <n v="1"/>
    <n v="600"/>
    <x v="7"/>
    <x v="2"/>
  </r>
  <r>
    <n v="958"/>
    <d v="2021-08-15T00:00:00"/>
    <x v="0"/>
    <x v="4"/>
    <x v="1"/>
    <n v="800"/>
    <n v="1"/>
    <n v="800"/>
    <x v="7"/>
    <x v="2"/>
  </r>
  <r>
    <n v="959"/>
    <d v="2021-08-16T00:00:00"/>
    <x v="0"/>
    <x v="2"/>
    <x v="0"/>
    <n v="900"/>
    <n v="1"/>
    <n v="900"/>
    <x v="7"/>
    <x v="2"/>
  </r>
  <r>
    <n v="960"/>
    <d v="2021-08-17T00:00:00"/>
    <x v="0"/>
    <x v="9"/>
    <x v="3"/>
    <n v="600"/>
    <n v="1"/>
    <n v="600"/>
    <x v="7"/>
    <x v="2"/>
  </r>
  <r>
    <n v="961"/>
    <d v="2021-08-18T00:00:00"/>
    <x v="0"/>
    <x v="0"/>
    <x v="0"/>
    <n v="1100"/>
    <n v="2"/>
    <n v="2200"/>
    <x v="7"/>
    <x v="2"/>
  </r>
  <r>
    <n v="962"/>
    <d v="2021-08-19T00:00:00"/>
    <x v="0"/>
    <x v="9"/>
    <x v="3"/>
    <n v="600"/>
    <n v="1"/>
    <n v="600"/>
    <x v="7"/>
    <x v="2"/>
  </r>
  <r>
    <n v="963"/>
    <d v="2021-08-20T00:00:00"/>
    <x v="0"/>
    <x v="2"/>
    <x v="0"/>
    <n v="900"/>
    <n v="1"/>
    <n v="900"/>
    <x v="7"/>
    <x v="2"/>
  </r>
  <r>
    <n v="964"/>
    <d v="2021-08-21T00:00:00"/>
    <x v="0"/>
    <x v="5"/>
    <x v="1"/>
    <n v="600"/>
    <n v="1"/>
    <n v="600"/>
    <x v="7"/>
    <x v="2"/>
  </r>
  <r>
    <n v="965"/>
    <d v="2021-08-22T00:00:00"/>
    <x v="0"/>
    <x v="1"/>
    <x v="0"/>
    <n v="900"/>
    <n v="1"/>
    <n v="900"/>
    <x v="7"/>
    <x v="2"/>
  </r>
  <r>
    <n v="966"/>
    <d v="2021-08-23T00:00:00"/>
    <x v="0"/>
    <x v="9"/>
    <x v="3"/>
    <n v="600"/>
    <n v="1"/>
    <n v="600"/>
    <x v="7"/>
    <x v="2"/>
  </r>
  <r>
    <n v="967"/>
    <d v="2021-08-24T00:00:00"/>
    <x v="0"/>
    <x v="6"/>
    <x v="2"/>
    <n v="850"/>
    <n v="1"/>
    <n v="850"/>
    <x v="7"/>
    <x v="2"/>
  </r>
  <r>
    <n v="968"/>
    <d v="2021-08-25T00:00:00"/>
    <x v="0"/>
    <x v="2"/>
    <x v="0"/>
    <n v="900"/>
    <n v="1"/>
    <n v="900"/>
    <x v="7"/>
    <x v="2"/>
  </r>
  <r>
    <n v="969"/>
    <d v="2021-08-26T00:00:00"/>
    <x v="0"/>
    <x v="0"/>
    <x v="0"/>
    <n v="1100"/>
    <n v="1"/>
    <n v="1100"/>
    <x v="7"/>
    <x v="2"/>
  </r>
  <r>
    <n v="970"/>
    <d v="2021-08-27T00:00:00"/>
    <x v="0"/>
    <x v="2"/>
    <x v="0"/>
    <n v="900"/>
    <n v="1"/>
    <n v="900"/>
    <x v="7"/>
    <x v="2"/>
  </r>
  <r>
    <n v="971"/>
    <d v="2021-08-28T00:00:00"/>
    <x v="0"/>
    <x v="3"/>
    <x v="0"/>
    <n v="1000"/>
    <n v="1"/>
    <n v="1000"/>
    <x v="7"/>
    <x v="2"/>
  </r>
  <r>
    <n v="972"/>
    <d v="2021-08-29T00:00:00"/>
    <x v="0"/>
    <x v="0"/>
    <x v="0"/>
    <n v="1100"/>
    <n v="1"/>
    <n v="1100"/>
    <x v="7"/>
    <x v="2"/>
  </r>
  <r>
    <n v="973"/>
    <d v="2021-08-30T00:00:00"/>
    <x v="0"/>
    <x v="3"/>
    <x v="0"/>
    <n v="1000"/>
    <n v="1"/>
    <n v="1000"/>
    <x v="7"/>
    <x v="2"/>
  </r>
  <r>
    <n v="974"/>
    <d v="2021-08-31T00:00:00"/>
    <x v="0"/>
    <x v="0"/>
    <x v="0"/>
    <n v="1100"/>
    <n v="1"/>
    <n v="1100"/>
    <x v="7"/>
    <x v="2"/>
  </r>
  <r>
    <n v="975"/>
    <d v="2021-09-01T00:00:00"/>
    <x v="0"/>
    <x v="2"/>
    <x v="0"/>
    <n v="900"/>
    <n v="1"/>
    <n v="900"/>
    <x v="8"/>
    <x v="2"/>
  </r>
  <r>
    <n v="976"/>
    <d v="2021-09-02T00:00:00"/>
    <x v="0"/>
    <x v="1"/>
    <x v="0"/>
    <n v="900"/>
    <n v="1"/>
    <n v="900"/>
    <x v="8"/>
    <x v="2"/>
  </r>
  <r>
    <n v="977"/>
    <d v="2021-09-03T00:00:00"/>
    <x v="0"/>
    <x v="0"/>
    <x v="0"/>
    <n v="1100"/>
    <n v="1"/>
    <n v="1100"/>
    <x v="8"/>
    <x v="2"/>
  </r>
  <r>
    <n v="978"/>
    <d v="2021-09-04T00:00:00"/>
    <x v="0"/>
    <x v="0"/>
    <x v="0"/>
    <n v="1100"/>
    <n v="1"/>
    <n v="1100"/>
    <x v="8"/>
    <x v="2"/>
  </r>
  <r>
    <n v="979"/>
    <d v="2021-09-05T00:00:00"/>
    <x v="0"/>
    <x v="3"/>
    <x v="0"/>
    <n v="1000"/>
    <n v="1"/>
    <n v="1000"/>
    <x v="8"/>
    <x v="2"/>
  </r>
  <r>
    <n v="980"/>
    <d v="2021-09-06T00:00:00"/>
    <x v="0"/>
    <x v="1"/>
    <x v="0"/>
    <n v="900"/>
    <n v="1"/>
    <n v="900"/>
    <x v="8"/>
    <x v="2"/>
  </r>
  <r>
    <n v="981"/>
    <d v="2021-09-07T00:00:00"/>
    <x v="0"/>
    <x v="5"/>
    <x v="1"/>
    <n v="600"/>
    <n v="1"/>
    <n v="600"/>
    <x v="8"/>
    <x v="2"/>
  </r>
  <r>
    <n v="982"/>
    <d v="2021-09-08T00:00:00"/>
    <x v="0"/>
    <x v="1"/>
    <x v="0"/>
    <n v="900"/>
    <n v="1"/>
    <n v="900"/>
    <x v="8"/>
    <x v="2"/>
  </r>
  <r>
    <n v="983"/>
    <d v="2021-09-09T00:00:00"/>
    <x v="0"/>
    <x v="5"/>
    <x v="1"/>
    <n v="600"/>
    <n v="1"/>
    <n v="600"/>
    <x v="8"/>
    <x v="2"/>
  </r>
  <r>
    <n v="984"/>
    <d v="2021-09-10T00:00:00"/>
    <x v="0"/>
    <x v="2"/>
    <x v="0"/>
    <n v="900"/>
    <n v="1"/>
    <n v="900"/>
    <x v="8"/>
    <x v="2"/>
  </r>
  <r>
    <n v="985"/>
    <d v="2021-09-11T00:00:00"/>
    <x v="0"/>
    <x v="0"/>
    <x v="0"/>
    <n v="1100"/>
    <n v="2"/>
    <n v="2200"/>
    <x v="8"/>
    <x v="2"/>
  </r>
  <r>
    <n v="986"/>
    <d v="2021-09-12T00:00:00"/>
    <x v="0"/>
    <x v="5"/>
    <x v="1"/>
    <n v="600"/>
    <n v="1"/>
    <n v="600"/>
    <x v="8"/>
    <x v="2"/>
  </r>
  <r>
    <n v="987"/>
    <d v="2021-09-13T00:00:00"/>
    <x v="0"/>
    <x v="5"/>
    <x v="1"/>
    <n v="600"/>
    <n v="1"/>
    <n v="600"/>
    <x v="8"/>
    <x v="2"/>
  </r>
  <r>
    <n v="988"/>
    <d v="2021-09-14T00:00:00"/>
    <x v="0"/>
    <x v="2"/>
    <x v="0"/>
    <n v="900"/>
    <n v="1"/>
    <n v="900"/>
    <x v="8"/>
    <x v="2"/>
  </r>
  <r>
    <n v="989"/>
    <d v="2021-09-15T00:00:00"/>
    <x v="0"/>
    <x v="0"/>
    <x v="0"/>
    <n v="1100"/>
    <n v="1"/>
    <n v="1100"/>
    <x v="8"/>
    <x v="2"/>
  </r>
  <r>
    <n v="990"/>
    <d v="2021-09-16T00:00:00"/>
    <x v="0"/>
    <x v="5"/>
    <x v="1"/>
    <n v="600"/>
    <n v="1"/>
    <n v="600"/>
    <x v="8"/>
    <x v="2"/>
  </r>
  <r>
    <n v="991"/>
    <d v="2021-09-17T00:00:00"/>
    <x v="0"/>
    <x v="9"/>
    <x v="3"/>
    <n v="600"/>
    <n v="1"/>
    <n v="600"/>
    <x v="8"/>
    <x v="2"/>
  </r>
  <r>
    <n v="992"/>
    <d v="2021-09-18T00:00:00"/>
    <x v="0"/>
    <x v="5"/>
    <x v="1"/>
    <n v="600"/>
    <n v="1"/>
    <n v="600"/>
    <x v="8"/>
    <x v="2"/>
  </r>
  <r>
    <n v="993"/>
    <d v="2021-09-19T00:00:00"/>
    <x v="0"/>
    <x v="9"/>
    <x v="3"/>
    <n v="600"/>
    <n v="1"/>
    <n v="600"/>
    <x v="8"/>
    <x v="2"/>
  </r>
  <r>
    <n v="994"/>
    <d v="2021-09-20T00:00:00"/>
    <x v="0"/>
    <x v="9"/>
    <x v="3"/>
    <n v="600"/>
    <n v="2"/>
    <n v="1200"/>
    <x v="8"/>
    <x v="2"/>
  </r>
  <r>
    <n v="995"/>
    <d v="2021-09-21T00:00:00"/>
    <x v="0"/>
    <x v="5"/>
    <x v="1"/>
    <n v="600"/>
    <n v="1"/>
    <n v="600"/>
    <x v="8"/>
    <x v="2"/>
  </r>
  <r>
    <n v="996"/>
    <d v="2021-09-22T00:00:00"/>
    <x v="0"/>
    <x v="0"/>
    <x v="0"/>
    <n v="1100"/>
    <n v="3"/>
    <n v="3300"/>
    <x v="8"/>
    <x v="2"/>
  </r>
  <r>
    <n v="997"/>
    <d v="2021-09-23T00:00:00"/>
    <x v="0"/>
    <x v="0"/>
    <x v="0"/>
    <n v="1100"/>
    <n v="1"/>
    <n v="1100"/>
    <x v="8"/>
    <x v="2"/>
  </r>
  <r>
    <n v="998"/>
    <d v="2021-09-24T00:00:00"/>
    <x v="0"/>
    <x v="6"/>
    <x v="2"/>
    <n v="850"/>
    <n v="1"/>
    <n v="850"/>
    <x v="8"/>
    <x v="2"/>
  </r>
  <r>
    <n v="999"/>
    <d v="2021-09-25T00:00:00"/>
    <x v="0"/>
    <x v="7"/>
    <x v="2"/>
    <n v="1200"/>
    <n v="1"/>
    <n v="1200"/>
    <x v="8"/>
    <x v="2"/>
  </r>
  <r>
    <n v="1000"/>
    <d v="2021-09-26T00:00:00"/>
    <x v="0"/>
    <x v="4"/>
    <x v="1"/>
    <n v="800"/>
    <n v="1"/>
    <n v="800"/>
    <x v="8"/>
    <x v="2"/>
  </r>
  <r>
    <n v="1001"/>
    <d v="2021-09-27T00:00:00"/>
    <x v="0"/>
    <x v="2"/>
    <x v="0"/>
    <n v="900"/>
    <n v="1"/>
    <n v="900"/>
    <x v="8"/>
    <x v="2"/>
  </r>
  <r>
    <n v="1002"/>
    <d v="2021-09-28T00:00:00"/>
    <x v="0"/>
    <x v="0"/>
    <x v="0"/>
    <n v="1100"/>
    <n v="1"/>
    <n v="1100"/>
    <x v="8"/>
    <x v="2"/>
  </r>
  <r>
    <n v="1003"/>
    <d v="2021-09-29T00:00:00"/>
    <x v="0"/>
    <x v="1"/>
    <x v="0"/>
    <n v="900"/>
    <n v="1"/>
    <n v="900"/>
    <x v="8"/>
    <x v="2"/>
  </r>
  <r>
    <n v="1004"/>
    <d v="2021-09-30T00:00:00"/>
    <x v="0"/>
    <x v="0"/>
    <x v="0"/>
    <n v="1100"/>
    <n v="1"/>
    <n v="1100"/>
    <x v="8"/>
    <x v="2"/>
  </r>
  <r>
    <n v="1005"/>
    <d v="2021-10-01T00:00:00"/>
    <x v="0"/>
    <x v="8"/>
    <x v="3"/>
    <n v="900"/>
    <n v="1"/>
    <n v="900"/>
    <x v="9"/>
    <x v="2"/>
  </r>
  <r>
    <n v="1006"/>
    <d v="2021-10-02T00:00:00"/>
    <x v="0"/>
    <x v="8"/>
    <x v="3"/>
    <n v="500"/>
    <n v="1"/>
    <n v="500"/>
    <x v="9"/>
    <x v="2"/>
  </r>
  <r>
    <n v="1007"/>
    <d v="2021-10-03T00:00:00"/>
    <x v="0"/>
    <x v="3"/>
    <x v="0"/>
    <n v="1000"/>
    <n v="1"/>
    <n v="1000"/>
    <x v="9"/>
    <x v="2"/>
  </r>
  <r>
    <n v="1008"/>
    <d v="2021-10-04T00:00:00"/>
    <x v="0"/>
    <x v="9"/>
    <x v="3"/>
    <n v="600"/>
    <n v="1"/>
    <n v="600"/>
    <x v="9"/>
    <x v="2"/>
  </r>
  <r>
    <n v="1009"/>
    <d v="2021-10-05T00:00:00"/>
    <x v="0"/>
    <x v="1"/>
    <x v="0"/>
    <n v="900"/>
    <n v="2"/>
    <n v="1800"/>
    <x v="9"/>
    <x v="2"/>
  </r>
  <r>
    <n v="1010"/>
    <d v="2021-10-06T00:00:00"/>
    <x v="0"/>
    <x v="6"/>
    <x v="2"/>
    <n v="850"/>
    <n v="1"/>
    <n v="850"/>
    <x v="9"/>
    <x v="2"/>
  </r>
  <r>
    <n v="1011"/>
    <d v="2021-10-07T00:00:00"/>
    <x v="0"/>
    <x v="4"/>
    <x v="1"/>
    <n v="800"/>
    <n v="1"/>
    <n v="800"/>
    <x v="9"/>
    <x v="2"/>
  </r>
  <r>
    <n v="1012"/>
    <d v="2021-10-08T00:00:00"/>
    <x v="0"/>
    <x v="1"/>
    <x v="0"/>
    <n v="900"/>
    <n v="1"/>
    <n v="900"/>
    <x v="9"/>
    <x v="2"/>
  </r>
  <r>
    <n v="1013"/>
    <d v="2021-10-09T00:00:00"/>
    <x v="0"/>
    <x v="1"/>
    <x v="0"/>
    <n v="900"/>
    <n v="1"/>
    <n v="900"/>
    <x v="9"/>
    <x v="2"/>
  </r>
  <r>
    <n v="1014"/>
    <d v="2021-10-10T00:00:00"/>
    <x v="0"/>
    <x v="0"/>
    <x v="0"/>
    <n v="1100"/>
    <n v="1"/>
    <n v="1100"/>
    <x v="9"/>
    <x v="2"/>
  </r>
  <r>
    <n v="1015"/>
    <d v="2021-10-11T00:00:00"/>
    <x v="0"/>
    <x v="2"/>
    <x v="0"/>
    <n v="900"/>
    <n v="1"/>
    <n v="900"/>
    <x v="9"/>
    <x v="2"/>
  </r>
  <r>
    <n v="1016"/>
    <d v="2021-10-12T00:00:00"/>
    <x v="0"/>
    <x v="5"/>
    <x v="1"/>
    <n v="600"/>
    <n v="1"/>
    <n v="600"/>
    <x v="9"/>
    <x v="2"/>
  </r>
  <r>
    <n v="1017"/>
    <d v="2021-10-13T00:00:00"/>
    <x v="0"/>
    <x v="5"/>
    <x v="1"/>
    <n v="600"/>
    <n v="1"/>
    <n v="600"/>
    <x v="9"/>
    <x v="2"/>
  </r>
  <r>
    <n v="1018"/>
    <d v="2021-10-14T00:00:00"/>
    <x v="0"/>
    <x v="2"/>
    <x v="0"/>
    <n v="900"/>
    <n v="1"/>
    <n v="900"/>
    <x v="9"/>
    <x v="2"/>
  </r>
  <r>
    <n v="1019"/>
    <d v="2021-10-15T00:00:00"/>
    <x v="0"/>
    <x v="6"/>
    <x v="2"/>
    <n v="850"/>
    <n v="1"/>
    <n v="850"/>
    <x v="9"/>
    <x v="2"/>
  </r>
  <r>
    <n v="1020"/>
    <d v="2021-10-16T00:00:00"/>
    <x v="0"/>
    <x v="2"/>
    <x v="0"/>
    <n v="900"/>
    <n v="1"/>
    <n v="900"/>
    <x v="9"/>
    <x v="2"/>
  </r>
  <r>
    <n v="1021"/>
    <d v="2021-10-17T00:00:00"/>
    <x v="0"/>
    <x v="5"/>
    <x v="1"/>
    <n v="600"/>
    <n v="1"/>
    <n v="600"/>
    <x v="9"/>
    <x v="2"/>
  </r>
  <r>
    <n v="1022"/>
    <d v="2021-10-18T00:00:00"/>
    <x v="1"/>
    <x v="5"/>
    <x v="1"/>
    <n v="600"/>
    <n v="1"/>
    <n v="600"/>
    <x v="9"/>
    <x v="2"/>
  </r>
  <r>
    <n v="1023"/>
    <d v="2021-10-19T00:00:00"/>
    <x v="1"/>
    <x v="0"/>
    <x v="0"/>
    <n v="1100"/>
    <n v="1"/>
    <n v="1100"/>
    <x v="9"/>
    <x v="2"/>
  </r>
  <r>
    <n v="1024"/>
    <d v="2021-10-20T00:00:00"/>
    <x v="1"/>
    <x v="1"/>
    <x v="0"/>
    <n v="900"/>
    <n v="1"/>
    <n v="900"/>
    <x v="9"/>
    <x v="2"/>
  </r>
  <r>
    <n v="1025"/>
    <d v="2021-10-21T00:00:00"/>
    <x v="1"/>
    <x v="0"/>
    <x v="0"/>
    <n v="1100"/>
    <n v="1"/>
    <n v="1100"/>
    <x v="9"/>
    <x v="2"/>
  </r>
  <r>
    <n v="1026"/>
    <d v="2021-10-22T00:00:00"/>
    <x v="1"/>
    <x v="5"/>
    <x v="1"/>
    <n v="600"/>
    <n v="1"/>
    <n v="600"/>
    <x v="9"/>
    <x v="2"/>
  </r>
  <r>
    <n v="1027"/>
    <d v="2021-10-23T00:00:00"/>
    <x v="1"/>
    <x v="7"/>
    <x v="2"/>
    <n v="1200"/>
    <n v="1"/>
    <n v="1200"/>
    <x v="9"/>
    <x v="2"/>
  </r>
  <r>
    <n v="1028"/>
    <d v="2021-10-24T00:00:00"/>
    <x v="1"/>
    <x v="9"/>
    <x v="3"/>
    <n v="600"/>
    <n v="1"/>
    <n v="600"/>
    <x v="9"/>
    <x v="2"/>
  </r>
  <r>
    <n v="1029"/>
    <d v="2021-10-25T00:00:00"/>
    <x v="1"/>
    <x v="0"/>
    <x v="0"/>
    <n v="1100"/>
    <n v="1"/>
    <n v="1100"/>
    <x v="9"/>
    <x v="2"/>
  </r>
  <r>
    <n v="1030"/>
    <d v="2021-10-26T00:00:00"/>
    <x v="1"/>
    <x v="8"/>
    <x v="3"/>
    <n v="500"/>
    <n v="1"/>
    <n v="500"/>
    <x v="9"/>
    <x v="2"/>
  </r>
  <r>
    <n v="1031"/>
    <d v="2021-10-27T00:00:00"/>
    <x v="0"/>
    <x v="1"/>
    <x v="0"/>
    <n v="900"/>
    <n v="1"/>
    <n v="900"/>
    <x v="9"/>
    <x v="2"/>
  </r>
  <r>
    <n v="1032"/>
    <d v="2021-10-28T00:00:00"/>
    <x v="0"/>
    <x v="6"/>
    <x v="2"/>
    <n v="850"/>
    <n v="1"/>
    <n v="850"/>
    <x v="9"/>
    <x v="2"/>
  </r>
  <r>
    <n v="1033"/>
    <d v="2021-10-29T00:00:00"/>
    <x v="0"/>
    <x v="5"/>
    <x v="1"/>
    <n v="600"/>
    <n v="1"/>
    <n v="600"/>
    <x v="9"/>
    <x v="2"/>
  </r>
  <r>
    <n v="1034"/>
    <d v="2021-10-30T00:00:00"/>
    <x v="0"/>
    <x v="0"/>
    <x v="0"/>
    <n v="1100"/>
    <n v="1"/>
    <n v="1100"/>
    <x v="9"/>
    <x v="2"/>
  </r>
  <r>
    <n v="1035"/>
    <d v="2021-10-31T00:00:00"/>
    <x v="0"/>
    <x v="8"/>
    <x v="3"/>
    <n v="500"/>
    <n v="1"/>
    <n v="500"/>
    <x v="9"/>
    <x v="2"/>
  </r>
  <r>
    <n v="1036"/>
    <d v="2021-11-01T00:00:00"/>
    <x v="0"/>
    <x v="5"/>
    <x v="1"/>
    <n v="600"/>
    <n v="1"/>
    <n v="600"/>
    <x v="1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8">
  <r>
    <n v="1"/>
    <x v="0"/>
    <x v="0"/>
    <x v="0"/>
    <x v="0"/>
    <n v="1100"/>
    <n v="1"/>
    <n v="1100"/>
    <n v="1100"/>
    <x v="0"/>
    <x v="0"/>
  </r>
  <r>
    <n v="2"/>
    <x v="1"/>
    <x v="0"/>
    <x v="0"/>
    <x v="0"/>
    <n v="1100"/>
    <n v="1"/>
    <n v="1100"/>
    <n v="1100"/>
    <x v="0"/>
    <x v="1"/>
  </r>
  <r>
    <n v="3"/>
    <x v="2"/>
    <x v="0"/>
    <x v="0"/>
    <x v="0"/>
    <n v="1100"/>
    <n v="1"/>
    <n v="1100"/>
    <n v="1100"/>
    <x v="0"/>
    <x v="2"/>
  </r>
  <r>
    <n v="4"/>
    <x v="3"/>
    <x v="0"/>
    <x v="0"/>
    <x v="0"/>
    <n v="1100"/>
    <n v="1"/>
    <n v="1100"/>
    <n v="1100"/>
    <x v="0"/>
    <x v="3"/>
  </r>
  <r>
    <n v="5"/>
    <x v="4"/>
    <x v="0"/>
    <x v="0"/>
    <x v="0"/>
    <n v="1100"/>
    <n v="1"/>
    <n v="1100"/>
    <n v="1100"/>
    <x v="0"/>
    <x v="4"/>
  </r>
  <r>
    <n v="6"/>
    <x v="5"/>
    <x v="0"/>
    <x v="0"/>
    <x v="0"/>
    <n v="1100"/>
    <n v="1"/>
    <n v="1100"/>
    <n v="1100"/>
    <x v="0"/>
    <x v="5"/>
  </r>
  <r>
    <n v="7"/>
    <x v="6"/>
    <x v="0"/>
    <x v="0"/>
    <x v="0"/>
    <n v="1100"/>
    <n v="2"/>
    <n v="2200"/>
    <n v="2200"/>
    <x v="0"/>
    <x v="6"/>
  </r>
  <r>
    <n v="8"/>
    <x v="7"/>
    <x v="0"/>
    <x v="0"/>
    <x v="0"/>
    <n v="1100"/>
    <n v="1"/>
    <n v="1100"/>
    <n v="1100"/>
    <x v="0"/>
    <x v="7"/>
  </r>
  <r>
    <n v="9"/>
    <x v="8"/>
    <x v="0"/>
    <x v="0"/>
    <x v="0"/>
    <n v="1100"/>
    <n v="1"/>
    <n v="1100"/>
    <n v="1100"/>
    <x v="0"/>
    <x v="8"/>
  </r>
  <r>
    <n v="10"/>
    <x v="9"/>
    <x v="0"/>
    <x v="1"/>
    <x v="0"/>
    <n v="900"/>
    <n v="1"/>
    <n v="900"/>
    <n v="900"/>
    <x v="0"/>
    <x v="9"/>
  </r>
  <r>
    <n v="11"/>
    <x v="10"/>
    <x v="1"/>
    <x v="1"/>
    <x v="0"/>
    <n v="900"/>
    <n v="1"/>
    <n v="900"/>
    <n v="900"/>
    <x v="0"/>
    <x v="10"/>
  </r>
  <r>
    <n v="12"/>
    <x v="11"/>
    <x v="1"/>
    <x v="1"/>
    <x v="0"/>
    <n v="900"/>
    <n v="1"/>
    <n v="900"/>
    <n v="900"/>
    <x v="0"/>
    <x v="11"/>
  </r>
  <r>
    <n v="13"/>
    <x v="12"/>
    <x v="1"/>
    <x v="1"/>
    <x v="0"/>
    <n v="900"/>
    <n v="2"/>
    <n v="1800"/>
    <n v="1800"/>
    <x v="0"/>
    <x v="12"/>
  </r>
  <r>
    <n v="14"/>
    <x v="13"/>
    <x v="1"/>
    <x v="1"/>
    <x v="0"/>
    <n v="900"/>
    <n v="1"/>
    <n v="900"/>
    <n v="900"/>
    <x v="0"/>
    <x v="13"/>
  </r>
  <r>
    <n v="15"/>
    <x v="14"/>
    <x v="1"/>
    <x v="1"/>
    <x v="0"/>
    <n v="900"/>
    <n v="1"/>
    <n v="900"/>
    <n v="900"/>
    <x v="0"/>
    <x v="14"/>
  </r>
  <r>
    <n v="16"/>
    <x v="15"/>
    <x v="1"/>
    <x v="0"/>
    <x v="0"/>
    <n v="1100"/>
    <n v="1"/>
    <n v="1100"/>
    <n v="1100"/>
    <x v="0"/>
    <x v="15"/>
  </r>
  <r>
    <n v="17"/>
    <x v="16"/>
    <x v="1"/>
    <x v="1"/>
    <x v="0"/>
    <n v="900"/>
    <n v="1"/>
    <n v="900"/>
    <n v="900"/>
    <x v="0"/>
    <x v="16"/>
  </r>
  <r>
    <n v="18"/>
    <x v="17"/>
    <x v="1"/>
    <x v="0"/>
    <x v="0"/>
    <n v="1100"/>
    <n v="2"/>
    <n v="2200"/>
    <n v="2200"/>
    <x v="0"/>
    <x v="17"/>
  </r>
  <r>
    <n v="19"/>
    <x v="18"/>
    <x v="1"/>
    <x v="0"/>
    <x v="0"/>
    <n v="1100"/>
    <n v="1"/>
    <n v="1100"/>
    <n v="1100"/>
    <x v="0"/>
    <x v="18"/>
  </r>
  <r>
    <n v="20"/>
    <x v="19"/>
    <x v="0"/>
    <x v="1"/>
    <x v="0"/>
    <n v="900"/>
    <n v="1"/>
    <n v="900"/>
    <n v="900"/>
    <x v="0"/>
    <x v="19"/>
  </r>
  <r>
    <n v="21"/>
    <x v="20"/>
    <x v="0"/>
    <x v="1"/>
    <x v="0"/>
    <n v="900"/>
    <n v="1"/>
    <n v="900"/>
    <n v="900"/>
    <x v="0"/>
    <x v="20"/>
  </r>
  <r>
    <n v="22"/>
    <x v="21"/>
    <x v="0"/>
    <x v="2"/>
    <x v="0"/>
    <n v="900"/>
    <n v="1"/>
    <n v="900"/>
    <n v="900"/>
    <x v="0"/>
    <x v="21"/>
  </r>
  <r>
    <n v="23"/>
    <x v="22"/>
    <x v="0"/>
    <x v="0"/>
    <x v="0"/>
    <n v="1100"/>
    <n v="1"/>
    <n v="1100"/>
    <n v="1100"/>
    <x v="0"/>
    <x v="22"/>
  </r>
  <r>
    <n v="24"/>
    <x v="23"/>
    <x v="0"/>
    <x v="0"/>
    <x v="0"/>
    <n v="1100"/>
    <n v="1"/>
    <n v="1100"/>
    <n v="1100"/>
    <x v="0"/>
    <x v="23"/>
  </r>
  <r>
    <n v="25"/>
    <x v="24"/>
    <x v="0"/>
    <x v="2"/>
    <x v="0"/>
    <n v="900"/>
    <n v="1"/>
    <n v="900"/>
    <n v="900"/>
    <x v="0"/>
    <x v="24"/>
  </r>
  <r>
    <n v="26"/>
    <x v="25"/>
    <x v="0"/>
    <x v="1"/>
    <x v="0"/>
    <n v="900"/>
    <n v="1"/>
    <n v="900"/>
    <n v="900"/>
    <x v="0"/>
    <x v="25"/>
  </r>
  <r>
    <n v="27"/>
    <x v="26"/>
    <x v="0"/>
    <x v="2"/>
    <x v="0"/>
    <n v="900"/>
    <n v="1"/>
    <n v="900"/>
    <n v="900"/>
    <x v="0"/>
    <x v="26"/>
  </r>
  <r>
    <n v="28"/>
    <x v="27"/>
    <x v="0"/>
    <x v="0"/>
    <x v="0"/>
    <n v="1100"/>
    <n v="1"/>
    <n v="1100"/>
    <n v="1100"/>
    <x v="0"/>
    <x v="27"/>
  </r>
  <r>
    <n v="29"/>
    <x v="28"/>
    <x v="0"/>
    <x v="0"/>
    <x v="0"/>
    <n v="1100"/>
    <n v="1"/>
    <n v="1100"/>
    <n v="1100"/>
    <x v="0"/>
    <x v="28"/>
  </r>
  <r>
    <n v="30"/>
    <x v="29"/>
    <x v="0"/>
    <x v="2"/>
    <x v="0"/>
    <n v="900"/>
    <n v="1"/>
    <n v="900"/>
    <n v="900"/>
    <x v="0"/>
    <x v="29"/>
  </r>
  <r>
    <n v="31"/>
    <x v="30"/>
    <x v="0"/>
    <x v="2"/>
    <x v="0"/>
    <n v="900"/>
    <n v="1"/>
    <n v="900"/>
    <n v="900"/>
    <x v="0"/>
    <x v="30"/>
  </r>
  <r>
    <n v="32"/>
    <x v="31"/>
    <x v="0"/>
    <x v="2"/>
    <x v="0"/>
    <n v="900"/>
    <n v="1"/>
    <n v="900"/>
    <n v="900"/>
    <x v="0"/>
    <x v="0"/>
  </r>
  <r>
    <n v="33"/>
    <x v="32"/>
    <x v="0"/>
    <x v="2"/>
    <x v="0"/>
    <n v="900"/>
    <n v="1"/>
    <n v="900"/>
    <n v="900"/>
    <x v="0"/>
    <x v="1"/>
  </r>
  <r>
    <n v="34"/>
    <x v="33"/>
    <x v="0"/>
    <x v="2"/>
    <x v="0"/>
    <n v="900"/>
    <n v="1"/>
    <n v="900"/>
    <n v="900"/>
    <x v="0"/>
    <x v="2"/>
  </r>
  <r>
    <n v="35"/>
    <x v="34"/>
    <x v="0"/>
    <x v="1"/>
    <x v="0"/>
    <n v="900"/>
    <n v="1"/>
    <n v="900"/>
    <n v="900"/>
    <x v="0"/>
    <x v="3"/>
  </r>
  <r>
    <n v="36"/>
    <x v="35"/>
    <x v="0"/>
    <x v="1"/>
    <x v="0"/>
    <n v="900"/>
    <n v="1"/>
    <n v="900"/>
    <n v="900"/>
    <x v="0"/>
    <x v="4"/>
  </r>
  <r>
    <n v="37"/>
    <x v="36"/>
    <x v="0"/>
    <x v="1"/>
    <x v="0"/>
    <n v="900"/>
    <n v="1"/>
    <n v="900"/>
    <n v="900"/>
    <x v="0"/>
    <x v="5"/>
  </r>
  <r>
    <n v="38"/>
    <x v="37"/>
    <x v="0"/>
    <x v="0"/>
    <x v="0"/>
    <n v="1100"/>
    <n v="1"/>
    <n v="1100"/>
    <n v="1100"/>
    <x v="0"/>
    <x v="6"/>
  </r>
  <r>
    <n v="39"/>
    <x v="38"/>
    <x v="0"/>
    <x v="0"/>
    <x v="0"/>
    <n v="1100"/>
    <n v="1"/>
    <n v="1100"/>
    <n v="1100"/>
    <x v="0"/>
    <x v="7"/>
  </r>
  <r>
    <n v="40"/>
    <x v="39"/>
    <x v="0"/>
    <x v="3"/>
    <x v="0"/>
    <n v="1000"/>
    <n v="1"/>
    <n v="1000"/>
    <n v="1000"/>
    <x v="0"/>
    <x v="8"/>
  </r>
  <r>
    <n v="41"/>
    <x v="40"/>
    <x v="0"/>
    <x v="3"/>
    <x v="0"/>
    <n v="1000"/>
    <n v="1"/>
    <n v="1000"/>
    <n v="1000"/>
    <x v="0"/>
    <x v="9"/>
  </r>
  <r>
    <n v="42"/>
    <x v="41"/>
    <x v="0"/>
    <x v="0"/>
    <x v="0"/>
    <n v="1100"/>
    <n v="1"/>
    <n v="1100"/>
    <n v="1100"/>
    <x v="0"/>
    <x v="10"/>
  </r>
  <r>
    <n v="43"/>
    <x v="42"/>
    <x v="0"/>
    <x v="3"/>
    <x v="0"/>
    <n v="1000"/>
    <n v="1"/>
    <n v="1000"/>
    <n v="1000"/>
    <x v="0"/>
    <x v="11"/>
  </r>
  <r>
    <n v="44"/>
    <x v="43"/>
    <x v="0"/>
    <x v="1"/>
    <x v="0"/>
    <n v="900"/>
    <n v="1"/>
    <n v="900"/>
    <n v="900"/>
    <x v="0"/>
    <x v="12"/>
  </r>
  <r>
    <n v="45"/>
    <x v="44"/>
    <x v="0"/>
    <x v="1"/>
    <x v="0"/>
    <n v="900"/>
    <n v="2"/>
    <n v="1800"/>
    <n v="1800"/>
    <x v="0"/>
    <x v="13"/>
  </r>
  <r>
    <n v="46"/>
    <x v="45"/>
    <x v="0"/>
    <x v="0"/>
    <x v="0"/>
    <n v="1100"/>
    <n v="1"/>
    <n v="1100"/>
    <n v="1100"/>
    <x v="0"/>
    <x v="14"/>
  </r>
  <r>
    <n v="47"/>
    <x v="46"/>
    <x v="0"/>
    <x v="1"/>
    <x v="0"/>
    <n v="900"/>
    <n v="1"/>
    <n v="900"/>
    <n v="900"/>
    <x v="0"/>
    <x v="15"/>
  </r>
  <r>
    <n v="48"/>
    <x v="47"/>
    <x v="0"/>
    <x v="0"/>
    <x v="0"/>
    <n v="1100"/>
    <n v="1"/>
    <n v="1100"/>
    <n v="1100"/>
    <x v="0"/>
    <x v="16"/>
  </r>
  <r>
    <n v="49"/>
    <x v="48"/>
    <x v="0"/>
    <x v="4"/>
    <x v="1"/>
    <n v="800"/>
    <n v="1"/>
    <n v="800"/>
    <n v="800"/>
    <x v="0"/>
    <x v="17"/>
  </r>
  <r>
    <n v="50"/>
    <x v="49"/>
    <x v="0"/>
    <x v="4"/>
    <x v="1"/>
    <n v="800"/>
    <n v="2"/>
    <n v="1600"/>
    <n v="1600"/>
    <x v="0"/>
    <x v="18"/>
  </r>
  <r>
    <n v="51"/>
    <x v="50"/>
    <x v="0"/>
    <x v="2"/>
    <x v="0"/>
    <n v="900"/>
    <n v="1"/>
    <n v="900"/>
    <n v="900"/>
    <x v="0"/>
    <x v="19"/>
  </r>
  <r>
    <n v="52"/>
    <x v="51"/>
    <x v="0"/>
    <x v="0"/>
    <x v="0"/>
    <n v="1100"/>
    <n v="1"/>
    <n v="1100"/>
    <n v="1100"/>
    <x v="0"/>
    <x v="20"/>
  </r>
  <r>
    <n v="49"/>
    <x v="48"/>
    <x v="0"/>
    <x v="4"/>
    <x v="1"/>
    <n v="800"/>
    <n v="1"/>
    <n v="800"/>
    <n v="800"/>
    <x v="0"/>
    <x v="17"/>
  </r>
  <r>
    <n v="53"/>
    <x v="52"/>
    <x v="0"/>
    <x v="4"/>
    <x v="1"/>
    <n v="800"/>
    <n v="1"/>
    <n v="800"/>
    <n v="800"/>
    <x v="0"/>
    <x v="21"/>
  </r>
  <r>
    <n v="54"/>
    <x v="53"/>
    <x v="0"/>
    <x v="3"/>
    <x v="0"/>
    <n v="1000"/>
    <n v="1"/>
    <n v="1000"/>
    <n v="1000"/>
    <x v="0"/>
    <x v="22"/>
  </r>
  <r>
    <n v="55"/>
    <x v="54"/>
    <x v="0"/>
    <x v="4"/>
    <x v="1"/>
    <n v="800"/>
    <n v="1"/>
    <n v="800"/>
    <n v="800"/>
    <x v="0"/>
    <x v="23"/>
  </r>
  <r>
    <n v="56"/>
    <x v="55"/>
    <x v="0"/>
    <x v="5"/>
    <x v="1"/>
    <n v="600"/>
    <n v="1"/>
    <n v="600"/>
    <n v="600"/>
    <x v="0"/>
    <x v="24"/>
  </r>
  <r>
    <n v="57"/>
    <x v="56"/>
    <x v="0"/>
    <x v="1"/>
    <x v="0"/>
    <n v="900"/>
    <n v="1"/>
    <n v="900"/>
    <n v="900"/>
    <x v="0"/>
    <x v="25"/>
  </r>
  <r>
    <n v="58"/>
    <x v="57"/>
    <x v="0"/>
    <x v="0"/>
    <x v="0"/>
    <n v="1100"/>
    <n v="1"/>
    <n v="1100"/>
    <n v="1100"/>
    <x v="0"/>
    <x v="26"/>
  </r>
  <r>
    <n v="59"/>
    <x v="58"/>
    <x v="0"/>
    <x v="3"/>
    <x v="0"/>
    <n v="1000"/>
    <n v="1"/>
    <n v="1000"/>
    <n v="1000"/>
    <x v="0"/>
    <x v="27"/>
  </r>
  <r>
    <n v="60"/>
    <x v="59"/>
    <x v="0"/>
    <x v="1"/>
    <x v="0"/>
    <n v="900"/>
    <n v="1"/>
    <n v="900"/>
    <n v="900"/>
    <x v="0"/>
    <x v="0"/>
  </r>
  <r>
    <n v="61"/>
    <x v="60"/>
    <x v="0"/>
    <x v="0"/>
    <x v="0"/>
    <n v="1100"/>
    <n v="2"/>
    <n v="2200"/>
    <n v="2200"/>
    <x v="0"/>
    <x v="1"/>
  </r>
  <r>
    <n v="62"/>
    <x v="61"/>
    <x v="0"/>
    <x v="5"/>
    <x v="1"/>
    <n v="600"/>
    <n v="1"/>
    <n v="600"/>
    <n v="600"/>
    <x v="0"/>
    <x v="2"/>
  </r>
  <r>
    <n v="63"/>
    <x v="62"/>
    <x v="0"/>
    <x v="5"/>
    <x v="1"/>
    <n v="600"/>
    <n v="1"/>
    <n v="600"/>
    <n v="600"/>
    <x v="0"/>
    <x v="3"/>
  </r>
  <r>
    <n v="64"/>
    <x v="63"/>
    <x v="0"/>
    <x v="5"/>
    <x v="1"/>
    <n v="600"/>
    <n v="1"/>
    <n v="600"/>
    <n v="600"/>
    <x v="0"/>
    <x v="4"/>
  </r>
  <r>
    <n v="65"/>
    <x v="64"/>
    <x v="0"/>
    <x v="1"/>
    <x v="0"/>
    <n v="900"/>
    <n v="1"/>
    <n v="900"/>
    <n v="900"/>
    <x v="0"/>
    <x v="5"/>
  </r>
  <r>
    <n v="66"/>
    <x v="65"/>
    <x v="0"/>
    <x v="5"/>
    <x v="1"/>
    <n v="600"/>
    <n v="1"/>
    <n v="600"/>
    <n v="600"/>
    <x v="0"/>
    <x v="6"/>
  </r>
  <r>
    <n v="67"/>
    <x v="66"/>
    <x v="0"/>
    <x v="5"/>
    <x v="1"/>
    <n v="600"/>
    <n v="1"/>
    <n v="600"/>
    <n v="600"/>
    <x v="0"/>
    <x v="7"/>
  </r>
  <r>
    <n v="68"/>
    <x v="67"/>
    <x v="0"/>
    <x v="0"/>
    <x v="0"/>
    <n v="1100"/>
    <n v="1"/>
    <n v="1100"/>
    <n v="1100"/>
    <x v="0"/>
    <x v="8"/>
  </r>
  <r>
    <n v="69"/>
    <x v="68"/>
    <x v="0"/>
    <x v="2"/>
    <x v="0"/>
    <n v="900"/>
    <n v="3"/>
    <n v="2700"/>
    <n v="2700"/>
    <x v="0"/>
    <x v="9"/>
  </r>
  <r>
    <n v="70"/>
    <x v="69"/>
    <x v="0"/>
    <x v="0"/>
    <x v="0"/>
    <n v="1100"/>
    <n v="2"/>
    <n v="2200"/>
    <n v="2200"/>
    <x v="0"/>
    <x v="10"/>
  </r>
  <r>
    <n v="71"/>
    <x v="70"/>
    <x v="0"/>
    <x v="0"/>
    <x v="0"/>
    <n v="1100"/>
    <n v="1"/>
    <n v="1100"/>
    <n v="1100"/>
    <x v="0"/>
    <x v="11"/>
  </r>
  <r>
    <n v="72"/>
    <x v="71"/>
    <x v="0"/>
    <x v="5"/>
    <x v="1"/>
    <n v="600"/>
    <n v="1"/>
    <n v="600"/>
    <n v="600"/>
    <x v="0"/>
    <x v="12"/>
  </r>
  <r>
    <n v="73"/>
    <x v="72"/>
    <x v="0"/>
    <x v="1"/>
    <x v="0"/>
    <n v="900"/>
    <n v="1"/>
    <n v="900"/>
    <n v="900"/>
    <x v="0"/>
    <x v="13"/>
  </r>
  <r>
    <n v="74"/>
    <x v="73"/>
    <x v="0"/>
    <x v="5"/>
    <x v="1"/>
    <n v="600"/>
    <n v="1"/>
    <n v="600"/>
    <n v="600"/>
    <x v="0"/>
    <x v="14"/>
  </r>
  <r>
    <n v="75"/>
    <x v="74"/>
    <x v="0"/>
    <x v="5"/>
    <x v="1"/>
    <n v="600"/>
    <n v="1"/>
    <n v="600"/>
    <n v="600"/>
    <x v="0"/>
    <x v="15"/>
  </r>
  <r>
    <n v="75"/>
    <x v="74"/>
    <x v="0"/>
    <x v="5"/>
    <x v="1"/>
    <n v="600"/>
    <n v="1"/>
    <n v="600"/>
    <n v="600"/>
    <x v="0"/>
    <x v="15"/>
  </r>
  <r>
    <n v="76"/>
    <x v="75"/>
    <x v="0"/>
    <x v="1"/>
    <x v="0"/>
    <n v="900"/>
    <n v="3"/>
    <n v="2700"/>
    <n v="2700"/>
    <x v="0"/>
    <x v="16"/>
  </r>
  <r>
    <n v="77"/>
    <x v="76"/>
    <x v="0"/>
    <x v="5"/>
    <x v="1"/>
    <n v="600"/>
    <n v="1"/>
    <n v="600"/>
    <n v="600"/>
    <x v="0"/>
    <x v="17"/>
  </r>
  <r>
    <n v="78"/>
    <x v="77"/>
    <x v="0"/>
    <x v="4"/>
    <x v="1"/>
    <n v="800"/>
    <n v="1"/>
    <n v="800"/>
    <n v="800"/>
    <x v="0"/>
    <x v="18"/>
  </r>
  <r>
    <n v="79"/>
    <x v="78"/>
    <x v="0"/>
    <x v="5"/>
    <x v="1"/>
    <n v="600"/>
    <n v="1"/>
    <n v="600"/>
    <n v="600"/>
    <x v="0"/>
    <x v="19"/>
  </r>
  <r>
    <n v="80"/>
    <x v="79"/>
    <x v="0"/>
    <x v="0"/>
    <x v="0"/>
    <n v="1100"/>
    <n v="1"/>
    <n v="1100"/>
    <n v="1100"/>
    <x v="0"/>
    <x v="20"/>
  </r>
  <r>
    <n v="81"/>
    <x v="80"/>
    <x v="0"/>
    <x v="2"/>
    <x v="0"/>
    <n v="900"/>
    <n v="1"/>
    <n v="900"/>
    <n v="900"/>
    <x v="0"/>
    <x v="21"/>
  </r>
  <r>
    <n v="82"/>
    <x v="81"/>
    <x v="0"/>
    <x v="0"/>
    <x v="0"/>
    <n v="1100"/>
    <n v="1"/>
    <n v="1100"/>
    <n v="1100"/>
    <x v="0"/>
    <x v="22"/>
  </r>
  <r>
    <n v="83"/>
    <x v="82"/>
    <x v="0"/>
    <x v="0"/>
    <x v="0"/>
    <n v="1100"/>
    <n v="1"/>
    <n v="1100"/>
    <n v="1100"/>
    <x v="0"/>
    <x v="23"/>
  </r>
  <r>
    <n v="84"/>
    <x v="83"/>
    <x v="0"/>
    <x v="0"/>
    <x v="0"/>
    <n v="1100"/>
    <n v="1"/>
    <n v="1100"/>
    <n v="1100"/>
    <x v="0"/>
    <x v="24"/>
  </r>
  <r>
    <n v="85"/>
    <x v="84"/>
    <x v="0"/>
    <x v="3"/>
    <x v="0"/>
    <n v="1000"/>
    <n v="1"/>
    <n v="1000"/>
    <n v="1000"/>
    <x v="0"/>
    <x v="25"/>
  </r>
  <r>
    <n v="86"/>
    <x v="85"/>
    <x v="0"/>
    <x v="5"/>
    <x v="1"/>
    <n v="600"/>
    <n v="1"/>
    <n v="600"/>
    <n v="600"/>
    <x v="0"/>
    <x v="26"/>
  </r>
  <r>
    <n v="87"/>
    <x v="86"/>
    <x v="0"/>
    <x v="4"/>
    <x v="1"/>
    <n v="800"/>
    <n v="1"/>
    <n v="800"/>
    <n v="800"/>
    <x v="0"/>
    <x v="27"/>
  </r>
  <r>
    <n v="88"/>
    <x v="87"/>
    <x v="0"/>
    <x v="0"/>
    <x v="0"/>
    <n v="1100"/>
    <n v="1"/>
    <n v="1100"/>
    <n v="1100"/>
    <x v="0"/>
    <x v="28"/>
  </r>
  <r>
    <n v="89"/>
    <x v="88"/>
    <x v="0"/>
    <x v="5"/>
    <x v="1"/>
    <n v="600"/>
    <n v="1"/>
    <n v="600"/>
    <n v="600"/>
    <x v="0"/>
    <x v="29"/>
  </r>
  <r>
    <n v="90"/>
    <x v="89"/>
    <x v="0"/>
    <x v="6"/>
    <x v="2"/>
    <n v="850"/>
    <n v="1"/>
    <n v="850"/>
    <n v="850"/>
    <x v="0"/>
    <x v="30"/>
  </r>
  <r>
    <n v="91"/>
    <x v="90"/>
    <x v="0"/>
    <x v="2"/>
    <x v="0"/>
    <n v="900"/>
    <n v="1"/>
    <n v="900"/>
    <n v="900"/>
    <x v="0"/>
    <x v="0"/>
  </r>
  <r>
    <n v="92"/>
    <x v="91"/>
    <x v="0"/>
    <x v="3"/>
    <x v="0"/>
    <n v="1000"/>
    <n v="1"/>
    <n v="1000"/>
    <n v="1000"/>
    <x v="0"/>
    <x v="1"/>
  </r>
  <r>
    <n v="93"/>
    <x v="92"/>
    <x v="0"/>
    <x v="6"/>
    <x v="2"/>
    <n v="850"/>
    <n v="1"/>
    <n v="850"/>
    <n v="850"/>
    <x v="0"/>
    <x v="2"/>
  </r>
  <r>
    <n v="94"/>
    <x v="93"/>
    <x v="0"/>
    <x v="6"/>
    <x v="2"/>
    <n v="850"/>
    <n v="1"/>
    <n v="850"/>
    <n v="850"/>
    <x v="0"/>
    <x v="3"/>
  </r>
  <r>
    <n v="95"/>
    <x v="94"/>
    <x v="0"/>
    <x v="3"/>
    <x v="0"/>
    <n v="1000"/>
    <n v="1"/>
    <n v="1000"/>
    <n v="1000"/>
    <x v="0"/>
    <x v="4"/>
  </r>
  <r>
    <n v="96"/>
    <x v="95"/>
    <x v="0"/>
    <x v="4"/>
    <x v="1"/>
    <n v="800"/>
    <n v="1"/>
    <n v="800"/>
    <n v="800"/>
    <x v="0"/>
    <x v="5"/>
  </r>
  <r>
    <n v="97"/>
    <x v="96"/>
    <x v="0"/>
    <x v="5"/>
    <x v="1"/>
    <n v="600"/>
    <n v="1"/>
    <n v="600"/>
    <n v="600"/>
    <x v="0"/>
    <x v="6"/>
  </r>
  <r>
    <n v="98"/>
    <x v="97"/>
    <x v="0"/>
    <x v="4"/>
    <x v="1"/>
    <n v="800"/>
    <n v="1"/>
    <n v="800"/>
    <n v="800"/>
    <x v="0"/>
    <x v="7"/>
  </r>
  <r>
    <n v="99"/>
    <x v="98"/>
    <x v="0"/>
    <x v="0"/>
    <x v="0"/>
    <n v="1100"/>
    <n v="1"/>
    <n v="1100"/>
    <n v="1100"/>
    <x v="0"/>
    <x v="8"/>
  </r>
  <r>
    <n v="100"/>
    <x v="99"/>
    <x v="0"/>
    <x v="6"/>
    <x v="2"/>
    <n v="850"/>
    <n v="1"/>
    <n v="850"/>
    <n v="850"/>
    <x v="0"/>
    <x v="9"/>
  </r>
  <r>
    <n v="101"/>
    <x v="100"/>
    <x v="0"/>
    <x v="6"/>
    <x v="2"/>
    <n v="850"/>
    <n v="1"/>
    <n v="850"/>
    <n v="850"/>
    <x v="0"/>
    <x v="10"/>
  </r>
  <r>
    <n v="102"/>
    <x v="101"/>
    <x v="0"/>
    <x v="6"/>
    <x v="2"/>
    <n v="850"/>
    <n v="1"/>
    <n v="850"/>
    <n v="850"/>
    <x v="0"/>
    <x v="11"/>
  </r>
  <r>
    <n v="103"/>
    <x v="102"/>
    <x v="0"/>
    <x v="5"/>
    <x v="1"/>
    <n v="600"/>
    <n v="1"/>
    <n v="600"/>
    <n v="600"/>
    <x v="0"/>
    <x v="12"/>
  </r>
  <r>
    <n v="104"/>
    <x v="103"/>
    <x v="0"/>
    <x v="6"/>
    <x v="2"/>
    <n v="850"/>
    <n v="1"/>
    <n v="850"/>
    <n v="850"/>
    <x v="0"/>
    <x v="13"/>
  </r>
  <r>
    <n v="105"/>
    <x v="104"/>
    <x v="0"/>
    <x v="6"/>
    <x v="2"/>
    <n v="850"/>
    <n v="1"/>
    <n v="850"/>
    <n v="850"/>
    <x v="0"/>
    <x v="14"/>
  </r>
  <r>
    <n v="106"/>
    <x v="105"/>
    <x v="0"/>
    <x v="0"/>
    <x v="0"/>
    <n v="1100"/>
    <n v="1"/>
    <n v="1100"/>
    <n v="1100"/>
    <x v="0"/>
    <x v="15"/>
  </r>
  <r>
    <n v="107"/>
    <x v="106"/>
    <x v="0"/>
    <x v="3"/>
    <x v="0"/>
    <n v="1000"/>
    <n v="1"/>
    <n v="1000"/>
    <n v="1000"/>
    <x v="0"/>
    <x v="16"/>
  </r>
  <r>
    <n v="108"/>
    <x v="107"/>
    <x v="0"/>
    <x v="0"/>
    <x v="0"/>
    <n v="1100"/>
    <n v="1"/>
    <n v="1100"/>
    <n v="1100"/>
    <x v="0"/>
    <x v="17"/>
  </r>
  <r>
    <n v="109"/>
    <x v="108"/>
    <x v="0"/>
    <x v="5"/>
    <x v="1"/>
    <n v="600"/>
    <n v="1"/>
    <n v="600"/>
    <n v="600"/>
    <x v="0"/>
    <x v="18"/>
  </r>
  <r>
    <n v="110"/>
    <x v="109"/>
    <x v="0"/>
    <x v="5"/>
    <x v="1"/>
    <n v="600"/>
    <n v="2"/>
    <n v="1200"/>
    <n v="1200"/>
    <x v="0"/>
    <x v="19"/>
  </r>
  <r>
    <n v="111"/>
    <x v="110"/>
    <x v="0"/>
    <x v="5"/>
    <x v="1"/>
    <n v="600"/>
    <n v="1"/>
    <n v="600"/>
    <n v="600"/>
    <x v="0"/>
    <x v="20"/>
  </r>
  <r>
    <n v="112"/>
    <x v="111"/>
    <x v="0"/>
    <x v="5"/>
    <x v="1"/>
    <n v="600"/>
    <n v="1"/>
    <n v="600"/>
    <n v="600"/>
    <x v="0"/>
    <x v="21"/>
  </r>
  <r>
    <n v="113"/>
    <x v="112"/>
    <x v="0"/>
    <x v="0"/>
    <x v="0"/>
    <n v="1100"/>
    <n v="1"/>
    <n v="1100"/>
    <n v="1100"/>
    <x v="0"/>
    <x v="22"/>
  </r>
  <r>
    <n v="114"/>
    <x v="113"/>
    <x v="0"/>
    <x v="2"/>
    <x v="0"/>
    <n v="900"/>
    <n v="1"/>
    <n v="900"/>
    <n v="900"/>
    <x v="0"/>
    <x v="23"/>
  </r>
  <r>
    <n v="115"/>
    <x v="114"/>
    <x v="0"/>
    <x v="5"/>
    <x v="1"/>
    <n v="600"/>
    <n v="1"/>
    <n v="600"/>
    <n v="600"/>
    <x v="0"/>
    <x v="24"/>
  </r>
  <r>
    <n v="116"/>
    <x v="115"/>
    <x v="0"/>
    <x v="2"/>
    <x v="0"/>
    <n v="900"/>
    <n v="1"/>
    <n v="900"/>
    <n v="900"/>
    <x v="0"/>
    <x v="25"/>
  </r>
  <r>
    <n v="117"/>
    <x v="116"/>
    <x v="0"/>
    <x v="1"/>
    <x v="0"/>
    <n v="900"/>
    <n v="1"/>
    <n v="900"/>
    <n v="900"/>
    <x v="0"/>
    <x v="26"/>
  </r>
  <r>
    <n v="118"/>
    <x v="117"/>
    <x v="0"/>
    <x v="5"/>
    <x v="1"/>
    <n v="600"/>
    <n v="1"/>
    <n v="600"/>
    <n v="600"/>
    <x v="0"/>
    <x v="27"/>
  </r>
  <r>
    <n v="119"/>
    <x v="118"/>
    <x v="0"/>
    <x v="5"/>
    <x v="1"/>
    <n v="600"/>
    <n v="1"/>
    <n v="600"/>
    <n v="600"/>
    <x v="0"/>
    <x v="28"/>
  </r>
  <r>
    <n v="120"/>
    <x v="119"/>
    <x v="0"/>
    <x v="5"/>
    <x v="1"/>
    <n v="600"/>
    <n v="1"/>
    <n v="600"/>
    <n v="600"/>
    <x v="0"/>
    <x v="29"/>
  </r>
  <r>
    <n v="121"/>
    <x v="120"/>
    <x v="0"/>
    <x v="0"/>
    <x v="0"/>
    <n v="1100"/>
    <n v="1"/>
    <n v="1100"/>
    <n v="1100"/>
    <x v="0"/>
    <x v="0"/>
  </r>
  <r>
    <n v="122"/>
    <x v="121"/>
    <x v="0"/>
    <x v="5"/>
    <x v="1"/>
    <n v="600"/>
    <n v="1"/>
    <n v="600"/>
    <n v="600"/>
    <x v="0"/>
    <x v="1"/>
  </r>
  <r>
    <n v="123"/>
    <x v="122"/>
    <x v="0"/>
    <x v="5"/>
    <x v="1"/>
    <n v="600"/>
    <n v="1"/>
    <n v="600"/>
    <n v="600"/>
    <x v="0"/>
    <x v="2"/>
  </r>
  <r>
    <n v="124"/>
    <x v="123"/>
    <x v="0"/>
    <x v="5"/>
    <x v="1"/>
    <n v="600"/>
    <n v="1"/>
    <n v="600"/>
    <n v="600"/>
    <x v="0"/>
    <x v="3"/>
  </r>
  <r>
    <n v="125"/>
    <x v="124"/>
    <x v="0"/>
    <x v="1"/>
    <x v="0"/>
    <n v="900"/>
    <n v="1"/>
    <n v="900"/>
    <n v="900"/>
    <x v="0"/>
    <x v="4"/>
  </r>
  <r>
    <n v="126"/>
    <x v="125"/>
    <x v="0"/>
    <x v="5"/>
    <x v="1"/>
    <n v="600"/>
    <n v="1"/>
    <n v="600"/>
    <n v="600"/>
    <x v="0"/>
    <x v="5"/>
  </r>
  <r>
    <n v="127"/>
    <x v="126"/>
    <x v="0"/>
    <x v="2"/>
    <x v="0"/>
    <n v="900"/>
    <n v="1"/>
    <n v="900"/>
    <n v="900"/>
    <x v="0"/>
    <x v="6"/>
  </r>
  <r>
    <n v="128"/>
    <x v="127"/>
    <x v="0"/>
    <x v="7"/>
    <x v="2"/>
    <n v="1200"/>
    <n v="1"/>
    <n v="1200"/>
    <n v="1200"/>
    <x v="0"/>
    <x v="7"/>
  </r>
  <r>
    <n v="129"/>
    <x v="128"/>
    <x v="0"/>
    <x v="0"/>
    <x v="0"/>
    <n v="1100"/>
    <n v="1"/>
    <n v="1100"/>
    <n v="1100"/>
    <x v="0"/>
    <x v="8"/>
  </r>
  <r>
    <n v="130"/>
    <x v="129"/>
    <x v="0"/>
    <x v="0"/>
    <x v="0"/>
    <n v="1100"/>
    <n v="1"/>
    <n v="1100"/>
    <n v="1100"/>
    <x v="0"/>
    <x v="9"/>
  </r>
  <r>
    <n v="131"/>
    <x v="130"/>
    <x v="0"/>
    <x v="5"/>
    <x v="1"/>
    <n v="600"/>
    <n v="1"/>
    <n v="600"/>
    <n v="600"/>
    <x v="0"/>
    <x v="10"/>
  </r>
  <r>
    <n v="132"/>
    <x v="131"/>
    <x v="0"/>
    <x v="5"/>
    <x v="1"/>
    <n v="600"/>
    <n v="2"/>
    <n v="1200"/>
    <n v="1200"/>
    <x v="0"/>
    <x v="11"/>
  </r>
  <r>
    <n v="133"/>
    <x v="132"/>
    <x v="0"/>
    <x v="7"/>
    <x v="2"/>
    <n v="1200"/>
    <n v="1"/>
    <n v="1200"/>
    <n v="1200"/>
    <x v="0"/>
    <x v="12"/>
  </r>
  <r>
    <n v="134"/>
    <x v="133"/>
    <x v="0"/>
    <x v="7"/>
    <x v="2"/>
    <n v="1200"/>
    <n v="1"/>
    <n v="1200"/>
    <n v="1200"/>
    <x v="0"/>
    <x v="13"/>
  </r>
  <r>
    <n v="135"/>
    <x v="134"/>
    <x v="0"/>
    <x v="3"/>
    <x v="0"/>
    <n v="1000"/>
    <n v="1"/>
    <n v="1000"/>
    <n v="1000"/>
    <x v="0"/>
    <x v="14"/>
  </r>
  <r>
    <n v="136"/>
    <x v="135"/>
    <x v="0"/>
    <x v="4"/>
    <x v="1"/>
    <n v="800"/>
    <n v="2"/>
    <n v="1600"/>
    <n v="1600"/>
    <x v="0"/>
    <x v="15"/>
  </r>
  <r>
    <n v="137"/>
    <x v="136"/>
    <x v="0"/>
    <x v="7"/>
    <x v="2"/>
    <n v="1200"/>
    <n v="1"/>
    <n v="1200"/>
    <n v="1200"/>
    <x v="0"/>
    <x v="16"/>
  </r>
  <r>
    <n v="138"/>
    <x v="137"/>
    <x v="0"/>
    <x v="2"/>
    <x v="0"/>
    <n v="900"/>
    <n v="1"/>
    <n v="900"/>
    <n v="900"/>
    <x v="0"/>
    <x v="17"/>
  </r>
  <r>
    <n v="139"/>
    <x v="138"/>
    <x v="0"/>
    <x v="3"/>
    <x v="0"/>
    <n v="1000"/>
    <n v="1"/>
    <n v="1000"/>
    <n v="1000"/>
    <x v="0"/>
    <x v="18"/>
  </r>
  <r>
    <n v="140"/>
    <x v="139"/>
    <x v="0"/>
    <x v="4"/>
    <x v="1"/>
    <n v="800"/>
    <n v="1"/>
    <n v="800"/>
    <n v="800"/>
    <x v="0"/>
    <x v="19"/>
  </r>
  <r>
    <n v="141"/>
    <x v="140"/>
    <x v="0"/>
    <x v="7"/>
    <x v="2"/>
    <n v="1200"/>
    <n v="1"/>
    <n v="1200"/>
    <n v="1200"/>
    <x v="0"/>
    <x v="20"/>
  </r>
  <r>
    <n v="142"/>
    <x v="141"/>
    <x v="0"/>
    <x v="7"/>
    <x v="2"/>
    <n v="1200"/>
    <n v="1"/>
    <n v="1200"/>
    <n v="1200"/>
    <x v="0"/>
    <x v="21"/>
  </r>
  <r>
    <n v="143"/>
    <x v="142"/>
    <x v="0"/>
    <x v="4"/>
    <x v="1"/>
    <n v="800"/>
    <n v="2"/>
    <n v="1600"/>
    <n v="1600"/>
    <x v="0"/>
    <x v="22"/>
  </r>
  <r>
    <n v="144"/>
    <x v="143"/>
    <x v="0"/>
    <x v="1"/>
    <x v="0"/>
    <n v="900"/>
    <n v="1"/>
    <n v="900"/>
    <n v="900"/>
    <x v="0"/>
    <x v="23"/>
  </r>
  <r>
    <n v="145"/>
    <x v="144"/>
    <x v="0"/>
    <x v="3"/>
    <x v="0"/>
    <n v="1000"/>
    <n v="1"/>
    <n v="1000"/>
    <n v="1000"/>
    <x v="0"/>
    <x v="24"/>
  </r>
  <r>
    <n v="146"/>
    <x v="145"/>
    <x v="0"/>
    <x v="3"/>
    <x v="0"/>
    <n v="1000"/>
    <n v="1"/>
    <n v="1000"/>
    <n v="1000"/>
    <x v="0"/>
    <x v="25"/>
  </r>
  <r>
    <n v="147"/>
    <x v="146"/>
    <x v="0"/>
    <x v="5"/>
    <x v="1"/>
    <n v="600"/>
    <n v="1"/>
    <n v="600"/>
    <n v="600"/>
    <x v="0"/>
    <x v="26"/>
  </r>
  <r>
    <n v="148"/>
    <x v="147"/>
    <x v="0"/>
    <x v="6"/>
    <x v="2"/>
    <n v="850"/>
    <n v="1"/>
    <n v="850"/>
    <n v="850"/>
    <x v="0"/>
    <x v="27"/>
  </r>
  <r>
    <n v="149"/>
    <x v="148"/>
    <x v="0"/>
    <x v="5"/>
    <x v="1"/>
    <n v="600"/>
    <n v="1"/>
    <n v="600"/>
    <n v="600"/>
    <x v="0"/>
    <x v="28"/>
  </r>
  <r>
    <n v="150"/>
    <x v="149"/>
    <x v="0"/>
    <x v="6"/>
    <x v="2"/>
    <n v="850"/>
    <n v="1"/>
    <n v="850"/>
    <n v="850"/>
    <x v="0"/>
    <x v="29"/>
  </r>
  <r>
    <n v="151"/>
    <x v="150"/>
    <x v="0"/>
    <x v="6"/>
    <x v="2"/>
    <n v="850"/>
    <n v="1"/>
    <n v="850"/>
    <n v="850"/>
    <x v="0"/>
    <x v="30"/>
  </r>
  <r>
    <n v="152"/>
    <x v="151"/>
    <x v="0"/>
    <x v="1"/>
    <x v="0"/>
    <n v="900"/>
    <n v="1"/>
    <n v="900"/>
    <n v="900"/>
    <x v="0"/>
    <x v="0"/>
  </r>
  <r>
    <n v="153"/>
    <x v="152"/>
    <x v="0"/>
    <x v="7"/>
    <x v="2"/>
    <n v="1200"/>
    <n v="2"/>
    <n v="2400"/>
    <n v="2400"/>
    <x v="0"/>
    <x v="1"/>
  </r>
  <r>
    <n v="154"/>
    <x v="153"/>
    <x v="0"/>
    <x v="4"/>
    <x v="1"/>
    <n v="800"/>
    <n v="1"/>
    <n v="800"/>
    <n v="800"/>
    <x v="0"/>
    <x v="2"/>
  </r>
  <r>
    <n v="155"/>
    <x v="154"/>
    <x v="0"/>
    <x v="4"/>
    <x v="1"/>
    <n v="800"/>
    <n v="1"/>
    <n v="800"/>
    <n v="800"/>
    <x v="0"/>
    <x v="3"/>
  </r>
  <r>
    <n v="156"/>
    <x v="155"/>
    <x v="0"/>
    <x v="2"/>
    <x v="0"/>
    <n v="900"/>
    <n v="1"/>
    <n v="900"/>
    <n v="900"/>
    <x v="0"/>
    <x v="4"/>
  </r>
  <r>
    <n v="157"/>
    <x v="156"/>
    <x v="0"/>
    <x v="4"/>
    <x v="1"/>
    <n v="800"/>
    <n v="1"/>
    <n v="800"/>
    <n v="800"/>
    <x v="0"/>
    <x v="5"/>
  </r>
  <r>
    <n v="158"/>
    <x v="157"/>
    <x v="0"/>
    <x v="5"/>
    <x v="1"/>
    <n v="600"/>
    <n v="1"/>
    <n v="600"/>
    <n v="600"/>
    <x v="0"/>
    <x v="6"/>
  </r>
  <r>
    <n v="159"/>
    <x v="158"/>
    <x v="0"/>
    <x v="1"/>
    <x v="0"/>
    <n v="900"/>
    <n v="3"/>
    <n v="2700"/>
    <n v="2700"/>
    <x v="0"/>
    <x v="7"/>
  </r>
  <r>
    <n v="160"/>
    <x v="159"/>
    <x v="0"/>
    <x v="5"/>
    <x v="1"/>
    <n v="600"/>
    <n v="1"/>
    <n v="600"/>
    <n v="600"/>
    <x v="0"/>
    <x v="8"/>
  </r>
  <r>
    <n v="161"/>
    <x v="160"/>
    <x v="0"/>
    <x v="4"/>
    <x v="1"/>
    <n v="800"/>
    <n v="1"/>
    <n v="800"/>
    <n v="800"/>
    <x v="0"/>
    <x v="9"/>
  </r>
  <r>
    <n v="162"/>
    <x v="161"/>
    <x v="0"/>
    <x v="5"/>
    <x v="1"/>
    <n v="600"/>
    <n v="1"/>
    <n v="600"/>
    <n v="600"/>
    <x v="0"/>
    <x v="10"/>
  </r>
  <r>
    <n v="163"/>
    <x v="162"/>
    <x v="0"/>
    <x v="0"/>
    <x v="0"/>
    <n v="1100"/>
    <n v="1"/>
    <n v="1100"/>
    <n v="1100"/>
    <x v="0"/>
    <x v="11"/>
  </r>
  <r>
    <n v="164"/>
    <x v="163"/>
    <x v="0"/>
    <x v="2"/>
    <x v="0"/>
    <n v="900"/>
    <n v="1"/>
    <n v="900"/>
    <n v="900"/>
    <x v="0"/>
    <x v="12"/>
  </r>
  <r>
    <n v="165"/>
    <x v="164"/>
    <x v="0"/>
    <x v="0"/>
    <x v="0"/>
    <n v="1100"/>
    <n v="1"/>
    <n v="1100"/>
    <n v="1100"/>
    <x v="0"/>
    <x v="13"/>
  </r>
  <r>
    <n v="166"/>
    <x v="165"/>
    <x v="0"/>
    <x v="0"/>
    <x v="0"/>
    <n v="1100"/>
    <n v="1"/>
    <n v="1100"/>
    <n v="1100"/>
    <x v="0"/>
    <x v="14"/>
  </r>
  <r>
    <n v="167"/>
    <x v="166"/>
    <x v="0"/>
    <x v="7"/>
    <x v="2"/>
    <n v="1200"/>
    <n v="1"/>
    <n v="1200"/>
    <n v="1200"/>
    <x v="0"/>
    <x v="15"/>
  </r>
  <r>
    <n v="168"/>
    <x v="167"/>
    <x v="0"/>
    <x v="7"/>
    <x v="2"/>
    <n v="1200"/>
    <n v="1"/>
    <n v="1200"/>
    <n v="1200"/>
    <x v="0"/>
    <x v="16"/>
  </r>
  <r>
    <n v="169"/>
    <x v="168"/>
    <x v="0"/>
    <x v="0"/>
    <x v="0"/>
    <n v="1100"/>
    <n v="1"/>
    <n v="1100"/>
    <n v="1100"/>
    <x v="0"/>
    <x v="17"/>
  </r>
  <r>
    <n v="170"/>
    <x v="169"/>
    <x v="0"/>
    <x v="0"/>
    <x v="0"/>
    <n v="1100"/>
    <n v="1"/>
    <n v="1100"/>
    <n v="1100"/>
    <x v="0"/>
    <x v="18"/>
  </r>
  <r>
    <n v="171"/>
    <x v="170"/>
    <x v="0"/>
    <x v="8"/>
    <x v="3"/>
    <n v="900"/>
    <n v="1"/>
    <n v="900"/>
    <n v="900"/>
    <x v="0"/>
    <x v="19"/>
  </r>
  <r>
    <n v="172"/>
    <x v="171"/>
    <x v="0"/>
    <x v="2"/>
    <x v="0"/>
    <n v="900"/>
    <n v="1"/>
    <n v="900"/>
    <n v="900"/>
    <x v="0"/>
    <x v="20"/>
  </r>
  <r>
    <n v="173"/>
    <x v="172"/>
    <x v="0"/>
    <x v="8"/>
    <x v="3"/>
    <n v="800"/>
    <n v="1"/>
    <n v="800"/>
    <n v="800"/>
    <x v="0"/>
    <x v="21"/>
  </r>
  <r>
    <n v="174"/>
    <x v="173"/>
    <x v="0"/>
    <x v="5"/>
    <x v="1"/>
    <n v="600"/>
    <n v="1"/>
    <n v="600"/>
    <n v="600"/>
    <x v="0"/>
    <x v="22"/>
  </r>
  <r>
    <n v="175"/>
    <x v="174"/>
    <x v="0"/>
    <x v="8"/>
    <x v="3"/>
    <n v="800"/>
    <n v="1"/>
    <n v="800"/>
    <n v="800"/>
    <x v="0"/>
    <x v="23"/>
  </r>
  <r>
    <n v="176"/>
    <x v="175"/>
    <x v="0"/>
    <x v="2"/>
    <x v="0"/>
    <n v="900"/>
    <n v="1"/>
    <n v="900"/>
    <n v="900"/>
    <x v="0"/>
    <x v="24"/>
  </r>
  <r>
    <n v="177"/>
    <x v="176"/>
    <x v="0"/>
    <x v="7"/>
    <x v="2"/>
    <n v="1200"/>
    <n v="1"/>
    <n v="1200"/>
    <n v="1200"/>
    <x v="0"/>
    <x v="25"/>
  </r>
  <r>
    <n v="178"/>
    <x v="177"/>
    <x v="0"/>
    <x v="8"/>
    <x v="3"/>
    <n v="800"/>
    <n v="1"/>
    <n v="800"/>
    <n v="800"/>
    <x v="0"/>
    <x v="26"/>
  </r>
  <r>
    <n v="179"/>
    <x v="178"/>
    <x v="0"/>
    <x v="1"/>
    <x v="0"/>
    <n v="900"/>
    <n v="1"/>
    <n v="900"/>
    <n v="900"/>
    <x v="0"/>
    <x v="27"/>
  </r>
  <r>
    <n v="180"/>
    <x v="179"/>
    <x v="0"/>
    <x v="7"/>
    <x v="2"/>
    <n v="1200"/>
    <n v="1"/>
    <n v="1200"/>
    <n v="1200"/>
    <x v="0"/>
    <x v="28"/>
  </r>
  <r>
    <n v="181"/>
    <x v="180"/>
    <x v="0"/>
    <x v="0"/>
    <x v="0"/>
    <n v="1100"/>
    <n v="1"/>
    <n v="1100"/>
    <n v="1100"/>
    <x v="0"/>
    <x v="29"/>
  </r>
  <r>
    <n v="182"/>
    <x v="181"/>
    <x v="0"/>
    <x v="7"/>
    <x v="2"/>
    <n v="1200"/>
    <n v="1"/>
    <n v="1200"/>
    <n v="1200"/>
    <x v="0"/>
    <x v="0"/>
  </r>
  <r>
    <n v="183"/>
    <x v="182"/>
    <x v="0"/>
    <x v="2"/>
    <x v="0"/>
    <n v="900"/>
    <n v="1"/>
    <n v="900"/>
    <n v="900"/>
    <x v="0"/>
    <x v="1"/>
  </r>
  <r>
    <n v="184"/>
    <x v="183"/>
    <x v="0"/>
    <x v="0"/>
    <x v="0"/>
    <n v="1100"/>
    <n v="2"/>
    <n v="2200"/>
    <n v="2200"/>
    <x v="0"/>
    <x v="2"/>
  </r>
  <r>
    <n v="185"/>
    <x v="184"/>
    <x v="0"/>
    <x v="7"/>
    <x v="2"/>
    <n v="1200"/>
    <n v="1"/>
    <n v="1200"/>
    <n v="1200"/>
    <x v="0"/>
    <x v="3"/>
  </r>
  <r>
    <n v="186"/>
    <x v="185"/>
    <x v="0"/>
    <x v="0"/>
    <x v="0"/>
    <n v="1100"/>
    <n v="1"/>
    <n v="1100"/>
    <n v="1100"/>
    <x v="0"/>
    <x v="4"/>
  </r>
  <r>
    <n v="187"/>
    <x v="186"/>
    <x v="0"/>
    <x v="1"/>
    <x v="0"/>
    <n v="900"/>
    <n v="1"/>
    <n v="900"/>
    <n v="900"/>
    <x v="0"/>
    <x v="5"/>
  </r>
  <r>
    <n v="188"/>
    <x v="187"/>
    <x v="0"/>
    <x v="5"/>
    <x v="1"/>
    <n v="600"/>
    <n v="1"/>
    <n v="600"/>
    <n v="600"/>
    <x v="0"/>
    <x v="6"/>
  </r>
  <r>
    <n v="189"/>
    <x v="188"/>
    <x v="0"/>
    <x v="8"/>
    <x v="3"/>
    <n v="900"/>
    <n v="1"/>
    <n v="900"/>
    <n v="900"/>
    <x v="0"/>
    <x v="7"/>
  </r>
  <r>
    <n v="190"/>
    <x v="189"/>
    <x v="0"/>
    <x v="4"/>
    <x v="1"/>
    <n v="800"/>
    <n v="1"/>
    <n v="800"/>
    <n v="800"/>
    <x v="0"/>
    <x v="8"/>
  </r>
  <r>
    <n v="191"/>
    <x v="190"/>
    <x v="0"/>
    <x v="0"/>
    <x v="0"/>
    <n v="1100"/>
    <n v="1"/>
    <n v="1100"/>
    <n v="1100"/>
    <x v="0"/>
    <x v="9"/>
  </r>
  <r>
    <n v="192"/>
    <x v="191"/>
    <x v="0"/>
    <x v="2"/>
    <x v="0"/>
    <n v="900"/>
    <n v="1"/>
    <n v="900"/>
    <n v="900"/>
    <x v="0"/>
    <x v="10"/>
  </r>
  <r>
    <n v="193"/>
    <x v="192"/>
    <x v="0"/>
    <x v="3"/>
    <x v="0"/>
    <n v="1000"/>
    <n v="1"/>
    <n v="1000"/>
    <n v="1000"/>
    <x v="0"/>
    <x v="11"/>
  </r>
  <r>
    <n v="194"/>
    <x v="193"/>
    <x v="0"/>
    <x v="6"/>
    <x v="2"/>
    <n v="850"/>
    <n v="1"/>
    <n v="850"/>
    <n v="850"/>
    <x v="0"/>
    <x v="12"/>
  </r>
  <r>
    <n v="195"/>
    <x v="194"/>
    <x v="0"/>
    <x v="5"/>
    <x v="1"/>
    <n v="600"/>
    <n v="1"/>
    <n v="600"/>
    <n v="600"/>
    <x v="0"/>
    <x v="13"/>
  </r>
  <r>
    <n v="196"/>
    <x v="195"/>
    <x v="0"/>
    <x v="2"/>
    <x v="0"/>
    <n v="900"/>
    <n v="1"/>
    <n v="900"/>
    <n v="900"/>
    <x v="0"/>
    <x v="14"/>
  </r>
  <r>
    <n v="197"/>
    <x v="196"/>
    <x v="0"/>
    <x v="3"/>
    <x v="0"/>
    <n v="1000"/>
    <n v="1"/>
    <n v="1000"/>
    <n v="1000"/>
    <x v="0"/>
    <x v="15"/>
  </r>
  <r>
    <n v="198"/>
    <x v="197"/>
    <x v="0"/>
    <x v="2"/>
    <x v="0"/>
    <n v="900"/>
    <n v="1"/>
    <n v="900"/>
    <n v="900"/>
    <x v="0"/>
    <x v="16"/>
  </r>
  <r>
    <n v="199"/>
    <x v="198"/>
    <x v="0"/>
    <x v="1"/>
    <x v="0"/>
    <n v="900"/>
    <n v="1"/>
    <n v="900"/>
    <n v="900"/>
    <x v="0"/>
    <x v="17"/>
  </r>
  <r>
    <n v="200"/>
    <x v="199"/>
    <x v="0"/>
    <x v="5"/>
    <x v="1"/>
    <n v="600"/>
    <n v="1"/>
    <n v="600"/>
    <n v="600"/>
    <x v="0"/>
    <x v="18"/>
  </r>
  <r>
    <n v="201"/>
    <x v="200"/>
    <x v="0"/>
    <x v="8"/>
    <x v="3"/>
    <n v="900"/>
    <n v="1"/>
    <n v="900"/>
    <n v="900"/>
    <x v="0"/>
    <x v="19"/>
  </r>
  <r>
    <n v="202"/>
    <x v="201"/>
    <x v="0"/>
    <x v="8"/>
    <x v="3"/>
    <n v="800"/>
    <n v="1"/>
    <n v="800"/>
    <n v="800"/>
    <x v="0"/>
    <x v="20"/>
  </r>
  <r>
    <n v="203"/>
    <x v="202"/>
    <x v="0"/>
    <x v="4"/>
    <x v="1"/>
    <n v="800"/>
    <n v="1"/>
    <n v="800"/>
    <n v="800"/>
    <x v="0"/>
    <x v="21"/>
  </r>
  <r>
    <n v="204"/>
    <x v="203"/>
    <x v="0"/>
    <x v="5"/>
    <x v="1"/>
    <n v="600"/>
    <n v="1"/>
    <n v="600"/>
    <n v="600"/>
    <x v="0"/>
    <x v="22"/>
  </r>
  <r>
    <n v="205"/>
    <x v="204"/>
    <x v="0"/>
    <x v="8"/>
    <x v="3"/>
    <n v="500"/>
    <n v="1"/>
    <n v="500"/>
    <n v="500"/>
    <x v="0"/>
    <x v="23"/>
  </r>
  <r>
    <n v="206"/>
    <x v="205"/>
    <x v="0"/>
    <x v="2"/>
    <x v="0"/>
    <n v="900"/>
    <n v="1"/>
    <n v="900"/>
    <n v="900"/>
    <x v="0"/>
    <x v="24"/>
  </r>
  <r>
    <n v="207"/>
    <x v="206"/>
    <x v="0"/>
    <x v="0"/>
    <x v="0"/>
    <n v="1100"/>
    <n v="1"/>
    <n v="1100"/>
    <n v="1100"/>
    <x v="0"/>
    <x v="25"/>
  </r>
  <r>
    <n v="208"/>
    <x v="207"/>
    <x v="0"/>
    <x v="8"/>
    <x v="3"/>
    <n v="500"/>
    <n v="1"/>
    <n v="500"/>
    <n v="500"/>
    <x v="0"/>
    <x v="26"/>
  </r>
  <r>
    <n v="209"/>
    <x v="208"/>
    <x v="0"/>
    <x v="5"/>
    <x v="1"/>
    <n v="600"/>
    <n v="1"/>
    <n v="600"/>
    <n v="600"/>
    <x v="0"/>
    <x v="27"/>
  </r>
  <r>
    <n v="210"/>
    <x v="209"/>
    <x v="0"/>
    <x v="2"/>
    <x v="0"/>
    <n v="900"/>
    <n v="1"/>
    <n v="900"/>
    <n v="900"/>
    <x v="0"/>
    <x v="28"/>
  </r>
  <r>
    <n v="211"/>
    <x v="210"/>
    <x v="0"/>
    <x v="8"/>
    <x v="3"/>
    <n v="500"/>
    <n v="1"/>
    <n v="500"/>
    <n v="500"/>
    <x v="0"/>
    <x v="29"/>
  </r>
  <r>
    <n v="212"/>
    <x v="211"/>
    <x v="0"/>
    <x v="8"/>
    <x v="3"/>
    <n v="500"/>
    <n v="1"/>
    <n v="500"/>
    <n v="500"/>
    <x v="0"/>
    <x v="30"/>
  </r>
  <r>
    <n v="213"/>
    <x v="212"/>
    <x v="0"/>
    <x v="5"/>
    <x v="1"/>
    <n v="600"/>
    <n v="1"/>
    <n v="600"/>
    <n v="600"/>
    <x v="0"/>
    <x v="0"/>
  </r>
  <r>
    <n v="214"/>
    <x v="213"/>
    <x v="0"/>
    <x v="5"/>
    <x v="1"/>
    <n v="600"/>
    <n v="1"/>
    <n v="600"/>
    <n v="600"/>
    <x v="0"/>
    <x v="1"/>
  </r>
  <r>
    <n v="215"/>
    <x v="214"/>
    <x v="0"/>
    <x v="4"/>
    <x v="1"/>
    <n v="800"/>
    <n v="1"/>
    <n v="800"/>
    <n v="800"/>
    <x v="0"/>
    <x v="2"/>
  </r>
  <r>
    <n v="216"/>
    <x v="215"/>
    <x v="0"/>
    <x v="6"/>
    <x v="2"/>
    <n v="850"/>
    <n v="1"/>
    <n v="850"/>
    <n v="850"/>
    <x v="0"/>
    <x v="3"/>
  </r>
  <r>
    <n v="217"/>
    <x v="216"/>
    <x v="0"/>
    <x v="8"/>
    <x v="3"/>
    <n v="500"/>
    <n v="1"/>
    <n v="500"/>
    <n v="500"/>
    <x v="0"/>
    <x v="4"/>
  </r>
  <r>
    <n v="218"/>
    <x v="217"/>
    <x v="0"/>
    <x v="8"/>
    <x v="3"/>
    <n v="500"/>
    <n v="1"/>
    <n v="500"/>
    <n v="500"/>
    <x v="0"/>
    <x v="5"/>
  </r>
  <r>
    <n v="219"/>
    <x v="218"/>
    <x v="0"/>
    <x v="0"/>
    <x v="0"/>
    <n v="1100"/>
    <n v="1"/>
    <n v="1100"/>
    <n v="1100"/>
    <x v="0"/>
    <x v="6"/>
  </r>
  <r>
    <n v="220"/>
    <x v="219"/>
    <x v="0"/>
    <x v="8"/>
    <x v="3"/>
    <n v="500"/>
    <n v="1"/>
    <n v="500"/>
    <n v="500"/>
    <x v="0"/>
    <x v="7"/>
  </r>
  <r>
    <n v="221"/>
    <x v="220"/>
    <x v="0"/>
    <x v="3"/>
    <x v="0"/>
    <n v="1000"/>
    <n v="1"/>
    <n v="1000"/>
    <n v="1000"/>
    <x v="0"/>
    <x v="8"/>
  </r>
  <r>
    <n v="222"/>
    <x v="221"/>
    <x v="0"/>
    <x v="4"/>
    <x v="1"/>
    <n v="800"/>
    <n v="1"/>
    <n v="800"/>
    <n v="800"/>
    <x v="0"/>
    <x v="9"/>
  </r>
  <r>
    <n v="223"/>
    <x v="222"/>
    <x v="0"/>
    <x v="9"/>
    <x v="3"/>
    <n v="600"/>
    <n v="1"/>
    <n v="600"/>
    <n v="600"/>
    <x v="0"/>
    <x v="10"/>
  </r>
  <r>
    <n v="224"/>
    <x v="223"/>
    <x v="0"/>
    <x v="9"/>
    <x v="3"/>
    <n v="600"/>
    <n v="1"/>
    <n v="600"/>
    <n v="600"/>
    <x v="0"/>
    <x v="11"/>
  </r>
  <r>
    <n v="225"/>
    <x v="224"/>
    <x v="0"/>
    <x v="6"/>
    <x v="2"/>
    <n v="850"/>
    <n v="1"/>
    <n v="850"/>
    <n v="850"/>
    <x v="0"/>
    <x v="12"/>
  </r>
  <r>
    <n v="226"/>
    <x v="225"/>
    <x v="0"/>
    <x v="9"/>
    <x v="3"/>
    <n v="600"/>
    <n v="1"/>
    <n v="600"/>
    <n v="600"/>
    <x v="0"/>
    <x v="13"/>
  </r>
  <r>
    <n v="227"/>
    <x v="226"/>
    <x v="0"/>
    <x v="5"/>
    <x v="1"/>
    <n v="600"/>
    <n v="1"/>
    <n v="600"/>
    <n v="600"/>
    <x v="0"/>
    <x v="14"/>
  </r>
  <r>
    <n v="228"/>
    <x v="227"/>
    <x v="0"/>
    <x v="9"/>
    <x v="3"/>
    <n v="600"/>
    <n v="1"/>
    <n v="600"/>
    <n v="600"/>
    <x v="0"/>
    <x v="15"/>
  </r>
  <r>
    <n v="229"/>
    <x v="228"/>
    <x v="0"/>
    <x v="0"/>
    <x v="0"/>
    <n v="1100"/>
    <n v="1"/>
    <n v="1100"/>
    <n v="1100"/>
    <x v="0"/>
    <x v="16"/>
  </r>
  <r>
    <n v="230"/>
    <x v="229"/>
    <x v="0"/>
    <x v="5"/>
    <x v="1"/>
    <n v="600"/>
    <n v="1"/>
    <n v="600"/>
    <n v="600"/>
    <x v="0"/>
    <x v="17"/>
  </r>
  <r>
    <n v="231"/>
    <x v="230"/>
    <x v="0"/>
    <x v="0"/>
    <x v="0"/>
    <n v="1100"/>
    <n v="1"/>
    <n v="1100"/>
    <n v="1100"/>
    <x v="0"/>
    <x v="18"/>
  </r>
  <r>
    <n v="232"/>
    <x v="231"/>
    <x v="0"/>
    <x v="0"/>
    <x v="0"/>
    <n v="1100"/>
    <n v="1"/>
    <n v="1100"/>
    <n v="1100"/>
    <x v="0"/>
    <x v="19"/>
  </r>
  <r>
    <n v="233"/>
    <x v="232"/>
    <x v="0"/>
    <x v="0"/>
    <x v="0"/>
    <n v="1100"/>
    <n v="1"/>
    <n v="1100"/>
    <n v="1100"/>
    <x v="0"/>
    <x v="20"/>
  </r>
  <r>
    <n v="234"/>
    <x v="233"/>
    <x v="0"/>
    <x v="6"/>
    <x v="2"/>
    <n v="850"/>
    <n v="1"/>
    <n v="850"/>
    <n v="850"/>
    <x v="0"/>
    <x v="21"/>
  </r>
  <r>
    <n v="235"/>
    <x v="234"/>
    <x v="0"/>
    <x v="5"/>
    <x v="1"/>
    <n v="600"/>
    <n v="1"/>
    <n v="600"/>
    <n v="600"/>
    <x v="0"/>
    <x v="22"/>
  </r>
  <r>
    <n v="236"/>
    <x v="235"/>
    <x v="0"/>
    <x v="5"/>
    <x v="1"/>
    <n v="600"/>
    <n v="1"/>
    <n v="600"/>
    <n v="600"/>
    <x v="0"/>
    <x v="23"/>
  </r>
  <r>
    <n v="237"/>
    <x v="236"/>
    <x v="0"/>
    <x v="4"/>
    <x v="1"/>
    <n v="800"/>
    <n v="1"/>
    <n v="800"/>
    <n v="800"/>
    <x v="0"/>
    <x v="24"/>
  </r>
  <r>
    <n v="238"/>
    <x v="237"/>
    <x v="0"/>
    <x v="7"/>
    <x v="2"/>
    <n v="1200"/>
    <n v="1"/>
    <n v="1200"/>
    <n v="1200"/>
    <x v="0"/>
    <x v="25"/>
  </r>
  <r>
    <n v="239"/>
    <x v="238"/>
    <x v="0"/>
    <x v="3"/>
    <x v="0"/>
    <n v="1000"/>
    <n v="1"/>
    <n v="1000"/>
    <n v="1000"/>
    <x v="0"/>
    <x v="26"/>
  </r>
  <r>
    <n v="240"/>
    <x v="239"/>
    <x v="0"/>
    <x v="9"/>
    <x v="3"/>
    <n v="600"/>
    <n v="1"/>
    <n v="600"/>
    <n v="600"/>
    <x v="0"/>
    <x v="27"/>
  </r>
  <r>
    <n v="241"/>
    <x v="240"/>
    <x v="0"/>
    <x v="2"/>
    <x v="0"/>
    <n v="900"/>
    <n v="1"/>
    <n v="900"/>
    <n v="900"/>
    <x v="0"/>
    <x v="28"/>
  </r>
  <r>
    <n v="242"/>
    <x v="241"/>
    <x v="0"/>
    <x v="5"/>
    <x v="1"/>
    <n v="600"/>
    <n v="1"/>
    <n v="600"/>
    <n v="600"/>
    <x v="0"/>
    <x v="29"/>
  </r>
  <r>
    <n v="243"/>
    <x v="242"/>
    <x v="0"/>
    <x v="1"/>
    <x v="0"/>
    <n v="900"/>
    <n v="1"/>
    <n v="900"/>
    <n v="900"/>
    <x v="0"/>
    <x v="30"/>
  </r>
  <r>
    <n v="244"/>
    <x v="243"/>
    <x v="0"/>
    <x v="9"/>
    <x v="3"/>
    <n v="600"/>
    <n v="1"/>
    <n v="600"/>
    <n v="600"/>
    <x v="0"/>
    <x v="0"/>
  </r>
  <r>
    <n v="245"/>
    <x v="244"/>
    <x v="0"/>
    <x v="6"/>
    <x v="2"/>
    <n v="850"/>
    <n v="1"/>
    <n v="850"/>
    <n v="850"/>
    <x v="0"/>
    <x v="1"/>
  </r>
  <r>
    <n v="246"/>
    <x v="245"/>
    <x v="0"/>
    <x v="2"/>
    <x v="0"/>
    <n v="900"/>
    <n v="1"/>
    <n v="900"/>
    <n v="900"/>
    <x v="0"/>
    <x v="2"/>
  </r>
  <r>
    <n v="247"/>
    <x v="246"/>
    <x v="0"/>
    <x v="0"/>
    <x v="0"/>
    <n v="1100"/>
    <n v="1"/>
    <n v="1100"/>
    <n v="1100"/>
    <x v="0"/>
    <x v="3"/>
  </r>
  <r>
    <n v="248"/>
    <x v="247"/>
    <x v="0"/>
    <x v="2"/>
    <x v="0"/>
    <n v="900"/>
    <n v="1"/>
    <n v="900"/>
    <n v="900"/>
    <x v="0"/>
    <x v="4"/>
  </r>
  <r>
    <n v="249"/>
    <x v="248"/>
    <x v="0"/>
    <x v="3"/>
    <x v="0"/>
    <n v="1000"/>
    <n v="1"/>
    <n v="1000"/>
    <n v="1000"/>
    <x v="0"/>
    <x v="5"/>
  </r>
  <r>
    <n v="250"/>
    <x v="249"/>
    <x v="0"/>
    <x v="0"/>
    <x v="0"/>
    <n v="1100"/>
    <n v="1"/>
    <n v="1100"/>
    <n v="1100"/>
    <x v="0"/>
    <x v="6"/>
  </r>
  <r>
    <n v="251"/>
    <x v="250"/>
    <x v="0"/>
    <x v="3"/>
    <x v="0"/>
    <n v="1000"/>
    <n v="1"/>
    <n v="1000"/>
    <n v="1000"/>
    <x v="0"/>
    <x v="7"/>
  </r>
  <r>
    <n v="252"/>
    <x v="251"/>
    <x v="0"/>
    <x v="0"/>
    <x v="0"/>
    <n v="1100"/>
    <n v="1"/>
    <n v="1100"/>
    <n v="1100"/>
    <x v="0"/>
    <x v="8"/>
  </r>
  <r>
    <n v="253"/>
    <x v="252"/>
    <x v="0"/>
    <x v="2"/>
    <x v="0"/>
    <n v="900"/>
    <n v="1"/>
    <n v="900"/>
    <n v="900"/>
    <x v="0"/>
    <x v="9"/>
  </r>
  <r>
    <n v="254"/>
    <x v="253"/>
    <x v="0"/>
    <x v="1"/>
    <x v="0"/>
    <n v="900"/>
    <n v="1"/>
    <n v="900"/>
    <n v="900"/>
    <x v="0"/>
    <x v="10"/>
  </r>
  <r>
    <n v="255"/>
    <x v="254"/>
    <x v="0"/>
    <x v="0"/>
    <x v="0"/>
    <n v="1100"/>
    <n v="1"/>
    <n v="1100"/>
    <n v="1100"/>
    <x v="0"/>
    <x v="11"/>
  </r>
  <r>
    <n v="256"/>
    <x v="255"/>
    <x v="0"/>
    <x v="0"/>
    <x v="0"/>
    <n v="1100"/>
    <n v="1"/>
    <n v="1100"/>
    <n v="1100"/>
    <x v="0"/>
    <x v="12"/>
  </r>
  <r>
    <n v="257"/>
    <x v="256"/>
    <x v="0"/>
    <x v="3"/>
    <x v="0"/>
    <n v="1000"/>
    <n v="1"/>
    <n v="1000"/>
    <n v="1000"/>
    <x v="0"/>
    <x v="13"/>
  </r>
  <r>
    <n v="258"/>
    <x v="257"/>
    <x v="0"/>
    <x v="1"/>
    <x v="0"/>
    <n v="900"/>
    <n v="1"/>
    <n v="900"/>
    <n v="900"/>
    <x v="0"/>
    <x v="14"/>
  </r>
  <r>
    <n v="259"/>
    <x v="258"/>
    <x v="0"/>
    <x v="5"/>
    <x v="1"/>
    <n v="600"/>
    <n v="1"/>
    <n v="600"/>
    <n v="600"/>
    <x v="0"/>
    <x v="15"/>
  </r>
  <r>
    <n v="260"/>
    <x v="259"/>
    <x v="0"/>
    <x v="1"/>
    <x v="0"/>
    <n v="900"/>
    <n v="1"/>
    <n v="900"/>
    <n v="900"/>
    <x v="0"/>
    <x v="16"/>
  </r>
  <r>
    <n v="261"/>
    <x v="260"/>
    <x v="0"/>
    <x v="5"/>
    <x v="1"/>
    <n v="600"/>
    <n v="1"/>
    <n v="600"/>
    <n v="600"/>
    <x v="0"/>
    <x v="17"/>
  </r>
  <r>
    <n v="262"/>
    <x v="261"/>
    <x v="0"/>
    <x v="2"/>
    <x v="0"/>
    <n v="900"/>
    <n v="1"/>
    <n v="900"/>
    <n v="900"/>
    <x v="0"/>
    <x v="18"/>
  </r>
  <r>
    <n v="263"/>
    <x v="262"/>
    <x v="0"/>
    <x v="0"/>
    <x v="0"/>
    <n v="1100"/>
    <n v="2"/>
    <n v="2200"/>
    <n v="2200"/>
    <x v="0"/>
    <x v="19"/>
  </r>
  <r>
    <n v="264"/>
    <x v="263"/>
    <x v="0"/>
    <x v="5"/>
    <x v="1"/>
    <n v="600"/>
    <n v="1"/>
    <n v="600"/>
    <n v="600"/>
    <x v="0"/>
    <x v="20"/>
  </r>
  <r>
    <n v="265"/>
    <x v="264"/>
    <x v="0"/>
    <x v="5"/>
    <x v="1"/>
    <n v="600"/>
    <n v="1"/>
    <n v="600"/>
    <n v="600"/>
    <x v="0"/>
    <x v="21"/>
  </r>
  <r>
    <n v="266"/>
    <x v="265"/>
    <x v="0"/>
    <x v="2"/>
    <x v="0"/>
    <n v="900"/>
    <n v="1"/>
    <n v="900"/>
    <n v="900"/>
    <x v="0"/>
    <x v="22"/>
  </r>
  <r>
    <n v="267"/>
    <x v="266"/>
    <x v="0"/>
    <x v="0"/>
    <x v="0"/>
    <n v="1100"/>
    <n v="1"/>
    <n v="1100"/>
    <n v="1100"/>
    <x v="0"/>
    <x v="23"/>
  </r>
  <r>
    <n v="268"/>
    <x v="267"/>
    <x v="0"/>
    <x v="5"/>
    <x v="1"/>
    <n v="600"/>
    <n v="1"/>
    <n v="600"/>
    <n v="600"/>
    <x v="0"/>
    <x v="24"/>
  </r>
  <r>
    <n v="269"/>
    <x v="268"/>
    <x v="0"/>
    <x v="9"/>
    <x v="3"/>
    <n v="600"/>
    <n v="1"/>
    <n v="600"/>
    <n v="600"/>
    <x v="0"/>
    <x v="25"/>
  </r>
  <r>
    <n v="270"/>
    <x v="269"/>
    <x v="0"/>
    <x v="5"/>
    <x v="1"/>
    <n v="600"/>
    <n v="1"/>
    <n v="600"/>
    <n v="600"/>
    <x v="0"/>
    <x v="26"/>
  </r>
  <r>
    <n v="271"/>
    <x v="270"/>
    <x v="0"/>
    <x v="9"/>
    <x v="3"/>
    <n v="600"/>
    <n v="1"/>
    <n v="600"/>
    <n v="600"/>
    <x v="0"/>
    <x v="27"/>
  </r>
  <r>
    <n v="272"/>
    <x v="271"/>
    <x v="0"/>
    <x v="9"/>
    <x v="3"/>
    <n v="600"/>
    <n v="2"/>
    <n v="1200"/>
    <n v="1200"/>
    <x v="0"/>
    <x v="28"/>
  </r>
  <r>
    <n v="273"/>
    <x v="272"/>
    <x v="0"/>
    <x v="5"/>
    <x v="1"/>
    <n v="600"/>
    <n v="1"/>
    <n v="600"/>
    <n v="600"/>
    <x v="0"/>
    <x v="29"/>
  </r>
  <r>
    <n v="274"/>
    <x v="273"/>
    <x v="0"/>
    <x v="0"/>
    <x v="0"/>
    <n v="1100"/>
    <n v="3"/>
    <n v="3300"/>
    <n v="3300"/>
    <x v="0"/>
    <x v="0"/>
  </r>
  <r>
    <n v="275"/>
    <x v="274"/>
    <x v="0"/>
    <x v="0"/>
    <x v="0"/>
    <n v="1100"/>
    <n v="1"/>
    <n v="1100"/>
    <n v="1100"/>
    <x v="0"/>
    <x v="1"/>
  </r>
  <r>
    <n v="276"/>
    <x v="275"/>
    <x v="0"/>
    <x v="6"/>
    <x v="2"/>
    <n v="850"/>
    <n v="1"/>
    <n v="850"/>
    <n v="850"/>
    <x v="0"/>
    <x v="2"/>
  </r>
  <r>
    <n v="277"/>
    <x v="276"/>
    <x v="0"/>
    <x v="7"/>
    <x v="2"/>
    <n v="1200"/>
    <n v="1"/>
    <n v="1200"/>
    <n v="1200"/>
    <x v="0"/>
    <x v="3"/>
  </r>
  <r>
    <n v="278"/>
    <x v="277"/>
    <x v="0"/>
    <x v="4"/>
    <x v="1"/>
    <n v="800"/>
    <n v="1"/>
    <n v="800"/>
    <n v="800"/>
    <x v="0"/>
    <x v="4"/>
  </r>
  <r>
    <n v="279"/>
    <x v="278"/>
    <x v="0"/>
    <x v="2"/>
    <x v="0"/>
    <n v="900"/>
    <n v="1"/>
    <n v="900"/>
    <n v="900"/>
    <x v="0"/>
    <x v="5"/>
  </r>
  <r>
    <n v="280"/>
    <x v="279"/>
    <x v="0"/>
    <x v="0"/>
    <x v="0"/>
    <n v="1100"/>
    <n v="1"/>
    <n v="1100"/>
    <n v="1100"/>
    <x v="0"/>
    <x v="6"/>
  </r>
  <r>
    <n v="281"/>
    <x v="280"/>
    <x v="0"/>
    <x v="1"/>
    <x v="0"/>
    <n v="900"/>
    <n v="1"/>
    <n v="900"/>
    <n v="900"/>
    <x v="0"/>
    <x v="7"/>
  </r>
  <r>
    <n v="282"/>
    <x v="281"/>
    <x v="0"/>
    <x v="0"/>
    <x v="0"/>
    <n v="1100"/>
    <n v="1"/>
    <n v="1100"/>
    <n v="1100"/>
    <x v="0"/>
    <x v="8"/>
  </r>
  <r>
    <n v="283"/>
    <x v="282"/>
    <x v="0"/>
    <x v="8"/>
    <x v="3"/>
    <n v="900"/>
    <n v="1"/>
    <n v="900"/>
    <n v="900"/>
    <x v="0"/>
    <x v="9"/>
  </r>
  <r>
    <n v="284"/>
    <x v="283"/>
    <x v="0"/>
    <x v="8"/>
    <x v="3"/>
    <n v="500"/>
    <n v="1"/>
    <n v="500"/>
    <n v="500"/>
    <x v="0"/>
    <x v="10"/>
  </r>
  <r>
    <n v="285"/>
    <x v="284"/>
    <x v="0"/>
    <x v="3"/>
    <x v="0"/>
    <n v="1000"/>
    <n v="1"/>
    <n v="1000"/>
    <n v="1000"/>
    <x v="0"/>
    <x v="11"/>
  </r>
  <r>
    <n v="286"/>
    <x v="285"/>
    <x v="0"/>
    <x v="9"/>
    <x v="3"/>
    <n v="600"/>
    <n v="1"/>
    <n v="600"/>
    <n v="600"/>
    <x v="0"/>
    <x v="12"/>
  </r>
  <r>
    <n v="287"/>
    <x v="286"/>
    <x v="0"/>
    <x v="1"/>
    <x v="0"/>
    <n v="900"/>
    <n v="2"/>
    <n v="1800"/>
    <n v="1800"/>
    <x v="0"/>
    <x v="13"/>
  </r>
  <r>
    <n v="288"/>
    <x v="287"/>
    <x v="0"/>
    <x v="6"/>
    <x v="2"/>
    <n v="850"/>
    <n v="1"/>
    <n v="850"/>
    <n v="850"/>
    <x v="0"/>
    <x v="14"/>
  </r>
  <r>
    <n v="289"/>
    <x v="288"/>
    <x v="0"/>
    <x v="4"/>
    <x v="1"/>
    <n v="800"/>
    <n v="1"/>
    <n v="800"/>
    <n v="800"/>
    <x v="0"/>
    <x v="15"/>
  </r>
  <r>
    <n v="290"/>
    <x v="289"/>
    <x v="0"/>
    <x v="1"/>
    <x v="0"/>
    <n v="900"/>
    <n v="1"/>
    <n v="900"/>
    <n v="900"/>
    <x v="0"/>
    <x v="16"/>
  </r>
  <r>
    <n v="291"/>
    <x v="290"/>
    <x v="0"/>
    <x v="1"/>
    <x v="0"/>
    <n v="900"/>
    <n v="1"/>
    <n v="900"/>
    <n v="900"/>
    <x v="0"/>
    <x v="17"/>
  </r>
  <r>
    <n v="292"/>
    <x v="291"/>
    <x v="0"/>
    <x v="0"/>
    <x v="0"/>
    <n v="1100"/>
    <n v="1"/>
    <n v="1100"/>
    <n v="1100"/>
    <x v="0"/>
    <x v="18"/>
  </r>
  <r>
    <n v="293"/>
    <x v="292"/>
    <x v="0"/>
    <x v="2"/>
    <x v="0"/>
    <n v="900"/>
    <n v="1"/>
    <n v="900"/>
    <n v="900"/>
    <x v="0"/>
    <x v="19"/>
  </r>
  <r>
    <n v="294"/>
    <x v="293"/>
    <x v="0"/>
    <x v="5"/>
    <x v="1"/>
    <n v="600"/>
    <n v="1"/>
    <n v="600"/>
    <n v="600"/>
    <x v="0"/>
    <x v="20"/>
  </r>
  <r>
    <n v="295"/>
    <x v="294"/>
    <x v="0"/>
    <x v="5"/>
    <x v="1"/>
    <n v="600"/>
    <n v="1"/>
    <n v="600"/>
    <n v="600"/>
    <x v="0"/>
    <x v="21"/>
  </r>
  <r>
    <n v="296"/>
    <x v="295"/>
    <x v="0"/>
    <x v="2"/>
    <x v="0"/>
    <n v="900"/>
    <n v="1"/>
    <n v="900"/>
    <n v="900"/>
    <x v="0"/>
    <x v="22"/>
  </r>
  <r>
    <n v="297"/>
    <x v="296"/>
    <x v="0"/>
    <x v="6"/>
    <x v="2"/>
    <n v="850"/>
    <n v="1"/>
    <n v="850"/>
    <n v="850"/>
    <x v="0"/>
    <x v="23"/>
  </r>
  <r>
    <n v="298"/>
    <x v="297"/>
    <x v="0"/>
    <x v="2"/>
    <x v="0"/>
    <n v="900"/>
    <n v="1"/>
    <n v="900"/>
    <n v="900"/>
    <x v="0"/>
    <x v="24"/>
  </r>
  <r>
    <n v="299"/>
    <x v="298"/>
    <x v="0"/>
    <x v="5"/>
    <x v="1"/>
    <n v="600"/>
    <n v="1"/>
    <n v="600"/>
    <n v="600"/>
    <x v="0"/>
    <x v="25"/>
  </r>
  <r>
    <n v="300"/>
    <x v="299"/>
    <x v="0"/>
    <x v="5"/>
    <x v="1"/>
    <n v="600"/>
    <n v="1"/>
    <n v="600"/>
    <n v="600"/>
    <x v="0"/>
    <x v="26"/>
  </r>
  <r>
    <n v="301"/>
    <x v="300"/>
    <x v="0"/>
    <x v="0"/>
    <x v="0"/>
    <n v="1100"/>
    <n v="1"/>
    <n v="1100"/>
    <n v="1100"/>
    <x v="0"/>
    <x v="27"/>
  </r>
  <r>
    <n v="302"/>
    <x v="301"/>
    <x v="0"/>
    <x v="1"/>
    <x v="0"/>
    <n v="900"/>
    <n v="1"/>
    <n v="900"/>
    <n v="900"/>
    <x v="0"/>
    <x v="28"/>
  </r>
  <r>
    <n v="303"/>
    <x v="302"/>
    <x v="0"/>
    <x v="0"/>
    <x v="0"/>
    <n v="1100"/>
    <n v="1"/>
    <n v="1100"/>
    <n v="1100"/>
    <x v="0"/>
    <x v="29"/>
  </r>
  <r>
    <n v="304"/>
    <x v="303"/>
    <x v="0"/>
    <x v="5"/>
    <x v="1"/>
    <n v="600"/>
    <n v="1"/>
    <n v="600"/>
    <n v="600"/>
    <x v="0"/>
    <x v="30"/>
  </r>
  <r>
    <n v="305"/>
    <x v="304"/>
    <x v="0"/>
    <x v="7"/>
    <x v="2"/>
    <n v="1200"/>
    <n v="1"/>
    <n v="1200"/>
    <n v="1200"/>
    <x v="0"/>
    <x v="0"/>
  </r>
  <r>
    <n v="306"/>
    <x v="305"/>
    <x v="0"/>
    <x v="9"/>
    <x v="3"/>
    <n v="600"/>
    <n v="1"/>
    <n v="600"/>
    <n v="600"/>
    <x v="0"/>
    <x v="1"/>
  </r>
  <r>
    <n v="307"/>
    <x v="306"/>
    <x v="0"/>
    <x v="0"/>
    <x v="0"/>
    <n v="1100"/>
    <n v="1"/>
    <n v="1100"/>
    <n v="1100"/>
    <x v="0"/>
    <x v="2"/>
  </r>
  <r>
    <n v="308"/>
    <x v="307"/>
    <x v="0"/>
    <x v="8"/>
    <x v="3"/>
    <n v="500"/>
    <n v="1"/>
    <n v="500"/>
    <n v="500"/>
    <x v="0"/>
    <x v="3"/>
  </r>
  <r>
    <n v="309"/>
    <x v="308"/>
    <x v="0"/>
    <x v="1"/>
    <x v="0"/>
    <n v="900"/>
    <n v="1"/>
    <n v="900"/>
    <n v="900"/>
    <x v="0"/>
    <x v="4"/>
  </r>
  <r>
    <n v="310"/>
    <x v="309"/>
    <x v="0"/>
    <x v="6"/>
    <x v="2"/>
    <n v="850"/>
    <n v="1"/>
    <n v="850"/>
    <n v="850"/>
    <x v="0"/>
    <x v="5"/>
  </r>
  <r>
    <n v="311"/>
    <x v="310"/>
    <x v="0"/>
    <x v="5"/>
    <x v="1"/>
    <n v="600"/>
    <n v="1"/>
    <n v="600"/>
    <n v="600"/>
    <x v="0"/>
    <x v="6"/>
  </r>
  <r>
    <n v="312"/>
    <x v="311"/>
    <x v="0"/>
    <x v="0"/>
    <x v="0"/>
    <n v="1100"/>
    <n v="1"/>
    <n v="1100"/>
    <n v="1100"/>
    <x v="0"/>
    <x v="7"/>
  </r>
  <r>
    <n v="313"/>
    <x v="312"/>
    <x v="0"/>
    <x v="8"/>
    <x v="3"/>
    <n v="500"/>
    <n v="1"/>
    <n v="500"/>
    <n v="500"/>
    <x v="0"/>
    <x v="8"/>
  </r>
  <r>
    <n v="314"/>
    <x v="313"/>
    <x v="0"/>
    <x v="5"/>
    <x v="1"/>
    <n v="600"/>
    <n v="1"/>
    <n v="600"/>
    <n v="600"/>
    <x v="0"/>
    <x v="9"/>
  </r>
  <r>
    <n v="315"/>
    <x v="314"/>
    <x v="0"/>
    <x v="3"/>
    <x v="0"/>
    <n v="1000"/>
    <n v="1"/>
    <n v="1000"/>
    <n v="1000"/>
    <x v="0"/>
    <x v="10"/>
  </r>
  <r>
    <n v="316"/>
    <x v="315"/>
    <x v="1"/>
    <x v="5"/>
    <x v="1"/>
    <n v="600"/>
    <n v="1"/>
    <n v="600"/>
    <n v="600"/>
    <x v="0"/>
    <x v="11"/>
  </r>
  <r>
    <n v="317"/>
    <x v="316"/>
    <x v="1"/>
    <x v="0"/>
    <x v="0"/>
    <n v="1100"/>
    <n v="1"/>
    <n v="1100"/>
    <n v="1100"/>
    <x v="0"/>
    <x v="12"/>
  </r>
  <r>
    <n v="318"/>
    <x v="317"/>
    <x v="1"/>
    <x v="8"/>
    <x v="3"/>
    <n v="500"/>
    <n v="1"/>
    <n v="500"/>
    <n v="500"/>
    <x v="0"/>
    <x v="13"/>
  </r>
  <r>
    <n v="319"/>
    <x v="318"/>
    <x v="1"/>
    <x v="0"/>
    <x v="0"/>
    <n v="1100"/>
    <n v="2"/>
    <n v="2200"/>
    <n v="2200"/>
    <x v="0"/>
    <x v="14"/>
  </r>
  <r>
    <n v="320"/>
    <x v="319"/>
    <x v="1"/>
    <x v="5"/>
    <x v="1"/>
    <n v="600"/>
    <n v="1"/>
    <n v="600"/>
    <n v="600"/>
    <x v="0"/>
    <x v="15"/>
  </r>
  <r>
    <n v="321"/>
    <x v="320"/>
    <x v="1"/>
    <x v="4"/>
    <x v="1"/>
    <n v="800"/>
    <n v="1"/>
    <n v="800"/>
    <n v="800"/>
    <x v="0"/>
    <x v="16"/>
  </r>
  <r>
    <n v="322"/>
    <x v="321"/>
    <x v="1"/>
    <x v="2"/>
    <x v="0"/>
    <n v="900"/>
    <n v="1"/>
    <n v="900"/>
    <n v="900"/>
    <x v="0"/>
    <x v="17"/>
  </r>
  <r>
    <n v="323"/>
    <x v="322"/>
    <x v="1"/>
    <x v="9"/>
    <x v="3"/>
    <n v="600"/>
    <n v="1"/>
    <n v="600"/>
    <n v="600"/>
    <x v="0"/>
    <x v="18"/>
  </r>
  <r>
    <n v="324"/>
    <x v="323"/>
    <x v="1"/>
    <x v="0"/>
    <x v="0"/>
    <n v="1100"/>
    <n v="2"/>
    <n v="2200"/>
    <n v="2200"/>
    <x v="0"/>
    <x v="19"/>
  </r>
  <r>
    <n v="325"/>
    <x v="324"/>
    <x v="0"/>
    <x v="5"/>
    <x v="1"/>
    <n v="600"/>
    <n v="1"/>
    <n v="600"/>
    <n v="600"/>
    <x v="0"/>
    <x v="20"/>
  </r>
  <r>
    <n v="326"/>
    <x v="325"/>
    <x v="0"/>
    <x v="0"/>
    <x v="0"/>
    <n v="1100"/>
    <n v="1"/>
    <n v="1100"/>
    <n v="1100"/>
    <x v="0"/>
    <x v="21"/>
  </r>
  <r>
    <n v="327"/>
    <x v="326"/>
    <x v="0"/>
    <x v="3"/>
    <x v="0"/>
    <n v="1000"/>
    <n v="1"/>
    <n v="1000"/>
    <n v="1000"/>
    <x v="0"/>
    <x v="22"/>
  </r>
  <r>
    <n v="328"/>
    <x v="327"/>
    <x v="0"/>
    <x v="0"/>
    <x v="0"/>
    <n v="1100"/>
    <n v="1"/>
    <n v="1100"/>
    <n v="1100"/>
    <x v="0"/>
    <x v="23"/>
  </r>
  <r>
    <n v="329"/>
    <x v="328"/>
    <x v="0"/>
    <x v="7"/>
    <x v="2"/>
    <n v="1200"/>
    <n v="1"/>
    <n v="1200"/>
    <n v="1200"/>
    <x v="0"/>
    <x v="24"/>
  </r>
  <r>
    <n v="330"/>
    <x v="329"/>
    <x v="0"/>
    <x v="2"/>
    <x v="0"/>
    <n v="900"/>
    <n v="1"/>
    <n v="900"/>
    <n v="900"/>
    <x v="0"/>
    <x v="25"/>
  </r>
  <r>
    <n v="331"/>
    <x v="330"/>
    <x v="0"/>
    <x v="9"/>
    <x v="3"/>
    <n v="600"/>
    <n v="1"/>
    <n v="600"/>
    <n v="600"/>
    <x v="0"/>
    <x v="26"/>
  </r>
  <r>
    <n v="332"/>
    <x v="331"/>
    <x v="0"/>
    <x v="0"/>
    <x v="0"/>
    <n v="1100"/>
    <n v="2"/>
    <n v="2200"/>
    <n v="2200"/>
    <x v="0"/>
    <x v="27"/>
  </r>
  <r>
    <n v="333"/>
    <x v="332"/>
    <x v="0"/>
    <x v="3"/>
    <x v="0"/>
    <n v="1000"/>
    <n v="1"/>
    <n v="1000"/>
    <n v="1000"/>
    <x v="0"/>
    <x v="28"/>
  </r>
  <r>
    <n v="334"/>
    <x v="333"/>
    <x v="0"/>
    <x v="3"/>
    <x v="0"/>
    <n v="1000"/>
    <n v="1"/>
    <n v="1000"/>
    <n v="1000"/>
    <x v="0"/>
    <x v="29"/>
  </r>
  <r>
    <n v="335"/>
    <x v="334"/>
    <x v="0"/>
    <x v="8"/>
    <x v="3"/>
    <n v="500"/>
    <n v="1"/>
    <n v="500"/>
    <n v="500"/>
    <x v="0"/>
    <x v="0"/>
  </r>
  <r>
    <n v="336"/>
    <x v="335"/>
    <x v="0"/>
    <x v="3"/>
    <x v="0"/>
    <n v="1000"/>
    <n v="1"/>
    <n v="1000"/>
    <n v="1000"/>
    <x v="0"/>
    <x v="1"/>
  </r>
  <r>
    <n v="337"/>
    <x v="336"/>
    <x v="0"/>
    <x v="7"/>
    <x v="2"/>
    <n v="1200"/>
    <n v="1"/>
    <n v="1200"/>
    <n v="1200"/>
    <x v="0"/>
    <x v="2"/>
  </r>
  <r>
    <n v="338"/>
    <x v="337"/>
    <x v="0"/>
    <x v="7"/>
    <x v="2"/>
    <n v="900"/>
    <n v="1"/>
    <n v="900"/>
    <n v="900"/>
    <x v="0"/>
    <x v="3"/>
  </r>
  <r>
    <n v="339"/>
    <x v="338"/>
    <x v="0"/>
    <x v="1"/>
    <x v="0"/>
    <n v="900"/>
    <n v="1"/>
    <n v="900"/>
    <n v="900"/>
    <x v="0"/>
    <x v="4"/>
  </r>
  <r>
    <n v="340"/>
    <x v="339"/>
    <x v="0"/>
    <x v="3"/>
    <x v="0"/>
    <n v="900"/>
    <n v="1"/>
    <n v="900"/>
    <n v="900"/>
    <x v="0"/>
    <x v="5"/>
  </r>
  <r>
    <n v="341"/>
    <x v="340"/>
    <x v="0"/>
    <x v="5"/>
    <x v="1"/>
    <n v="900"/>
    <n v="1"/>
    <n v="900"/>
    <n v="900"/>
    <x v="0"/>
    <x v="6"/>
  </r>
  <r>
    <n v="342"/>
    <x v="341"/>
    <x v="0"/>
    <x v="5"/>
    <x v="1"/>
    <n v="900"/>
    <n v="1"/>
    <n v="900"/>
    <n v="900"/>
    <x v="0"/>
    <x v="7"/>
  </r>
  <r>
    <n v="343"/>
    <x v="342"/>
    <x v="0"/>
    <x v="3"/>
    <x v="0"/>
    <n v="900"/>
    <n v="1"/>
    <n v="900"/>
    <n v="900"/>
    <x v="0"/>
    <x v="8"/>
  </r>
  <r>
    <n v="344"/>
    <x v="343"/>
    <x v="0"/>
    <x v="2"/>
    <x v="0"/>
    <n v="900"/>
    <n v="2"/>
    <n v="1800"/>
    <n v="1800"/>
    <x v="0"/>
    <x v="9"/>
  </r>
  <r>
    <n v="345"/>
    <x v="344"/>
    <x v="0"/>
    <x v="0"/>
    <x v="0"/>
    <n v="1100"/>
    <n v="2"/>
    <n v="2200"/>
    <n v="2200"/>
    <x v="0"/>
    <x v="10"/>
  </r>
  <r>
    <n v="346"/>
    <x v="345"/>
    <x v="1"/>
    <x v="2"/>
    <x v="0"/>
    <n v="900"/>
    <n v="2"/>
    <n v="1800"/>
    <n v="1800"/>
    <x v="0"/>
    <x v="11"/>
  </r>
  <r>
    <n v="347"/>
    <x v="346"/>
    <x v="0"/>
    <x v="8"/>
    <x v="3"/>
    <n v="800"/>
    <n v="1"/>
    <n v="800"/>
    <n v="800"/>
    <x v="0"/>
    <x v="12"/>
  </r>
  <r>
    <n v="348"/>
    <x v="347"/>
    <x v="0"/>
    <x v="0"/>
    <x v="0"/>
    <n v="1100"/>
    <n v="1"/>
    <n v="1100"/>
    <n v="1100"/>
    <x v="0"/>
    <x v="13"/>
  </r>
  <r>
    <n v="349"/>
    <x v="348"/>
    <x v="0"/>
    <x v="9"/>
    <x v="3"/>
    <n v="600"/>
    <n v="1"/>
    <n v="600"/>
    <n v="600"/>
    <x v="0"/>
    <x v="14"/>
  </r>
  <r>
    <n v="350"/>
    <x v="349"/>
    <x v="1"/>
    <x v="0"/>
    <x v="0"/>
    <n v="1100"/>
    <n v="3"/>
    <n v="3300"/>
    <n v="3300"/>
    <x v="0"/>
    <x v="15"/>
  </r>
  <r>
    <n v="351"/>
    <x v="350"/>
    <x v="1"/>
    <x v="6"/>
    <x v="2"/>
    <n v="850"/>
    <n v="1"/>
    <n v="850"/>
    <n v="850"/>
    <x v="0"/>
    <x v="16"/>
  </r>
  <r>
    <n v="352"/>
    <x v="351"/>
    <x v="1"/>
    <x v="9"/>
    <x v="3"/>
    <n v="600"/>
    <n v="1"/>
    <n v="600"/>
    <n v="600"/>
    <x v="0"/>
    <x v="17"/>
  </r>
  <r>
    <n v="353"/>
    <x v="352"/>
    <x v="1"/>
    <x v="9"/>
    <x v="3"/>
    <n v="600"/>
    <n v="1"/>
    <n v="600"/>
    <n v="600"/>
    <x v="0"/>
    <x v="18"/>
  </r>
  <r>
    <n v="354"/>
    <x v="353"/>
    <x v="0"/>
    <x v="0"/>
    <x v="0"/>
    <n v="1100"/>
    <n v="1"/>
    <n v="1100"/>
    <n v="1100"/>
    <x v="0"/>
    <x v="19"/>
  </r>
  <r>
    <n v="355"/>
    <x v="354"/>
    <x v="0"/>
    <x v="3"/>
    <x v="0"/>
    <n v="1000"/>
    <n v="1"/>
    <n v="1000"/>
    <n v="1000"/>
    <x v="0"/>
    <x v="20"/>
  </r>
  <r>
    <n v="356"/>
    <x v="355"/>
    <x v="0"/>
    <x v="2"/>
    <x v="0"/>
    <n v="900"/>
    <n v="1"/>
    <n v="900"/>
    <n v="900"/>
    <x v="0"/>
    <x v="21"/>
  </r>
  <r>
    <n v="357"/>
    <x v="356"/>
    <x v="0"/>
    <x v="9"/>
    <x v="3"/>
    <n v="600"/>
    <n v="1"/>
    <n v="600"/>
    <n v="600"/>
    <x v="0"/>
    <x v="22"/>
  </r>
  <r>
    <n v="358"/>
    <x v="357"/>
    <x v="0"/>
    <x v="2"/>
    <x v="0"/>
    <n v="900"/>
    <n v="1"/>
    <n v="900"/>
    <n v="900"/>
    <x v="0"/>
    <x v="23"/>
  </r>
  <r>
    <n v="359"/>
    <x v="358"/>
    <x v="0"/>
    <x v="5"/>
    <x v="1"/>
    <n v="600"/>
    <n v="1"/>
    <n v="600"/>
    <n v="600"/>
    <x v="0"/>
    <x v="24"/>
  </r>
  <r>
    <n v="360"/>
    <x v="359"/>
    <x v="0"/>
    <x v="1"/>
    <x v="0"/>
    <n v="900"/>
    <n v="1"/>
    <n v="900"/>
    <n v="900"/>
    <x v="0"/>
    <x v="25"/>
  </r>
  <r>
    <n v="361"/>
    <x v="360"/>
    <x v="0"/>
    <x v="5"/>
    <x v="1"/>
    <n v="600"/>
    <n v="1"/>
    <n v="600"/>
    <n v="600"/>
    <x v="0"/>
    <x v="26"/>
  </r>
  <r>
    <n v="362"/>
    <x v="361"/>
    <x v="0"/>
    <x v="2"/>
    <x v="0"/>
    <n v="900"/>
    <n v="1"/>
    <n v="900"/>
    <n v="900"/>
    <x v="0"/>
    <x v="27"/>
  </r>
  <r>
    <n v="363"/>
    <x v="362"/>
    <x v="0"/>
    <x v="9"/>
    <x v="3"/>
    <n v="600"/>
    <n v="1"/>
    <n v="600"/>
    <n v="600"/>
    <x v="0"/>
    <x v="28"/>
  </r>
  <r>
    <n v="364"/>
    <x v="363"/>
    <x v="0"/>
    <x v="0"/>
    <x v="0"/>
    <n v="1100"/>
    <n v="2"/>
    <n v="2200"/>
    <n v="2200"/>
    <x v="0"/>
    <x v="29"/>
  </r>
  <r>
    <n v="365"/>
    <x v="364"/>
    <x v="0"/>
    <x v="0"/>
    <x v="0"/>
    <n v="1100"/>
    <n v="1"/>
    <n v="1100"/>
    <n v="1100"/>
    <x v="0"/>
    <x v="30"/>
  </r>
  <r>
    <n v="366"/>
    <x v="365"/>
    <x v="0"/>
    <x v="0"/>
    <x v="0"/>
    <n v="1100"/>
    <n v="1"/>
    <n v="1100"/>
    <n v="1100"/>
    <x v="1"/>
    <x v="0"/>
  </r>
  <r>
    <n v="367"/>
    <x v="366"/>
    <x v="0"/>
    <x v="5"/>
    <x v="1"/>
    <n v="600"/>
    <n v="2"/>
    <n v="1200"/>
    <n v="1200"/>
    <x v="1"/>
    <x v="1"/>
  </r>
  <r>
    <n v="368"/>
    <x v="367"/>
    <x v="0"/>
    <x v="0"/>
    <x v="0"/>
    <n v="1100"/>
    <n v="1"/>
    <n v="1100"/>
    <n v="1100"/>
    <x v="1"/>
    <x v="2"/>
  </r>
  <r>
    <n v="369"/>
    <x v="368"/>
    <x v="0"/>
    <x v="9"/>
    <x v="3"/>
    <n v="600"/>
    <n v="1"/>
    <n v="600"/>
    <n v="600"/>
    <x v="1"/>
    <x v="3"/>
  </r>
  <r>
    <n v="370"/>
    <x v="369"/>
    <x v="0"/>
    <x v="0"/>
    <x v="0"/>
    <n v="1100"/>
    <n v="1"/>
    <n v="1100"/>
    <n v="1100"/>
    <x v="1"/>
    <x v="4"/>
  </r>
  <r>
    <n v="371"/>
    <x v="370"/>
    <x v="1"/>
    <x v="5"/>
    <x v="1"/>
    <n v="600"/>
    <n v="1"/>
    <n v="600"/>
    <n v="600"/>
    <x v="1"/>
    <x v="5"/>
  </r>
  <r>
    <n v="372"/>
    <x v="371"/>
    <x v="1"/>
    <x v="0"/>
    <x v="0"/>
    <n v="1100"/>
    <n v="1"/>
    <n v="1100"/>
    <n v="1100"/>
    <x v="1"/>
    <x v="6"/>
  </r>
  <r>
    <n v="373"/>
    <x v="372"/>
    <x v="1"/>
    <x v="2"/>
    <x v="0"/>
    <n v="900"/>
    <n v="1"/>
    <n v="900"/>
    <n v="900"/>
    <x v="1"/>
    <x v="7"/>
  </r>
  <r>
    <n v="374"/>
    <x v="373"/>
    <x v="1"/>
    <x v="7"/>
    <x v="2"/>
    <n v="1200"/>
    <n v="1"/>
    <n v="1200"/>
    <n v="1200"/>
    <x v="1"/>
    <x v="8"/>
  </r>
  <r>
    <n v="375"/>
    <x v="374"/>
    <x v="1"/>
    <x v="8"/>
    <x v="3"/>
    <n v="500"/>
    <n v="1"/>
    <n v="500"/>
    <n v="500"/>
    <x v="1"/>
    <x v="9"/>
  </r>
  <r>
    <n v="376"/>
    <x v="375"/>
    <x v="1"/>
    <x v="5"/>
    <x v="1"/>
    <n v="600"/>
    <n v="1"/>
    <n v="600"/>
    <n v="600"/>
    <x v="1"/>
    <x v="10"/>
  </r>
  <r>
    <n v="377"/>
    <x v="376"/>
    <x v="1"/>
    <x v="5"/>
    <x v="1"/>
    <n v="600"/>
    <n v="1"/>
    <n v="600"/>
    <n v="600"/>
    <x v="1"/>
    <x v="11"/>
  </r>
  <r>
    <n v="378"/>
    <x v="377"/>
    <x v="1"/>
    <x v="0"/>
    <x v="0"/>
    <n v="1100"/>
    <n v="1"/>
    <n v="1100"/>
    <n v="1100"/>
    <x v="1"/>
    <x v="12"/>
  </r>
  <r>
    <n v="379"/>
    <x v="378"/>
    <x v="1"/>
    <x v="0"/>
    <x v="0"/>
    <n v="1100"/>
    <n v="1"/>
    <n v="1100"/>
    <n v="1100"/>
    <x v="1"/>
    <x v="13"/>
  </r>
  <r>
    <n v="380"/>
    <x v="379"/>
    <x v="0"/>
    <x v="8"/>
    <x v="3"/>
    <n v="900"/>
    <n v="1"/>
    <n v="900"/>
    <n v="900"/>
    <x v="1"/>
    <x v="14"/>
  </r>
  <r>
    <n v="381"/>
    <x v="380"/>
    <x v="0"/>
    <x v="9"/>
    <x v="3"/>
    <n v="600"/>
    <n v="1"/>
    <n v="600"/>
    <n v="600"/>
    <x v="1"/>
    <x v="15"/>
  </r>
  <r>
    <n v="382"/>
    <x v="381"/>
    <x v="1"/>
    <x v="0"/>
    <x v="0"/>
    <n v="1100"/>
    <n v="1"/>
    <n v="1100"/>
    <n v="1100"/>
    <x v="1"/>
    <x v="16"/>
  </r>
  <r>
    <n v="383"/>
    <x v="382"/>
    <x v="1"/>
    <x v="5"/>
    <x v="1"/>
    <n v="600"/>
    <n v="1"/>
    <n v="600"/>
    <n v="600"/>
    <x v="1"/>
    <x v="17"/>
  </r>
  <r>
    <n v="384"/>
    <x v="383"/>
    <x v="1"/>
    <x v="2"/>
    <x v="0"/>
    <n v="900"/>
    <n v="1"/>
    <n v="900"/>
    <n v="900"/>
    <x v="1"/>
    <x v="18"/>
  </r>
  <r>
    <n v="385"/>
    <x v="384"/>
    <x v="1"/>
    <x v="5"/>
    <x v="1"/>
    <n v="600"/>
    <n v="1"/>
    <n v="600"/>
    <n v="600"/>
    <x v="1"/>
    <x v="19"/>
  </r>
  <r>
    <n v="386"/>
    <x v="385"/>
    <x v="0"/>
    <x v="5"/>
    <x v="1"/>
    <n v="600"/>
    <n v="1"/>
    <n v="600"/>
    <n v="600"/>
    <x v="1"/>
    <x v="20"/>
  </r>
  <r>
    <n v="387"/>
    <x v="386"/>
    <x v="0"/>
    <x v="5"/>
    <x v="1"/>
    <n v="600"/>
    <n v="1"/>
    <n v="600"/>
    <n v="600"/>
    <x v="1"/>
    <x v="21"/>
  </r>
  <r>
    <n v="388"/>
    <x v="387"/>
    <x v="0"/>
    <x v="8"/>
    <x v="3"/>
    <n v="500"/>
    <n v="1"/>
    <n v="500"/>
    <n v="500"/>
    <x v="1"/>
    <x v="22"/>
  </r>
  <r>
    <n v="389"/>
    <x v="388"/>
    <x v="0"/>
    <x v="5"/>
    <x v="1"/>
    <n v="600"/>
    <n v="1"/>
    <n v="600"/>
    <n v="600"/>
    <x v="1"/>
    <x v="23"/>
  </r>
  <r>
    <n v="390"/>
    <x v="389"/>
    <x v="1"/>
    <x v="2"/>
    <x v="0"/>
    <n v="900"/>
    <n v="1"/>
    <n v="900"/>
    <n v="900"/>
    <x v="1"/>
    <x v="24"/>
  </r>
  <r>
    <n v="391"/>
    <x v="390"/>
    <x v="0"/>
    <x v="7"/>
    <x v="2"/>
    <n v="1200"/>
    <n v="2"/>
    <n v="2400"/>
    <n v="2400"/>
    <x v="1"/>
    <x v="25"/>
  </r>
  <r>
    <n v="392"/>
    <x v="391"/>
    <x v="0"/>
    <x v="0"/>
    <x v="0"/>
    <n v="1100"/>
    <n v="1"/>
    <n v="1100"/>
    <n v="1100"/>
    <x v="1"/>
    <x v="26"/>
  </r>
  <r>
    <n v="393"/>
    <x v="392"/>
    <x v="0"/>
    <x v="4"/>
    <x v="1"/>
    <n v="800"/>
    <n v="1"/>
    <n v="800"/>
    <n v="800"/>
    <x v="1"/>
    <x v="27"/>
  </r>
  <r>
    <n v="394"/>
    <x v="393"/>
    <x v="0"/>
    <x v="4"/>
    <x v="1"/>
    <n v="800"/>
    <n v="1"/>
    <n v="800"/>
    <n v="800"/>
    <x v="1"/>
    <x v="28"/>
  </r>
  <r>
    <n v="395"/>
    <x v="394"/>
    <x v="0"/>
    <x v="0"/>
    <x v="0"/>
    <n v="1100"/>
    <n v="1"/>
    <n v="1100"/>
    <n v="1100"/>
    <x v="1"/>
    <x v="29"/>
  </r>
  <r>
    <n v="396"/>
    <x v="395"/>
    <x v="0"/>
    <x v="3"/>
    <x v="0"/>
    <n v="1000"/>
    <n v="1"/>
    <n v="1000"/>
    <n v="1000"/>
    <x v="1"/>
    <x v="30"/>
  </r>
  <r>
    <n v="397"/>
    <x v="396"/>
    <x v="0"/>
    <x v="8"/>
    <x v="3"/>
    <n v="500"/>
    <n v="1"/>
    <n v="500"/>
    <n v="500"/>
    <x v="1"/>
    <x v="0"/>
  </r>
  <r>
    <n v="398"/>
    <x v="397"/>
    <x v="0"/>
    <x v="1"/>
    <x v="0"/>
    <n v="900"/>
    <n v="1"/>
    <n v="900"/>
    <n v="900"/>
    <x v="1"/>
    <x v="1"/>
  </r>
  <r>
    <n v="399"/>
    <x v="398"/>
    <x v="0"/>
    <x v="5"/>
    <x v="1"/>
    <n v="600"/>
    <n v="1"/>
    <n v="600"/>
    <n v="600"/>
    <x v="1"/>
    <x v="2"/>
  </r>
  <r>
    <n v="400"/>
    <x v="399"/>
    <x v="0"/>
    <x v="1"/>
    <x v="0"/>
    <n v="900"/>
    <n v="1"/>
    <n v="900"/>
    <n v="900"/>
    <x v="1"/>
    <x v="3"/>
  </r>
  <r>
    <n v="401"/>
    <x v="400"/>
    <x v="0"/>
    <x v="7"/>
    <x v="2"/>
    <n v="1200"/>
    <n v="1"/>
    <n v="1200"/>
    <n v="1200"/>
    <x v="1"/>
    <x v="4"/>
  </r>
  <r>
    <n v="402"/>
    <x v="401"/>
    <x v="0"/>
    <x v="0"/>
    <x v="0"/>
    <n v="1100"/>
    <n v="1"/>
    <n v="1100"/>
    <n v="1100"/>
    <x v="1"/>
    <x v="5"/>
  </r>
  <r>
    <n v="403"/>
    <x v="402"/>
    <x v="0"/>
    <x v="4"/>
    <x v="1"/>
    <n v="800"/>
    <n v="1"/>
    <n v="800"/>
    <n v="800"/>
    <x v="1"/>
    <x v="6"/>
  </r>
  <r>
    <n v="404"/>
    <x v="403"/>
    <x v="0"/>
    <x v="1"/>
    <x v="0"/>
    <n v="900"/>
    <n v="1"/>
    <n v="900"/>
    <n v="900"/>
    <x v="1"/>
    <x v="7"/>
  </r>
  <r>
    <n v="405"/>
    <x v="404"/>
    <x v="0"/>
    <x v="0"/>
    <x v="0"/>
    <n v="1100"/>
    <n v="1"/>
    <n v="1100"/>
    <n v="1100"/>
    <x v="1"/>
    <x v="8"/>
  </r>
  <r>
    <n v="406"/>
    <x v="405"/>
    <x v="1"/>
    <x v="4"/>
    <x v="1"/>
    <n v="800"/>
    <n v="1"/>
    <n v="800"/>
    <n v="800"/>
    <x v="1"/>
    <x v="9"/>
  </r>
  <r>
    <n v="407"/>
    <x v="406"/>
    <x v="0"/>
    <x v="6"/>
    <x v="2"/>
    <n v="900"/>
    <n v="1"/>
    <n v="900"/>
    <n v="900"/>
    <x v="1"/>
    <x v="10"/>
  </r>
  <r>
    <n v="408"/>
    <x v="407"/>
    <x v="0"/>
    <x v="2"/>
    <x v="0"/>
    <n v="900"/>
    <n v="1"/>
    <n v="900"/>
    <n v="900"/>
    <x v="1"/>
    <x v="11"/>
  </r>
  <r>
    <n v="409"/>
    <x v="408"/>
    <x v="0"/>
    <x v="0"/>
    <x v="0"/>
    <n v="900"/>
    <n v="1"/>
    <n v="900"/>
    <n v="900"/>
    <x v="1"/>
    <x v="12"/>
  </r>
  <r>
    <n v="410"/>
    <x v="409"/>
    <x v="0"/>
    <x v="5"/>
    <x v="1"/>
    <n v="600"/>
    <n v="1"/>
    <n v="600"/>
    <n v="600"/>
    <x v="1"/>
    <x v="13"/>
  </r>
  <r>
    <n v="411"/>
    <x v="410"/>
    <x v="0"/>
    <x v="7"/>
    <x v="2"/>
    <n v="1200"/>
    <n v="1"/>
    <n v="1200"/>
    <n v="1200"/>
    <x v="1"/>
    <x v="14"/>
  </r>
  <r>
    <n v="412"/>
    <x v="411"/>
    <x v="0"/>
    <x v="5"/>
    <x v="1"/>
    <n v="600"/>
    <n v="1"/>
    <n v="600"/>
    <n v="600"/>
    <x v="1"/>
    <x v="15"/>
  </r>
  <r>
    <n v="413"/>
    <x v="412"/>
    <x v="0"/>
    <x v="5"/>
    <x v="1"/>
    <n v="600"/>
    <n v="1"/>
    <n v="600"/>
    <n v="600"/>
    <x v="1"/>
    <x v="16"/>
  </r>
  <r>
    <n v="414"/>
    <x v="413"/>
    <x v="0"/>
    <x v="0"/>
    <x v="0"/>
    <n v="1100"/>
    <n v="1"/>
    <n v="1100"/>
    <n v="1100"/>
    <x v="1"/>
    <x v="17"/>
  </r>
  <r>
    <n v="415"/>
    <x v="414"/>
    <x v="0"/>
    <x v="1"/>
    <x v="0"/>
    <n v="900"/>
    <n v="1"/>
    <n v="900"/>
    <n v="900"/>
    <x v="1"/>
    <x v="18"/>
  </r>
  <r>
    <n v="416"/>
    <x v="415"/>
    <x v="0"/>
    <x v="3"/>
    <x v="0"/>
    <n v="1000"/>
    <n v="1"/>
    <n v="1000"/>
    <n v="1000"/>
    <x v="1"/>
    <x v="19"/>
  </r>
  <r>
    <n v="417"/>
    <x v="416"/>
    <x v="0"/>
    <x v="1"/>
    <x v="0"/>
    <n v="900"/>
    <n v="1"/>
    <n v="900"/>
    <n v="900"/>
    <x v="1"/>
    <x v="20"/>
  </r>
  <r>
    <n v="418"/>
    <x v="417"/>
    <x v="0"/>
    <x v="5"/>
    <x v="1"/>
    <n v="600"/>
    <n v="1"/>
    <n v="600"/>
    <n v="600"/>
    <x v="1"/>
    <x v="21"/>
  </r>
  <r>
    <n v="419"/>
    <x v="418"/>
    <x v="0"/>
    <x v="6"/>
    <x v="2"/>
    <n v="850"/>
    <n v="1"/>
    <n v="850"/>
    <n v="850"/>
    <x v="1"/>
    <x v="22"/>
  </r>
  <r>
    <n v="420"/>
    <x v="419"/>
    <x v="0"/>
    <x v="8"/>
    <x v="3"/>
    <n v="500"/>
    <n v="1"/>
    <n v="500"/>
    <n v="500"/>
    <x v="1"/>
    <x v="23"/>
  </r>
  <r>
    <n v="421"/>
    <x v="420"/>
    <x v="0"/>
    <x v="3"/>
    <x v="0"/>
    <n v="1000"/>
    <n v="1"/>
    <n v="1000"/>
    <n v="1000"/>
    <x v="1"/>
    <x v="24"/>
  </r>
  <r>
    <n v="422"/>
    <x v="421"/>
    <x v="0"/>
    <x v="0"/>
    <x v="0"/>
    <n v="1100"/>
    <n v="1"/>
    <n v="1100"/>
    <n v="1100"/>
    <x v="1"/>
    <x v="25"/>
  </r>
  <r>
    <n v="423"/>
    <x v="422"/>
    <x v="0"/>
    <x v="0"/>
    <x v="0"/>
    <n v="1100"/>
    <n v="2"/>
    <n v="2200"/>
    <n v="2200"/>
    <x v="1"/>
    <x v="26"/>
  </r>
  <r>
    <n v="424"/>
    <x v="423"/>
    <x v="0"/>
    <x v="2"/>
    <x v="0"/>
    <n v="900"/>
    <n v="1"/>
    <n v="900"/>
    <n v="900"/>
    <x v="1"/>
    <x v="27"/>
  </r>
  <r>
    <n v="425"/>
    <x v="424"/>
    <x v="0"/>
    <x v="2"/>
    <x v="0"/>
    <n v="900"/>
    <n v="1"/>
    <n v="900"/>
    <n v="900"/>
    <x v="1"/>
    <x v="28"/>
  </r>
  <r>
    <n v="426"/>
    <x v="425"/>
    <x v="0"/>
    <x v="5"/>
    <x v="1"/>
    <n v="600"/>
    <n v="1"/>
    <n v="600"/>
    <n v="600"/>
    <x v="1"/>
    <x v="0"/>
  </r>
  <r>
    <n v="427"/>
    <x v="426"/>
    <x v="0"/>
    <x v="8"/>
    <x v="3"/>
    <n v="900"/>
    <n v="1"/>
    <n v="900"/>
    <n v="900"/>
    <x v="1"/>
    <x v="1"/>
  </r>
  <r>
    <n v="428"/>
    <x v="427"/>
    <x v="0"/>
    <x v="0"/>
    <x v="0"/>
    <n v="1100"/>
    <n v="1"/>
    <n v="1100"/>
    <n v="1100"/>
    <x v="1"/>
    <x v="2"/>
  </r>
  <r>
    <n v="429"/>
    <x v="428"/>
    <x v="0"/>
    <x v="5"/>
    <x v="1"/>
    <n v="600"/>
    <n v="1"/>
    <n v="600"/>
    <n v="600"/>
    <x v="1"/>
    <x v="3"/>
  </r>
  <r>
    <n v="430"/>
    <x v="429"/>
    <x v="0"/>
    <x v="5"/>
    <x v="1"/>
    <n v="600"/>
    <n v="1"/>
    <n v="600"/>
    <n v="600"/>
    <x v="1"/>
    <x v="4"/>
  </r>
  <r>
    <n v="431"/>
    <x v="430"/>
    <x v="0"/>
    <x v="8"/>
    <x v="3"/>
    <n v="500"/>
    <n v="1"/>
    <n v="500"/>
    <n v="500"/>
    <x v="1"/>
    <x v="5"/>
  </r>
  <r>
    <n v="432"/>
    <x v="431"/>
    <x v="0"/>
    <x v="2"/>
    <x v="0"/>
    <n v="900"/>
    <n v="1"/>
    <n v="900"/>
    <n v="900"/>
    <x v="1"/>
    <x v="6"/>
  </r>
  <r>
    <n v="433"/>
    <x v="432"/>
    <x v="0"/>
    <x v="7"/>
    <x v="2"/>
    <n v="1200"/>
    <n v="1"/>
    <n v="1200"/>
    <n v="1200"/>
    <x v="1"/>
    <x v="7"/>
  </r>
  <r>
    <n v="434"/>
    <x v="433"/>
    <x v="0"/>
    <x v="5"/>
    <x v="1"/>
    <n v="600"/>
    <n v="2"/>
    <n v="1200"/>
    <n v="1200"/>
    <x v="1"/>
    <x v="8"/>
  </r>
  <r>
    <n v="435"/>
    <x v="434"/>
    <x v="0"/>
    <x v="2"/>
    <x v="0"/>
    <n v="900"/>
    <n v="1"/>
    <n v="900"/>
    <n v="900"/>
    <x v="1"/>
    <x v="9"/>
  </r>
  <r>
    <n v="436"/>
    <x v="435"/>
    <x v="0"/>
    <x v="0"/>
    <x v="0"/>
    <n v="1100"/>
    <n v="2"/>
    <n v="2200"/>
    <n v="2200"/>
    <x v="1"/>
    <x v="10"/>
  </r>
  <r>
    <n v="437"/>
    <x v="436"/>
    <x v="0"/>
    <x v="9"/>
    <x v="3"/>
    <n v="600"/>
    <n v="1"/>
    <n v="600"/>
    <n v="600"/>
    <x v="1"/>
    <x v="11"/>
  </r>
  <r>
    <n v="438"/>
    <x v="437"/>
    <x v="0"/>
    <x v="5"/>
    <x v="1"/>
    <n v="600"/>
    <n v="1"/>
    <n v="600"/>
    <n v="600"/>
    <x v="1"/>
    <x v="12"/>
  </r>
  <r>
    <n v="439"/>
    <x v="438"/>
    <x v="0"/>
    <x v="9"/>
    <x v="3"/>
    <n v="300"/>
    <n v="2"/>
    <n v="600"/>
    <n v="600"/>
    <x v="1"/>
    <x v="13"/>
  </r>
  <r>
    <n v="440"/>
    <x v="439"/>
    <x v="0"/>
    <x v="0"/>
    <x v="0"/>
    <n v="1100"/>
    <n v="2"/>
    <n v="2200"/>
    <n v="2200"/>
    <x v="1"/>
    <x v="14"/>
  </r>
  <r>
    <n v="441"/>
    <x v="440"/>
    <x v="0"/>
    <x v="3"/>
    <x v="0"/>
    <n v="1000"/>
    <n v="1"/>
    <n v="1000"/>
    <n v="1000"/>
    <x v="1"/>
    <x v="15"/>
  </r>
  <r>
    <n v="442"/>
    <x v="441"/>
    <x v="0"/>
    <x v="5"/>
    <x v="1"/>
    <n v="600"/>
    <n v="1"/>
    <n v="600"/>
    <n v="600"/>
    <x v="1"/>
    <x v="16"/>
  </r>
  <r>
    <n v="443"/>
    <x v="442"/>
    <x v="0"/>
    <x v="2"/>
    <x v="0"/>
    <n v="900"/>
    <n v="1"/>
    <n v="900"/>
    <n v="900"/>
    <x v="1"/>
    <x v="17"/>
  </r>
  <r>
    <n v="444"/>
    <x v="443"/>
    <x v="0"/>
    <x v="7"/>
    <x v="2"/>
    <n v="1200"/>
    <n v="1"/>
    <n v="1200"/>
    <n v="1200"/>
    <x v="1"/>
    <x v="18"/>
  </r>
  <r>
    <n v="445"/>
    <x v="444"/>
    <x v="0"/>
    <x v="0"/>
    <x v="0"/>
    <n v="1100"/>
    <n v="1"/>
    <n v="1100"/>
    <n v="1100"/>
    <x v="1"/>
    <x v="19"/>
  </r>
  <r>
    <n v="446"/>
    <x v="445"/>
    <x v="0"/>
    <x v="6"/>
    <x v="2"/>
    <n v="850"/>
    <n v="1"/>
    <n v="850"/>
    <n v="850"/>
    <x v="1"/>
    <x v="20"/>
  </r>
  <r>
    <n v="447"/>
    <x v="446"/>
    <x v="0"/>
    <x v="0"/>
    <x v="0"/>
    <n v="1100"/>
    <n v="1"/>
    <n v="1100"/>
    <n v="1100"/>
    <x v="1"/>
    <x v="21"/>
  </r>
  <r>
    <n v="448"/>
    <x v="447"/>
    <x v="0"/>
    <x v="0"/>
    <x v="0"/>
    <n v="1100"/>
    <n v="2"/>
    <n v="2200"/>
    <n v="2200"/>
    <x v="1"/>
    <x v="22"/>
  </r>
  <r>
    <n v="449"/>
    <x v="448"/>
    <x v="0"/>
    <x v="2"/>
    <x v="0"/>
    <n v="900"/>
    <n v="1"/>
    <n v="900"/>
    <n v="900"/>
    <x v="1"/>
    <x v="23"/>
  </r>
  <r>
    <n v="450"/>
    <x v="449"/>
    <x v="0"/>
    <x v="5"/>
    <x v="1"/>
    <n v="600"/>
    <n v="1"/>
    <n v="600"/>
    <n v="600"/>
    <x v="1"/>
    <x v="24"/>
  </r>
  <r>
    <n v="451"/>
    <x v="450"/>
    <x v="0"/>
    <x v="5"/>
    <x v="1"/>
    <n v="600"/>
    <n v="1"/>
    <n v="600"/>
    <n v="600"/>
    <x v="1"/>
    <x v="25"/>
  </r>
  <r>
    <n v="452"/>
    <x v="451"/>
    <x v="0"/>
    <x v="7"/>
    <x v="2"/>
    <n v="1200"/>
    <n v="1"/>
    <n v="1200"/>
    <n v="1200"/>
    <x v="1"/>
    <x v="26"/>
  </r>
  <r>
    <n v="453"/>
    <x v="452"/>
    <x v="0"/>
    <x v="2"/>
    <x v="0"/>
    <n v="900"/>
    <n v="1"/>
    <n v="900"/>
    <n v="900"/>
    <x v="1"/>
    <x v="27"/>
  </r>
  <r>
    <n v="454"/>
    <x v="453"/>
    <x v="0"/>
    <x v="4"/>
    <x v="1"/>
    <n v="800"/>
    <n v="1"/>
    <n v="800"/>
    <n v="800"/>
    <x v="1"/>
    <x v="28"/>
  </r>
  <r>
    <n v="455"/>
    <x v="454"/>
    <x v="0"/>
    <x v="2"/>
    <x v="0"/>
    <n v="900"/>
    <n v="1"/>
    <n v="900"/>
    <n v="900"/>
    <x v="1"/>
    <x v="29"/>
  </r>
  <r>
    <n v="456"/>
    <x v="455"/>
    <x v="0"/>
    <x v="0"/>
    <x v="0"/>
    <n v="1100"/>
    <n v="1"/>
    <n v="1100"/>
    <n v="1100"/>
    <x v="1"/>
    <x v="30"/>
  </r>
  <r>
    <n v="457"/>
    <x v="456"/>
    <x v="0"/>
    <x v="9"/>
    <x v="3"/>
    <n v="600"/>
    <n v="1"/>
    <n v="600"/>
    <n v="600"/>
    <x v="1"/>
    <x v="0"/>
  </r>
  <r>
    <n v="458"/>
    <x v="457"/>
    <x v="0"/>
    <x v="0"/>
    <x v="0"/>
    <n v="1100"/>
    <n v="1"/>
    <n v="1100"/>
    <n v="1100"/>
    <x v="1"/>
    <x v="1"/>
  </r>
  <r>
    <n v="459"/>
    <x v="458"/>
    <x v="0"/>
    <x v="4"/>
    <x v="1"/>
    <n v="800"/>
    <n v="1"/>
    <n v="800"/>
    <n v="800"/>
    <x v="1"/>
    <x v="2"/>
  </r>
  <r>
    <n v="460"/>
    <x v="459"/>
    <x v="0"/>
    <x v="2"/>
    <x v="0"/>
    <n v="900"/>
    <n v="1"/>
    <n v="900"/>
    <n v="900"/>
    <x v="1"/>
    <x v="3"/>
  </r>
  <r>
    <n v="461"/>
    <x v="460"/>
    <x v="0"/>
    <x v="0"/>
    <x v="0"/>
    <n v="1100"/>
    <n v="1"/>
    <n v="1100"/>
    <n v="1100"/>
    <x v="1"/>
    <x v="4"/>
  </r>
  <r>
    <n v="462"/>
    <x v="461"/>
    <x v="0"/>
    <x v="2"/>
    <x v="0"/>
    <n v="900"/>
    <n v="1"/>
    <n v="900"/>
    <n v="900"/>
    <x v="1"/>
    <x v="5"/>
  </r>
  <r>
    <n v="463"/>
    <x v="462"/>
    <x v="0"/>
    <x v="5"/>
    <x v="1"/>
    <n v="600"/>
    <n v="1"/>
    <n v="600"/>
    <n v="600"/>
    <x v="1"/>
    <x v="6"/>
  </r>
  <r>
    <n v="464"/>
    <x v="463"/>
    <x v="0"/>
    <x v="0"/>
    <x v="0"/>
    <n v="1100"/>
    <n v="1"/>
    <n v="1100"/>
    <n v="1100"/>
    <x v="1"/>
    <x v="7"/>
  </r>
  <r>
    <n v="465"/>
    <x v="464"/>
    <x v="0"/>
    <x v="0"/>
    <x v="0"/>
    <n v="1100"/>
    <n v="2"/>
    <n v="2200"/>
    <n v="2200"/>
    <x v="1"/>
    <x v="8"/>
  </r>
  <r>
    <n v="466"/>
    <x v="465"/>
    <x v="0"/>
    <x v="0"/>
    <x v="0"/>
    <n v="1100"/>
    <n v="1"/>
    <n v="1100"/>
    <n v="1100"/>
    <x v="1"/>
    <x v="9"/>
  </r>
  <r>
    <n v="467"/>
    <x v="466"/>
    <x v="0"/>
    <x v="0"/>
    <x v="0"/>
    <n v="1100"/>
    <n v="1"/>
    <n v="1100"/>
    <n v="1100"/>
    <x v="1"/>
    <x v="10"/>
  </r>
  <r>
    <n v="468"/>
    <x v="467"/>
    <x v="0"/>
    <x v="0"/>
    <x v="0"/>
    <n v="1100"/>
    <n v="1"/>
    <n v="1100"/>
    <n v="1100"/>
    <x v="1"/>
    <x v="11"/>
  </r>
  <r>
    <n v="469"/>
    <x v="468"/>
    <x v="0"/>
    <x v="5"/>
    <x v="1"/>
    <n v="600"/>
    <n v="1"/>
    <n v="600"/>
    <n v="600"/>
    <x v="1"/>
    <x v="12"/>
  </r>
  <r>
    <n v="470"/>
    <x v="469"/>
    <x v="0"/>
    <x v="0"/>
    <x v="0"/>
    <n v="1100"/>
    <n v="1"/>
    <n v="1100"/>
    <n v="1100"/>
    <x v="1"/>
    <x v="13"/>
  </r>
  <r>
    <n v="471"/>
    <x v="470"/>
    <x v="0"/>
    <x v="5"/>
    <x v="1"/>
    <n v="600"/>
    <n v="1"/>
    <n v="600"/>
    <n v="600"/>
    <x v="1"/>
    <x v="14"/>
  </r>
  <r>
    <n v="472"/>
    <x v="471"/>
    <x v="0"/>
    <x v="2"/>
    <x v="0"/>
    <n v="900"/>
    <n v="1"/>
    <n v="900"/>
    <n v="900"/>
    <x v="1"/>
    <x v="15"/>
  </r>
  <r>
    <n v="473"/>
    <x v="472"/>
    <x v="0"/>
    <x v="0"/>
    <x v="0"/>
    <n v="1100"/>
    <n v="1"/>
    <n v="1100"/>
    <n v="1100"/>
    <x v="1"/>
    <x v="16"/>
  </r>
  <r>
    <n v="474"/>
    <x v="473"/>
    <x v="0"/>
    <x v="5"/>
    <x v="1"/>
    <n v="600"/>
    <n v="1"/>
    <n v="600"/>
    <n v="600"/>
    <x v="1"/>
    <x v="17"/>
  </r>
  <r>
    <n v="475"/>
    <x v="474"/>
    <x v="0"/>
    <x v="5"/>
    <x v="1"/>
    <n v="600"/>
    <n v="1"/>
    <n v="600"/>
    <n v="600"/>
    <x v="1"/>
    <x v="18"/>
  </r>
  <r>
    <n v="476"/>
    <x v="475"/>
    <x v="0"/>
    <x v="6"/>
    <x v="2"/>
    <n v="850"/>
    <n v="1"/>
    <n v="850"/>
    <n v="850"/>
    <x v="1"/>
    <x v="19"/>
  </r>
  <r>
    <n v="477"/>
    <x v="476"/>
    <x v="0"/>
    <x v="5"/>
    <x v="1"/>
    <n v="600"/>
    <n v="1"/>
    <n v="600"/>
    <n v="600"/>
    <x v="1"/>
    <x v="20"/>
  </r>
  <r>
    <n v="478"/>
    <x v="477"/>
    <x v="0"/>
    <x v="0"/>
    <x v="0"/>
    <n v="1100"/>
    <n v="1"/>
    <n v="1100"/>
    <n v="1100"/>
    <x v="1"/>
    <x v="21"/>
  </r>
  <r>
    <n v="479"/>
    <x v="478"/>
    <x v="0"/>
    <x v="9"/>
    <x v="3"/>
    <n v="300"/>
    <n v="1"/>
    <n v="300"/>
    <n v="300"/>
    <x v="1"/>
    <x v="22"/>
  </r>
  <r>
    <n v="480"/>
    <x v="479"/>
    <x v="0"/>
    <x v="9"/>
    <x v="3"/>
    <n v="300"/>
    <n v="1"/>
    <n v="300"/>
    <n v="300"/>
    <x v="1"/>
    <x v="23"/>
  </r>
  <r>
    <n v="481"/>
    <x v="480"/>
    <x v="0"/>
    <x v="5"/>
    <x v="1"/>
    <n v="600"/>
    <n v="1"/>
    <n v="600"/>
    <n v="600"/>
    <x v="1"/>
    <x v="24"/>
  </r>
  <r>
    <n v="482"/>
    <x v="481"/>
    <x v="0"/>
    <x v="8"/>
    <x v="3"/>
    <n v="800"/>
    <n v="1"/>
    <n v="800"/>
    <n v="800"/>
    <x v="1"/>
    <x v="25"/>
  </r>
  <r>
    <n v="483"/>
    <x v="482"/>
    <x v="0"/>
    <x v="5"/>
    <x v="1"/>
    <n v="600"/>
    <n v="1"/>
    <n v="600"/>
    <n v="600"/>
    <x v="1"/>
    <x v="26"/>
  </r>
  <r>
    <n v="484"/>
    <x v="483"/>
    <x v="0"/>
    <x v="8"/>
    <x v="3"/>
    <n v="500"/>
    <n v="1"/>
    <n v="500"/>
    <n v="500"/>
    <x v="1"/>
    <x v="27"/>
  </r>
  <r>
    <n v="485"/>
    <x v="484"/>
    <x v="0"/>
    <x v="0"/>
    <x v="0"/>
    <n v="1100"/>
    <n v="1"/>
    <n v="1100"/>
    <n v="1100"/>
    <x v="1"/>
    <x v="28"/>
  </r>
  <r>
    <n v="486"/>
    <x v="485"/>
    <x v="0"/>
    <x v="5"/>
    <x v="1"/>
    <n v="600"/>
    <n v="1"/>
    <n v="600"/>
    <n v="600"/>
    <x v="1"/>
    <x v="29"/>
  </r>
  <r>
    <n v="487"/>
    <x v="486"/>
    <x v="0"/>
    <x v="1"/>
    <x v="0"/>
    <n v="900"/>
    <n v="1"/>
    <n v="900"/>
    <n v="900"/>
    <x v="1"/>
    <x v="0"/>
  </r>
  <r>
    <n v="488"/>
    <x v="487"/>
    <x v="0"/>
    <x v="0"/>
    <x v="0"/>
    <n v="1100"/>
    <n v="1"/>
    <n v="1100"/>
    <n v="1100"/>
    <x v="1"/>
    <x v="1"/>
  </r>
  <r>
    <n v="489"/>
    <x v="488"/>
    <x v="0"/>
    <x v="7"/>
    <x v="2"/>
    <n v="1200"/>
    <n v="1"/>
    <n v="1200"/>
    <n v="1200"/>
    <x v="1"/>
    <x v="2"/>
  </r>
  <r>
    <n v="490"/>
    <x v="489"/>
    <x v="0"/>
    <x v="0"/>
    <x v="0"/>
    <n v="1100"/>
    <n v="1"/>
    <n v="1100"/>
    <n v="1100"/>
    <x v="1"/>
    <x v="3"/>
  </r>
  <r>
    <n v="491"/>
    <x v="490"/>
    <x v="0"/>
    <x v="1"/>
    <x v="0"/>
    <n v="900"/>
    <n v="1"/>
    <n v="900"/>
    <n v="900"/>
    <x v="1"/>
    <x v="4"/>
  </r>
  <r>
    <n v="492"/>
    <x v="491"/>
    <x v="0"/>
    <x v="8"/>
    <x v="3"/>
    <n v="900"/>
    <n v="1"/>
    <n v="900"/>
    <n v="900"/>
    <x v="1"/>
    <x v="5"/>
  </r>
  <r>
    <n v="493"/>
    <x v="492"/>
    <x v="0"/>
    <x v="9"/>
    <x v="3"/>
    <n v="600"/>
    <n v="1"/>
    <n v="600"/>
    <n v="600"/>
    <x v="1"/>
    <x v="6"/>
  </r>
  <r>
    <n v="494"/>
    <x v="493"/>
    <x v="0"/>
    <x v="0"/>
    <x v="0"/>
    <n v="1100"/>
    <n v="1"/>
    <n v="1100"/>
    <n v="1100"/>
    <x v="1"/>
    <x v="7"/>
  </r>
  <r>
    <n v="495"/>
    <x v="494"/>
    <x v="0"/>
    <x v="0"/>
    <x v="0"/>
    <n v="1100"/>
    <n v="1"/>
    <n v="1100"/>
    <n v="1100"/>
    <x v="1"/>
    <x v="8"/>
  </r>
  <r>
    <n v="496"/>
    <x v="495"/>
    <x v="0"/>
    <x v="8"/>
    <x v="3"/>
    <n v="500"/>
    <n v="1"/>
    <n v="500"/>
    <n v="500"/>
    <x v="1"/>
    <x v="9"/>
  </r>
  <r>
    <n v="497"/>
    <x v="496"/>
    <x v="0"/>
    <x v="6"/>
    <x v="2"/>
    <n v="850"/>
    <n v="1"/>
    <n v="850"/>
    <n v="850"/>
    <x v="1"/>
    <x v="10"/>
  </r>
  <r>
    <n v="498"/>
    <x v="497"/>
    <x v="0"/>
    <x v="0"/>
    <x v="0"/>
    <n v="1100"/>
    <n v="1"/>
    <n v="1100"/>
    <n v="1100"/>
    <x v="1"/>
    <x v="11"/>
  </r>
  <r>
    <n v="499"/>
    <x v="498"/>
    <x v="0"/>
    <x v="9"/>
    <x v="3"/>
    <n v="300"/>
    <n v="1"/>
    <n v="300"/>
    <n v="300"/>
    <x v="1"/>
    <x v="12"/>
  </r>
  <r>
    <n v="500"/>
    <x v="499"/>
    <x v="0"/>
    <x v="4"/>
    <x v="1"/>
    <n v="800"/>
    <n v="1"/>
    <n v="800"/>
    <n v="800"/>
    <x v="1"/>
    <x v="13"/>
  </r>
  <r>
    <n v="501"/>
    <x v="500"/>
    <x v="0"/>
    <x v="1"/>
    <x v="0"/>
    <n v="900"/>
    <n v="1"/>
    <n v="900"/>
    <n v="900"/>
    <x v="1"/>
    <x v="14"/>
  </r>
  <r>
    <n v="502"/>
    <x v="501"/>
    <x v="0"/>
    <x v="0"/>
    <x v="0"/>
    <n v="1100"/>
    <n v="1"/>
    <n v="1100"/>
    <n v="1100"/>
    <x v="1"/>
    <x v="15"/>
  </r>
  <r>
    <n v="503"/>
    <x v="502"/>
    <x v="0"/>
    <x v="8"/>
    <x v="3"/>
    <n v="500"/>
    <n v="1"/>
    <n v="500"/>
    <n v="500"/>
    <x v="1"/>
    <x v="16"/>
  </r>
  <r>
    <n v="504"/>
    <x v="503"/>
    <x v="0"/>
    <x v="5"/>
    <x v="1"/>
    <n v="600"/>
    <n v="1"/>
    <n v="600"/>
    <n v="600"/>
    <x v="1"/>
    <x v="17"/>
  </r>
  <r>
    <n v="505"/>
    <x v="504"/>
    <x v="0"/>
    <x v="2"/>
    <x v="0"/>
    <n v="900"/>
    <n v="1"/>
    <n v="900"/>
    <n v="900"/>
    <x v="1"/>
    <x v="18"/>
  </r>
  <r>
    <n v="506"/>
    <x v="505"/>
    <x v="0"/>
    <x v="9"/>
    <x v="3"/>
    <n v="600"/>
    <n v="1"/>
    <n v="600"/>
    <n v="600"/>
    <x v="1"/>
    <x v="19"/>
  </r>
  <r>
    <n v="507"/>
    <x v="506"/>
    <x v="0"/>
    <x v="5"/>
    <x v="1"/>
    <n v="600"/>
    <n v="1"/>
    <n v="600"/>
    <n v="600"/>
    <x v="1"/>
    <x v="20"/>
  </r>
  <r>
    <n v="508"/>
    <x v="507"/>
    <x v="0"/>
    <x v="0"/>
    <x v="0"/>
    <n v="1100"/>
    <n v="1"/>
    <n v="1100"/>
    <n v="1100"/>
    <x v="1"/>
    <x v="21"/>
  </r>
  <r>
    <n v="509"/>
    <x v="508"/>
    <x v="0"/>
    <x v="0"/>
    <x v="0"/>
    <n v="1100"/>
    <n v="2"/>
    <n v="2200"/>
    <n v="2200"/>
    <x v="1"/>
    <x v="22"/>
  </r>
  <r>
    <n v="510"/>
    <x v="509"/>
    <x v="0"/>
    <x v="0"/>
    <x v="0"/>
    <n v="1100"/>
    <n v="1"/>
    <n v="1100"/>
    <n v="1100"/>
    <x v="1"/>
    <x v="23"/>
  </r>
  <r>
    <n v="511"/>
    <x v="510"/>
    <x v="0"/>
    <x v="6"/>
    <x v="2"/>
    <n v="850"/>
    <n v="1"/>
    <n v="850"/>
    <n v="850"/>
    <x v="1"/>
    <x v="24"/>
  </r>
  <r>
    <n v="512"/>
    <x v="511"/>
    <x v="0"/>
    <x v="0"/>
    <x v="0"/>
    <n v="1100"/>
    <n v="1"/>
    <n v="1100"/>
    <n v="1100"/>
    <x v="1"/>
    <x v="25"/>
  </r>
  <r>
    <n v="513"/>
    <x v="512"/>
    <x v="0"/>
    <x v="1"/>
    <x v="0"/>
    <n v="900"/>
    <n v="1"/>
    <n v="900"/>
    <n v="900"/>
    <x v="1"/>
    <x v="26"/>
  </r>
  <r>
    <n v="514"/>
    <x v="513"/>
    <x v="0"/>
    <x v="2"/>
    <x v="0"/>
    <n v="900"/>
    <n v="1"/>
    <n v="900"/>
    <n v="900"/>
    <x v="1"/>
    <x v="27"/>
  </r>
  <r>
    <n v="515"/>
    <x v="514"/>
    <x v="0"/>
    <x v="1"/>
    <x v="0"/>
    <n v="900"/>
    <n v="1"/>
    <n v="900"/>
    <n v="900"/>
    <x v="1"/>
    <x v="28"/>
  </r>
  <r>
    <n v="516"/>
    <x v="515"/>
    <x v="0"/>
    <x v="3"/>
    <x v="0"/>
    <n v="1000"/>
    <n v="1"/>
    <n v="1000"/>
    <n v="1000"/>
    <x v="1"/>
    <x v="29"/>
  </r>
  <r>
    <n v="517"/>
    <x v="516"/>
    <x v="0"/>
    <x v="7"/>
    <x v="2"/>
    <n v="1200"/>
    <n v="1"/>
    <n v="1200"/>
    <n v="1200"/>
    <x v="1"/>
    <x v="30"/>
  </r>
  <r>
    <n v="518"/>
    <x v="517"/>
    <x v="0"/>
    <x v="2"/>
    <x v="0"/>
    <n v="900"/>
    <n v="1"/>
    <n v="900"/>
    <n v="900"/>
    <x v="1"/>
    <x v="0"/>
  </r>
  <r>
    <n v="519"/>
    <x v="518"/>
    <x v="0"/>
    <x v="5"/>
    <x v="1"/>
    <n v="600"/>
    <n v="1"/>
    <n v="600"/>
    <n v="600"/>
    <x v="1"/>
    <x v="1"/>
  </r>
  <r>
    <n v="520"/>
    <x v="519"/>
    <x v="0"/>
    <x v="9"/>
    <x v="3"/>
    <n v="600"/>
    <n v="1"/>
    <n v="600"/>
    <n v="600"/>
    <x v="1"/>
    <x v="2"/>
  </r>
  <r>
    <n v="521"/>
    <x v="520"/>
    <x v="0"/>
    <x v="4"/>
    <x v="1"/>
    <n v="800"/>
    <n v="1"/>
    <n v="800"/>
    <n v="800"/>
    <x v="1"/>
    <x v="3"/>
  </r>
  <r>
    <n v="522"/>
    <x v="521"/>
    <x v="0"/>
    <x v="9"/>
    <x v="3"/>
    <n v="600"/>
    <n v="1"/>
    <n v="600"/>
    <n v="600"/>
    <x v="1"/>
    <x v="4"/>
  </r>
  <r>
    <n v="523"/>
    <x v="522"/>
    <x v="0"/>
    <x v="0"/>
    <x v="0"/>
    <n v="1100"/>
    <n v="1"/>
    <n v="1100"/>
    <n v="1100"/>
    <x v="1"/>
    <x v="5"/>
  </r>
  <r>
    <n v="524"/>
    <x v="523"/>
    <x v="0"/>
    <x v="0"/>
    <x v="0"/>
    <n v="1100"/>
    <n v="1"/>
    <n v="1100"/>
    <n v="1100"/>
    <x v="1"/>
    <x v="6"/>
  </r>
  <r>
    <n v="525"/>
    <x v="524"/>
    <x v="0"/>
    <x v="6"/>
    <x v="2"/>
    <n v="850"/>
    <n v="1"/>
    <n v="850"/>
    <n v="850"/>
    <x v="1"/>
    <x v="7"/>
  </r>
  <r>
    <n v="526"/>
    <x v="525"/>
    <x v="0"/>
    <x v="0"/>
    <x v="0"/>
    <n v="1100"/>
    <n v="1"/>
    <n v="1100"/>
    <n v="1100"/>
    <x v="1"/>
    <x v="8"/>
  </r>
  <r>
    <n v="527"/>
    <x v="526"/>
    <x v="0"/>
    <x v="0"/>
    <x v="0"/>
    <n v="1100"/>
    <n v="2"/>
    <n v="2200"/>
    <n v="2200"/>
    <x v="1"/>
    <x v="9"/>
  </r>
  <r>
    <n v="528"/>
    <x v="527"/>
    <x v="0"/>
    <x v="9"/>
    <x v="3"/>
    <n v="300"/>
    <n v="1"/>
    <n v="300"/>
    <n v="300"/>
    <x v="1"/>
    <x v="10"/>
  </r>
  <r>
    <n v="529"/>
    <x v="528"/>
    <x v="0"/>
    <x v="5"/>
    <x v="1"/>
    <n v="600"/>
    <n v="1"/>
    <n v="600"/>
    <n v="600"/>
    <x v="1"/>
    <x v="11"/>
  </r>
  <r>
    <n v="530"/>
    <x v="529"/>
    <x v="0"/>
    <x v="5"/>
    <x v="1"/>
    <n v="600"/>
    <n v="1"/>
    <n v="600"/>
    <n v="600"/>
    <x v="1"/>
    <x v="12"/>
  </r>
  <r>
    <n v="531"/>
    <x v="530"/>
    <x v="0"/>
    <x v="0"/>
    <x v="0"/>
    <n v="1100"/>
    <n v="1"/>
    <n v="1100"/>
    <n v="1100"/>
    <x v="1"/>
    <x v="13"/>
  </r>
  <r>
    <n v="532"/>
    <x v="531"/>
    <x v="0"/>
    <x v="2"/>
    <x v="0"/>
    <n v="900"/>
    <n v="1"/>
    <n v="900"/>
    <n v="900"/>
    <x v="1"/>
    <x v="14"/>
  </r>
  <r>
    <n v="533"/>
    <x v="532"/>
    <x v="0"/>
    <x v="1"/>
    <x v="0"/>
    <n v="900"/>
    <n v="1"/>
    <n v="900"/>
    <n v="900"/>
    <x v="1"/>
    <x v="15"/>
  </r>
  <r>
    <n v="534"/>
    <x v="533"/>
    <x v="0"/>
    <x v="1"/>
    <x v="0"/>
    <n v="900"/>
    <n v="1"/>
    <n v="900"/>
    <n v="900"/>
    <x v="1"/>
    <x v="16"/>
  </r>
  <r>
    <n v="535"/>
    <x v="534"/>
    <x v="0"/>
    <x v="0"/>
    <x v="0"/>
    <n v="1100"/>
    <n v="1"/>
    <n v="1100"/>
    <n v="1100"/>
    <x v="1"/>
    <x v="17"/>
  </r>
  <r>
    <n v="536"/>
    <x v="535"/>
    <x v="0"/>
    <x v="9"/>
    <x v="3"/>
    <n v="600"/>
    <n v="2"/>
    <n v="1200"/>
    <n v="1200"/>
    <x v="1"/>
    <x v="18"/>
  </r>
  <r>
    <n v="537"/>
    <x v="536"/>
    <x v="0"/>
    <x v="6"/>
    <x v="2"/>
    <n v="850"/>
    <n v="1"/>
    <n v="850"/>
    <n v="850"/>
    <x v="1"/>
    <x v="19"/>
  </r>
  <r>
    <n v="538"/>
    <x v="537"/>
    <x v="0"/>
    <x v="1"/>
    <x v="0"/>
    <n v="900"/>
    <n v="1"/>
    <n v="900"/>
    <n v="900"/>
    <x v="1"/>
    <x v="20"/>
  </r>
  <r>
    <n v="539"/>
    <x v="538"/>
    <x v="0"/>
    <x v="5"/>
    <x v="1"/>
    <n v="600"/>
    <n v="1"/>
    <n v="600"/>
    <n v="600"/>
    <x v="1"/>
    <x v="21"/>
  </r>
  <r>
    <n v="540"/>
    <x v="539"/>
    <x v="0"/>
    <x v="5"/>
    <x v="1"/>
    <n v="600"/>
    <n v="1"/>
    <n v="600"/>
    <n v="600"/>
    <x v="1"/>
    <x v="22"/>
  </r>
  <r>
    <n v="541"/>
    <x v="540"/>
    <x v="0"/>
    <x v="0"/>
    <x v="0"/>
    <n v="1100"/>
    <n v="1"/>
    <n v="1100"/>
    <n v="1100"/>
    <x v="1"/>
    <x v="23"/>
  </r>
  <r>
    <n v="542"/>
    <x v="541"/>
    <x v="0"/>
    <x v="0"/>
    <x v="0"/>
    <n v="1100"/>
    <n v="1"/>
    <n v="1100"/>
    <n v="1100"/>
    <x v="1"/>
    <x v="24"/>
  </r>
  <r>
    <n v="543"/>
    <x v="542"/>
    <x v="0"/>
    <x v="0"/>
    <x v="0"/>
    <n v="1100"/>
    <n v="1"/>
    <n v="1100"/>
    <n v="1100"/>
    <x v="1"/>
    <x v="25"/>
  </r>
  <r>
    <n v="544"/>
    <x v="543"/>
    <x v="0"/>
    <x v="0"/>
    <x v="0"/>
    <n v="1100"/>
    <n v="1"/>
    <n v="1100"/>
    <n v="1100"/>
    <x v="1"/>
    <x v="26"/>
  </r>
  <r>
    <n v="545"/>
    <x v="544"/>
    <x v="0"/>
    <x v="1"/>
    <x v="0"/>
    <n v="1100"/>
    <n v="1"/>
    <n v="1100"/>
    <n v="1100"/>
    <x v="1"/>
    <x v="27"/>
  </r>
  <r>
    <n v="546"/>
    <x v="545"/>
    <x v="0"/>
    <x v="1"/>
    <x v="0"/>
    <n v="1100"/>
    <n v="1"/>
    <n v="1100"/>
    <n v="1100"/>
    <x v="1"/>
    <x v="28"/>
  </r>
  <r>
    <n v="547"/>
    <x v="546"/>
    <x v="0"/>
    <x v="1"/>
    <x v="0"/>
    <n v="1100"/>
    <n v="1"/>
    <n v="1100"/>
    <n v="1100"/>
    <x v="1"/>
    <x v="29"/>
  </r>
  <r>
    <n v="548"/>
    <x v="547"/>
    <x v="0"/>
    <x v="1"/>
    <x v="0"/>
    <n v="1100"/>
    <n v="2"/>
    <n v="2200"/>
    <n v="2200"/>
    <x v="1"/>
    <x v="0"/>
  </r>
  <r>
    <n v="549"/>
    <x v="548"/>
    <x v="0"/>
    <x v="1"/>
    <x v="0"/>
    <n v="1100"/>
    <n v="1"/>
    <n v="1100"/>
    <n v="1100"/>
    <x v="1"/>
    <x v="1"/>
  </r>
  <r>
    <n v="550"/>
    <x v="549"/>
    <x v="0"/>
    <x v="1"/>
    <x v="0"/>
    <n v="1100"/>
    <n v="1"/>
    <n v="1100"/>
    <n v="1100"/>
    <x v="1"/>
    <x v="2"/>
  </r>
  <r>
    <n v="551"/>
    <x v="550"/>
    <x v="0"/>
    <x v="1"/>
    <x v="0"/>
    <n v="900"/>
    <n v="1"/>
    <n v="900"/>
    <n v="900"/>
    <x v="1"/>
    <x v="3"/>
  </r>
  <r>
    <n v="552"/>
    <x v="551"/>
    <x v="0"/>
    <x v="1"/>
    <x v="0"/>
    <n v="900"/>
    <n v="1"/>
    <n v="900"/>
    <n v="900"/>
    <x v="1"/>
    <x v="4"/>
  </r>
  <r>
    <n v="553"/>
    <x v="552"/>
    <x v="0"/>
    <x v="1"/>
    <x v="0"/>
    <n v="900"/>
    <n v="1"/>
    <n v="900"/>
    <n v="900"/>
    <x v="1"/>
    <x v="5"/>
  </r>
  <r>
    <n v="554"/>
    <x v="553"/>
    <x v="0"/>
    <x v="1"/>
    <x v="0"/>
    <n v="900"/>
    <n v="2"/>
    <n v="1800"/>
    <n v="1800"/>
    <x v="1"/>
    <x v="6"/>
  </r>
  <r>
    <n v="555"/>
    <x v="554"/>
    <x v="0"/>
    <x v="1"/>
    <x v="0"/>
    <n v="900"/>
    <n v="1"/>
    <n v="900"/>
    <n v="900"/>
    <x v="1"/>
    <x v="7"/>
  </r>
  <r>
    <n v="556"/>
    <x v="555"/>
    <x v="0"/>
    <x v="1"/>
    <x v="0"/>
    <n v="900"/>
    <n v="1"/>
    <n v="900"/>
    <n v="900"/>
    <x v="1"/>
    <x v="8"/>
  </r>
  <r>
    <n v="557"/>
    <x v="556"/>
    <x v="0"/>
    <x v="1"/>
    <x v="0"/>
    <n v="1100"/>
    <n v="1"/>
    <n v="1100"/>
    <n v="1100"/>
    <x v="1"/>
    <x v="9"/>
  </r>
  <r>
    <n v="558"/>
    <x v="557"/>
    <x v="1"/>
    <x v="1"/>
    <x v="0"/>
    <n v="900"/>
    <n v="1"/>
    <n v="900"/>
    <n v="900"/>
    <x v="1"/>
    <x v="10"/>
  </r>
  <r>
    <n v="559"/>
    <x v="558"/>
    <x v="1"/>
    <x v="1"/>
    <x v="0"/>
    <n v="1100"/>
    <n v="2"/>
    <n v="2200"/>
    <n v="2200"/>
    <x v="1"/>
    <x v="11"/>
  </r>
  <r>
    <n v="560"/>
    <x v="559"/>
    <x v="1"/>
    <x v="1"/>
    <x v="0"/>
    <n v="1100"/>
    <n v="1"/>
    <n v="1100"/>
    <n v="1100"/>
    <x v="1"/>
    <x v="12"/>
  </r>
  <r>
    <n v="561"/>
    <x v="560"/>
    <x v="1"/>
    <x v="1"/>
    <x v="0"/>
    <n v="900"/>
    <n v="1"/>
    <n v="900"/>
    <n v="900"/>
    <x v="1"/>
    <x v="13"/>
  </r>
  <r>
    <n v="562"/>
    <x v="561"/>
    <x v="1"/>
    <x v="1"/>
    <x v="0"/>
    <n v="900"/>
    <n v="1"/>
    <n v="900"/>
    <n v="900"/>
    <x v="1"/>
    <x v="14"/>
  </r>
  <r>
    <n v="563"/>
    <x v="562"/>
    <x v="1"/>
    <x v="2"/>
    <x v="0"/>
    <n v="900"/>
    <n v="1"/>
    <n v="900"/>
    <n v="900"/>
    <x v="1"/>
    <x v="15"/>
  </r>
  <r>
    <n v="564"/>
    <x v="563"/>
    <x v="1"/>
    <x v="1"/>
    <x v="0"/>
    <n v="1100"/>
    <n v="1"/>
    <n v="1100"/>
    <n v="1100"/>
    <x v="1"/>
    <x v="16"/>
  </r>
  <r>
    <n v="565"/>
    <x v="564"/>
    <x v="1"/>
    <x v="1"/>
    <x v="0"/>
    <n v="1100"/>
    <n v="1"/>
    <n v="1100"/>
    <n v="1100"/>
    <x v="1"/>
    <x v="17"/>
  </r>
  <r>
    <n v="566"/>
    <x v="565"/>
    <x v="1"/>
    <x v="2"/>
    <x v="0"/>
    <n v="900"/>
    <n v="1"/>
    <n v="900"/>
    <n v="900"/>
    <x v="1"/>
    <x v="18"/>
  </r>
  <r>
    <n v="567"/>
    <x v="566"/>
    <x v="0"/>
    <x v="1"/>
    <x v="0"/>
    <n v="900"/>
    <n v="1"/>
    <n v="900"/>
    <n v="900"/>
    <x v="1"/>
    <x v="19"/>
  </r>
  <r>
    <n v="568"/>
    <x v="567"/>
    <x v="0"/>
    <x v="2"/>
    <x v="0"/>
    <n v="900"/>
    <n v="1"/>
    <n v="900"/>
    <n v="900"/>
    <x v="1"/>
    <x v="20"/>
  </r>
  <r>
    <n v="569"/>
    <x v="568"/>
    <x v="0"/>
    <x v="1"/>
    <x v="0"/>
    <n v="1100"/>
    <n v="1"/>
    <n v="1100"/>
    <n v="1100"/>
    <x v="1"/>
    <x v="21"/>
  </r>
  <r>
    <n v="570"/>
    <x v="569"/>
    <x v="0"/>
    <x v="1"/>
    <x v="0"/>
    <n v="1100"/>
    <n v="1"/>
    <n v="1100"/>
    <n v="1100"/>
    <x v="1"/>
    <x v="22"/>
  </r>
  <r>
    <n v="571"/>
    <x v="570"/>
    <x v="0"/>
    <x v="2"/>
    <x v="0"/>
    <n v="900"/>
    <n v="1"/>
    <n v="900"/>
    <n v="900"/>
    <x v="1"/>
    <x v="23"/>
  </r>
  <r>
    <n v="572"/>
    <x v="571"/>
    <x v="0"/>
    <x v="2"/>
    <x v="0"/>
    <n v="900"/>
    <n v="1"/>
    <n v="900"/>
    <n v="900"/>
    <x v="1"/>
    <x v="24"/>
  </r>
  <r>
    <n v="573"/>
    <x v="572"/>
    <x v="0"/>
    <x v="2"/>
    <x v="0"/>
    <n v="900"/>
    <n v="1"/>
    <n v="900"/>
    <n v="900"/>
    <x v="1"/>
    <x v="25"/>
  </r>
  <r>
    <n v="574"/>
    <x v="573"/>
    <x v="0"/>
    <x v="2"/>
    <x v="0"/>
    <n v="900"/>
    <n v="1"/>
    <n v="900"/>
    <n v="900"/>
    <x v="1"/>
    <x v="26"/>
  </r>
  <r>
    <n v="575"/>
    <x v="574"/>
    <x v="0"/>
    <x v="2"/>
    <x v="0"/>
    <n v="900"/>
    <n v="1"/>
    <n v="900"/>
    <n v="900"/>
    <x v="1"/>
    <x v="27"/>
  </r>
  <r>
    <n v="576"/>
    <x v="575"/>
    <x v="0"/>
    <x v="1"/>
    <x v="0"/>
    <n v="900"/>
    <n v="1"/>
    <n v="900"/>
    <n v="900"/>
    <x v="1"/>
    <x v="28"/>
  </r>
  <r>
    <n v="577"/>
    <x v="576"/>
    <x v="0"/>
    <x v="1"/>
    <x v="0"/>
    <n v="900"/>
    <n v="1"/>
    <n v="900"/>
    <n v="900"/>
    <x v="1"/>
    <x v="29"/>
  </r>
  <r>
    <n v="578"/>
    <x v="577"/>
    <x v="0"/>
    <x v="1"/>
    <x v="0"/>
    <n v="900"/>
    <n v="1"/>
    <n v="900"/>
    <n v="900"/>
    <x v="1"/>
    <x v="30"/>
  </r>
  <r>
    <n v="579"/>
    <x v="578"/>
    <x v="0"/>
    <x v="1"/>
    <x v="0"/>
    <n v="1100"/>
    <n v="1"/>
    <n v="1100"/>
    <n v="1100"/>
    <x v="1"/>
    <x v="0"/>
  </r>
  <r>
    <n v="580"/>
    <x v="579"/>
    <x v="0"/>
    <x v="1"/>
    <x v="0"/>
    <n v="1100"/>
    <n v="1"/>
    <n v="1100"/>
    <n v="1100"/>
    <x v="1"/>
    <x v="1"/>
  </r>
  <r>
    <n v="581"/>
    <x v="580"/>
    <x v="0"/>
    <x v="3"/>
    <x v="0"/>
    <n v="1000"/>
    <n v="1"/>
    <n v="1000"/>
    <n v="1000"/>
    <x v="1"/>
    <x v="2"/>
  </r>
  <r>
    <n v="582"/>
    <x v="581"/>
    <x v="0"/>
    <x v="3"/>
    <x v="0"/>
    <n v="1000"/>
    <n v="1"/>
    <n v="1000"/>
    <n v="1000"/>
    <x v="1"/>
    <x v="3"/>
  </r>
  <r>
    <n v="583"/>
    <x v="582"/>
    <x v="0"/>
    <x v="1"/>
    <x v="0"/>
    <n v="1100"/>
    <n v="1"/>
    <n v="1100"/>
    <n v="1100"/>
    <x v="1"/>
    <x v="4"/>
  </r>
  <r>
    <n v="584"/>
    <x v="583"/>
    <x v="0"/>
    <x v="3"/>
    <x v="0"/>
    <n v="1000"/>
    <n v="1"/>
    <n v="1000"/>
    <n v="1000"/>
    <x v="1"/>
    <x v="5"/>
  </r>
  <r>
    <n v="585"/>
    <x v="584"/>
    <x v="0"/>
    <x v="1"/>
    <x v="0"/>
    <n v="900"/>
    <n v="1"/>
    <n v="900"/>
    <n v="900"/>
    <x v="1"/>
    <x v="6"/>
  </r>
  <r>
    <n v="586"/>
    <x v="585"/>
    <x v="0"/>
    <x v="1"/>
    <x v="0"/>
    <n v="900"/>
    <n v="2"/>
    <n v="1800"/>
    <n v="1800"/>
    <x v="1"/>
    <x v="7"/>
  </r>
  <r>
    <n v="587"/>
    <x v="586"/>
    <x v="0"/>
    <x v="1"/>
    <x v="0"/>
    <n v="1100"/>
    <n v="1"/>
    <n v="1100"/>
    <n v="1100"/>
    <x v="1"/>
    <x v="8"/>
  </r>
  <r>
    <n v="588"/>
    <x v="587"/>
    <x v="0"/>
    <x v="1"/>
    <x v="0"/>
    <n v="900"/>
    <n v="1"/>
    <n v="900"/>
    <n v="900"/>
    <x v="1"/>
    <x v="9"/>
  </r>
  <r>
    <n v="589"/>
    <x v="588"/>
    <x v="0"/>
    <x v="1"/>
    <x v="0"/>
    <n v="1100"/>
    <n v="1"/>
    <n v="1100"/>
    <n v="1100"/>
    <x v="1"/>
    <x v="10"/>
  </r>
  <r>
    <n v="590"/>
    <x v="589"/>
    <x v="0"/>
    <x v="4"/>
    <x v="1"/>
    <n v="800"/>
    <n v="1"/>
    <n v="800"/>
    <n v="800"/>
    <x v="1"/>
    <x v="11"/>
  </r>
  <r>
    <n v="591"/>
    <x v="590"/>
    <x v="0"/>
    <x v="4"/>
    <x v="1"/>
    <n v="800"/>
    <n v="2"/>
    <n v="1600"/>
    <n v="1600"/>
    <x v="1"/>
    <x v="12"/>
  </r>
  <r>
    <n v="592"/>
    <x v="591"/>
    <x v="0"/>
    <x v="2"/>
    <x v="0"/>
    <n v="900"/>
    <n v="1"/>
    <n v="900"/>
    <n v="900"/>
    <x v="1"/>
    <x v="13"/>
  </r>
  <r>
    <n v="593"/>
    <x v="592"/>
    <x v="0"/>
    <x v="1"/>
    <x v="0"/>
    <n v="1100"/>
    <n v="1"/>
    <n v="1100"/>
    <n v="1100"/>
    <x v="1"/>
    <x v="14"/>
  </r>
  <r>
    <n v="594"/>
    <x v="593"/>
    <x v="0"/>
    <x v="4"/>
    <x v="1"/>
    <n v="800"/>
    <n v="1"/>
    <n v="800"/>
    <n v="800"/>
    <x v="1"/>
    <x v="15"/>
  </r>
  <r>
    <n v="595"/>
    <x v="594"/>
    <x v="0"/>
    <x v="3"/>
    <x v="0"/>
    <n v="1000"/>
    <n v="1"/>
    <n v="1000"/>
    <n v="1000"/>
    <x v="1"/>
    <x v="16"/>
  </r>
  <r>
    <n v="596"/>
    <x v="595"/>
    <x v="0"/>
    <x v="4"/>
    <x v="1"/>
    <n v="800"/>
    <n v="1"/>
    <n v="800"/>
    <n v="800"/>
    <x v="1"/>
    <x v="17"/>
  </r>
  <r>
    <n v="597"/>
    <x v="596"/>
    <x v="0"/>
    <x v="5"/>
    <x v="1"/>
    <n v="600"/>
    <n v="1"/>
    <n v="600"/>
    <n v="600"/>
    <x v="1"/>
    <x v="18"/>
  </r>
  <r>
    <n v="598"/>
    <x v="597"/>
    <x v="0"/>
    <x v="1"/>
    <x v="0"/>
    <n v="900"/>
    <n v="1"/>
    <n v="900"/>
    <n v="900"/>
    <x v="1"/>
    <x v="19"/>
  </r>
  <r>
    <n v="599"/>
    <x v="598"/>
    <x v="0"/>
    <x v="1"/>
    <x v="0"/>
    <n v="1100"/>
    <n v="1"/>
    <n v="1100"/>
    <n v="1100"/>
    <x v="1"/>
    <x v="20"/>
  </r>
  <r>
    <n v="600"/>
    <x v="599"/>
    <x v="0"/>
    <x v="3"/>
    <x v="0"/>
    <n v="1000"/>
    <n v="1"/>
    <n v="1000"/>
    <n v="1000"/>
    <x v="1"/>
    <x v="21"/>
  </r>
  <r>
    <n v="601"/>
    <x v="600"/>
    <x v="0"/>
    <x v="1"/>
    <x v="0"/>
    <n v="900"/>
    <n v="1"/>
    <n v="900"/>
    <n v="900"/>
    <x v="1"/>
    <x v="22"/>
  </r>
  <r>
    <n v="602"/>
    <x v="601"/>
    <x v="0"/>
    <x v="1"/>
    <x v="0"/>
    <n v="1100"/>
    <n v="2"/>
    <n v="2200"/>
    <n v="2200"/>
    <x v="1"/>
    <x v="23"/>
  </r>
  <r>
    <n v="603"/>
    <x v="602"/>
    <x v="0"/>
    <x v="5"/>
    <x v="1"/>
    <n v="600"/>
    <n v="1"/>
    <n v="600"/>
    <n v="600"/>
    <x v="1"/>
    <x v="24"/>
  </r>
  <r>
    <n v="604"/>
    <x v="603"/>
    <x v="0"/>
    <x v="5"/>
    <x v="1"/>
    <n v="600"/>
    <n v="1"/>
    <n v="600"/>
    <n v="600"/>
    <x v="1"/>
    <x v="25"/>
  </r>
  <r>
    <n v="605"/>
    <x v="604"/>
    <x v="0"/>
    <x v="5"/>
    <x v="1"/>
    <n v="600"/>
    <n v="1"/>
    <n v="600"/>
    <n v="600"/>
    <x v="1"/>
    <x v="26"/>
  </r>
  <r>
    <n v="606"/>
    <x v="605"/>
    <x v="0"/>
    <x v="1"/>
    <x v="0"/>
    <n v="900"/>
    <n v="1"/>
    <n v="900"/>
    <n v="900"/>
    <x v="1"/>
    <x v="27"/>
  </r>
  <r>
    <n v="607"/>
    <x v="606"/>
    <x v="0"/>
    <x v="5"/>
    <x v="1"/>
    <n v="600"/>
    <n v="1"/>
    <n v="600"/>
    <n v="600"/>
    <x v="1"/>
    <x v="28"/>
  </r>
  <r>
    <n v="608"/>
    <x v="607"/>
    <x v="0"/>
    <x v="5"/>
    <x v="1"/>
    <n v="600"/>
    <n v="1"/>
    <n v="600"/>
    <n v="600"/>
    <x v="1"/>
    <x v="29"/>
  </r>
  <r>
    <n v="609"/>
    <x v="608"/>
    <x v="0"/>
    <x v="1"/>
    <x v="0"/>
    <n v="1100"/>
    <n v="1"/>
    <n v="1100"/>
    <n v="1100"/>
    <x v="1"/>
    <x v="30"/>
  </r>
  <r>
    <n v="610"/>
    <x v="609"/>
    <x v="0"/>
    <x v="2"/>
    <x v="0"/>
    <n v="900"/>
    <n v="3"/>
    <n v="2700"/>
    <n v="2700"/>
    <x v="1"/>
    <x v="0"/>
  </r>
  <r>
    <n v="611"/>
    <x v="610"/>
    <x v="0"/>
    <x v="1"/>
    <x v="0"/>
    <n v="1100"/>
    <n v="2"/>
    <n v="2200"/>
    <n v="2200"/>
    <x v="1"/>
    <x v="1"/>
  </r>
  <r>
    <n v="612"/>
    <x v="611"/>
    <x v="0"/>
    <x v="1"/>
    <x v="0"/>
    <n v="1100"/>
    <n v="1"/>
    <n v="1100"/>
    <n v="1100"/>
    <x v="1"/>
    <x v="2"/>
  </r>
  <r>
    <n v="613"/>
    <x v="612"/>
    <x v="0"/>
    <x v="5"/>
    <x v="1"/>
    <n v="600"/>
    <n v="1"/>
    <n v="600"/>
    <n v="600"/>
    <x v="1"/>
    <x v="3"/>
  </r>
  <r>
    <n v="614"/>
    <x v="613"/>
    <x v="0"/>
    <x v="1"/>
    <x v="0"/>
    <n v="900"/>
    <n v="1"/>
    <n v="900"/>
    <n v="900"/>
    <x v="1"/>
    <x v="4"/>
  </r>
  <r>
    <n v="615"/>
    <x v="614"/>
    <x v="0"/>
    <x v="5"/>
    <x v="1"/>
    <n v="600"/>
    <n v="1"/>
    <n v="600"/>
    <n v="600"/>
    <x v="1"/>
    <x v="5"/>
  </r>
  <r>
    <n v="616"/>
    <x v="615"/>
    <x v="0"/>
    <x v="5"/>
    <x v="1"/>
    <n v="600"/>
    <n v="1"/>
    <n v="600"/>
    <n v="600"/>
    <x v="1"/>
    <x v="6"/>
  </r>
  <r>
    <n v="617"/>
    <x v="616"/>
    <x v="0"/>
    <x v="1"/>
    <x v="0"/>
    <n v="900"/>
    <n v="3"/>
    <n v="2700"/>
    <n v="2700"/>
    <x v="1"/>
    <x v="7"/>
  </r>
  <r>
    <n v="618"/>
    <x v="617"/>
    <x v="0"/>
    <x v="5"/>
    <x v="1"/>
    <n v="600"/>
    <n v="1"/>
    <n v="600"/>
    <n v="600"/>
    <x v="1"/>
    <x v="8"/>
  </r>
  <r>
    <n v="619"/>
    <x v="618"/>
    <x v="0"/>
    <x v="4"/>
    <x v="1"/>
    <n v="800"/>
    <n v="1"/>
    <n v="800"/>
    <n v="800"/>
    <x v="1"/>
    <x v="9"/>
  </r>
  <r>
    <n v="620"/>
    <x v="619"/>
    <x v="0"/>
    <x v="5"/>
    <x v="1"/>
    <n v="600"/>
    <n v="1"/>
    <n v="600"/>
    <n v="600"/>
    <x v="1"/>
    <x v="10"/>
  </r>
  <r>
    <n v="621"/>
    <x v="620"/>
    <x v="0"/>
    <x v="1"/>
    <x v="0"/>
    <n v="1100"/>
    <n v="1"/>
    <n v="1100"/>
    <n v="1100"/>
    <x v="1"/>
    <x v="11"/>
  </r>
  <r>
    <n v="622"/>
    <x v="621"/>
    <x v="0"/>
    <x v="2"/>
    <x v="0"/>
    <n v="900"/>
    <n v="1"/>
    <n v="900"/>
    <n v="900"/>
    <x v="1"/>
    <x v="12"/>
  </r>
  <r>
    <n v="623"/>
    <x v="622"/>
    <x v="0"/>
    <x v="1"/>
    <x v="0"/>
    <n v="1100"/>
    <n v="1"/>
    <n v="1100"/>
    <n v="1100"/>
    <x v="1"/>
    <x v="13"/>
  </r>
  <r>
    <n v="624"/>
    <x v="623"/>
    <x v="0"/>
    <x v="1"/>
    <x v="0"/>
    <n v="1100"/>
    <n v="1"/>
    <n v="1100"/>
    <n v="1100"/>
    <x v="1"/>
    <x v="14"/>
  </r>
  <r>
    <n v="625"/>
    <x v="624"/>
    <x v="0"/>
    <x v="1"/>
    <x v="0"/>
    <n v="1100"/>
    <n v="1"/>
    <n v="1100"/>
    <n v="1100"/>
    <x v="1"/>
    <x v="15"/>
  </r>
  <r>
    <n v="626"/>
    <x v="625"/>
    <x v="0"/>
    <x v="3"/>
    <x v="0"/>
    <n v="1000"/>
    <n v="1"/>
    <n v="1000"/>
    <n v="1000"/>
    <x v="1"/>
    <x v="16"/>
  </r>
  <r>
    <n v="627"/>
    <x v="626"/>
    <x v="0"/>
    <x v="5"/>
    <x v="1"/>
    <n v="600"/>
    <n v="1"/>
    <n v="600"/>
    <n v="600"/>
    <x v="1"/>
    <x v="17"/>
  </r>
  <r>
    <n v="628"/>
    <x v="627"/>
    <x v="0"/>
    <x v="4"/>
    <x v="1"/>
    <n v="800"/>
    <n v="1"/>
    <n v="800"/>
    <n v="800"/>
    <x v="1"/>
    <x v="18"/>
  </r>
  <r>
    <n v="629"/>
    <x v="628"/>
    <x v="0"/>
    <x v="1"/>
    <x v="0"/>
    <n v="1100"/>
    <n v="1"/>
    <n v="1100"/>
    <n v="1100"/>
    <x v="1"/>
    <x v="19"/>
  </r>
  <r>
    <n v="630"/>
    <x v="629"/>
    <x v="0"/>
    <x v="5"/>
    <x v="1"/>
    <n v="600"/>
    <n v="1"/>
    <n v="600"/>
    <n v="600"/>
    <x v="1"/>
    <x v="20"/>
  </r>
  <r>
    <n v="631"/>
    <x v="630"/>
    <x v="0"/>
    <x v="6"/>
    <x v="2"/>
    <n v="850"/>
    <n v="1"/>
    <n v="850"/>
    <n v="850"/>
    <x v="1"/>
    <x v="21"/>
  </r>
  <r>
    <n v="632"/>
    <x v="631"/>
    <x v="0"/>
    <x v="2"/>
    <x v="0"/>
    <n v="900"/>
    <n v="1"/>
    <n v="900"/>
    <n v="900"/>
    <x v="1"/>
    <x v="22"/>
  </r>
  <r>
    <n v="633"/>
    <x v="632"/>
    <x v="0"/>
    <x v="3"/>
    <x v="0"/>
    <n v="1000"/>
    <n v="1"/>
    <n v="1000"/>
    <n v="1000"/>
    <x v="1"/>
    <x v="23"/>
  </r>
  <r>
    <n v="634"/>
    <x v="633"/>
    <x v="0"/>
    <x v="6"/>
    <x v="2"/>
    <n v="850"/>
    <n v="1"/>
    <n v="850"/>
    <n v="850"/>
    <x v="1"/>
    <x v="24"/>
  </r>
  <r>
    <n v="635"/>
    <x v="634"/>
    <x v="0"/>
    <x v="6"/>
    <x v="2"/>
    <n v="850"/>
    <n v="1"/>
    <n v="850"/>
    <n v="850"/>
    <x v="1"/>
    <x v="25"/>
  </r>
  <r>
    <n v="636"/>
    <x v="635"/>
    <x v="0"/>
    <x v="3"/>
    <x v="0"/>
    <n v="1000"/>
    <n v="1"/>
    <n v="1000"/>
    <n v="1000"/>
    <x v="1"/>
    <x v="26"/>
  </r>
  <r>
    <n v="637"/>
    <x v="636"/>
    <x v="0"/>
    <x v="4"/>
    <x v="1"/>
    <n v="800"/>
    <n v="1"/>
    <n v="800"/>
    <n v="800"/>
    <x v="1"/>
    <x v="27"/>
  </r>
  <r>
    <n v="638"/>
    <x v="637"/>
    <x v="0"/>
    <x v="1"/>
    <x v="0"/>
    <n v="1100"/>
    <n v="1"/>
    <n v="1100"/>
    <n v="1100"/>
    <x v="1"/>
    <x v="28"/>
  </r>
  <r>
    <n v="639"/>
    <x v="638"/>
    <x v="0"/>
    <x v="1"/>
    <x v="0"/>
    <n v="1100"/>
    <n v="1"/>
    <n v="1100"/>
    <n v="1100"/>
    <x v="1"/>
    <x v="29"/>
  </r>
  <r>
    <n v="640"/>
    <x v="639"/>
    <x v="0"/>
    <x v="1"/>
    <x v="0"/>
    <n v="1100"/>
    <n v="1"/>
    <n v="1100"/>
    <n v="1100"/>
    <x v="1"/>
    <x v="0"/>
  </r>
  <r>
    <n v="641"/>
    <x v="640"/>
    <x v="0"/>
    <x v="1"/>
    <x v="0"/>
    <n v="1100"/>
    <n v="1"/>
    <n v="1100"/>
    <n v="1100"/>
    <x v="1"/>
    <x v="1"/>
  </r>
  <r>
    <n v="642"/>
    <x v="641"/>
    <x v="0"/>
    <x v="1"/>
    <x v="0"/>
    <n v="1100"/>
    <n v="1"/>
    <n v="1100"/>
    <n v="1100"/>
    <x v="1"/>
    <x v="2"/>
  </r>
  <r>
    <n v="643"/>
    <x v="642"/>
    <x v="0"/>
    <x v="1"/>
    <x v="0"/>
    <n v="1100"/>
    <n v="1"/>
    <n v="1100"/>
    <n v="1100"/>
    <x v="1"/>
    <x v="3"/>
  </r>
  <r>
    <n v="644"/>
    <x v="643"/>
    <x v="0"/>
    <x v="1"/>
    <x v="0"/>
    <n v="1100"/>
    <n v="2"/>
    <n v="2200"/>
    <n v="2200"/>
    <x v="1"/>
    <x v="4"/>
  </r>
  <r>
    <n v="645"/>
    <x v="644"/>
    <x v="0"/>
    <x v="1"/>
    <x v="0"/>
    <n v="1100"/>
    <n v="1"/>
    <n v="1100"/>
    <n v="1100"/>
    <x v="1"/>
    <x v="5"/>
  </r>
  <r>
    <n v="646"/>
    <x v="645"/>
    <x v="0"/>
    <x v="1"/>
    <x v="0"/>
    <n v="1100"/>
    <n v="1"/>
    <n v="1100"/>
    <n v="1100"/>
    <x v="1"/>
    <x v="6"/>
  </r>
  <r>
    <n v="647"/>
    <x v="646"/>
    <x v="0"/>
    <x v="1"/>
    <x v="0"/>
    <n v="900"/>
    <n v="1"/>
    <n v="900"/>
    <n v="900"/>
    <x v="1"/>
    <x v="7"/>
  </r>
  <r>
    <n v="648"/>
    <x v="647"/>
    <x v="0"/>
    <x v="1"/>
    <x v="0"/>
    <n v="900"/>
    <n v="1"/>
    <n v="900"/>
    <n v="900"/>
    <x v="1"/>
    <x v="8"/>
  </r>
  <r>
    <n v="649"/>
    <x v="648"/>
    <x v="0"/>
    <x v="1"/>
    <x v="0"/>
    <n v="900"/>
    <n v="1"/>
    <n v="900"/>
    <n v="900"/>
    <x v="1"/>
    <x v="9"/>
  </r>
  <r>
    <n v="650"/>
    <x v="649"/>
    <x v="0"/>
    <x v="1"/>
    <x v="0"/>
    <n v="900"/>
    <n v="2"/>
    <n v="1800"/>
    <n v="1800"/>
    <x v="1"/>
    <x v="10"/>
  </r>
  <r>
    <n v="651"/>
    <x v="650"/>
    <x v="0"/>
    <x v="1"/>
    <x v="0"/>
    <n v="900"/>
    <n v="1"/>
    <n v="900"/>
    <n v="900"/>
    <x v="1"/>
    <x v="11"/>
  </r>
  <r>
    <n v="652"/>
    <x v="651"/>
    <x v="0"/>
    <x v="1"/>
    <x v="0"/>
    <n v="900"/>
    <n v="1"/>
    <n v="900"/>
    <n v="900"/>
    <x v="1"/>
    <x v="12"/>
  </r>
  <r>
    <n v="653"/>
    <x v="652"/>
    <x v="0"/>
    <x v="1"/>
    <x v="0"/>
    <n v="1100"/>
    <n v="1"/>
    <n v="1100"/>
    <n v="1100"/>
    <x v="1"/>
    <x v="13"/>
  </r>
  <r>
    <n v="654"/>
    <x v="653"/>
    <x v="0"/>
    <x v="1"/>
    <x v="0"/>
    <n v="900"/>
    <n v="1"/>
    <n v="900"/>
    <n v="900"/>
    <x v="1"/>
    <x v="14"/>
  </r>
  <r>
    <n v="655"/>
    <x v="654"/>
    <x v="0"/>
    <x v="1"/>
    <x v="0"/>
    <n v="1100"/>
    <n v="2"/>
    <n v="2200"/>
    <n v="2200"/>
    <x v="1"/>
    <x v="15"/>
  </r>
  <r>
    <n v="656"/>
    <x v="655"/>
    <x v="0"/>
    <x v="1"/>
    <x v="0"/>
    <n v="1100"/>
    <n v="1"/>
    <n v="1100"/>
    <n v="1100"/>
    <x v="1"/>
    <x v="16"/>
  </r>
  <r>
    <n v="657"/>
    <x v="656"/>
    <x v="0"/>
    <x v="1"/>
    <x v="0"/>
    <n v="900"/>
    <n v="1"/>
    <n v="900"/>
    <n v="900"/>
    <x v="1"/>
    <x v="17"/>
  </r>
  <r>
    <n v="658"/>
    <x v="657"/>
    <x v="0"/>
    <x v="1"/>
    <x v="0"/>
    <n v="900"/>
    <n v="1"/>
    <n v="900"/>
    <n v="900"/>
    <x v="1"/>
    <x v="18"/>
  </r>
  <r>
    <n v="659"/>
    <x v="658"/>
    <x v="0"/>
    <x v="2"/>
    <x v="0"/>
    <n v="900"/>
    <n v="1"/>
    <n v="900"/>
    <n v="900"/>
    <x v="1"/>
    <x v="19"/>
  </r>
  <r>
    <n v="660"/>
    <x v="659"/>
    <x v="0"/>
    <x v="1"/>
    <x v="0"/>
    <n v="1100"/>
    <n v="1"/>
    <n v="1100"/>
    <n v="1100"/>
    <x v="1"/>
    <x v="20"/>
  </r>
  <r>
    <n v="661"/>
    <x v="660"/>
    <x v="0"/>
    <x v="1"/>
    <x v="0"/>
    <n v="1100"/>
    <n v="1"/>
    <n v="1100"/>
    <n v="1100"/>
    <x v="1"/>
    <x v="21"/>
  </r>
  <r>
    <n v="662"/>
    <x v="661"/>
    <x v="0"/>
    <x v="2"/>
    <x v="0"/>
    <n v="900"/>
    <n v="1"/>
    <n v="900"/>
    <n v="900"/>
    <x v="1"/>
    <x v="22"/>
  </r>
  <r>
    <n v="663"/>
    <x v="662"/>
    <x v="0"/>
    <x v="1"/>
    <x v="0"/>
    <n v="900"/>
    <n v="1"/>
    <n v="900"/>
    <n v="900"/>
    <x v="1"/>
    <x v="23"/>
  </r>
  <r>
    <n v="664"/>
    <x v="663"/>
    <x v="0"/>
    <x v="2"/>
    <x v="0"/>
    <n v="900"/>
    <n v="1"/>
    <n v="900"/>
    <n v="900"/>
    <x v="1"/>
    <x v="24"/>
  </r>
  <r>
    <n v="665"/>
    <x v="664"/>
    <x v="0"/>
    <x v="1"/>
    <x v="0"/>
    <n v="1100"/>
    <n v="1"/>
    <n v="1100"/>
    <n v="1100"/>
    <x v="1"/>
    <x v="25"/>
  </r>
  <r>
    <n v="666"/>
    <x v="665"/>
    <x v="0"/>
    <x v="1"/>
    <x v="0"/>
    <n v="1100"/>
    <n v="1"/>
    <n v="1100"/>
    <n v="1100"/>
    <x v="1"/>
    <x v="26"/>
  </r>
  <r>
    <n v="667"/>
    <x v="666"/>
    <x v="0"/>
    <x v="2"/>
    <x v="0"/>
    <n v="900"/>
    <n v="1"/>
    <n v="900"/>
    <n v="900"/>
    <x v="1"/>
    <x v="27"/>
  </r>
  <r>
    <n v="668"/>
    <x v="667"/>
    <x v="0"/>
    <x v="2"/>
    <x v="0"/>
    <n v="900"/>
    <n v="1"/>
    <n v="900"/>
    <n v="900"/>
    <x v="1"/>
    <x v="28"/>
  </r>
  <r>
    <n v="669"/>
    <x v="668"/>
    <x v="0"/>
    <x v="2"/>
    <x v="0"/>
    <n v="900"/>
    <n v="1"/>
    <n v="900"/>
    <n v="900"/>
    <x v="1"/>
    <x v="29"/>
  </r>
  <r>
    <n v="670"/>
    <x v="669"/>
    <x v="0"/>
    <x v="2"/>
    <x v="0"/>
    <n v="900"/>
    <n v="1"/>
    <n v="900"/>
    <n v="900"/>
    <x v="1"/>
    <x v="30"/>
  </r>
  <r>
    <n v="671"/>
    <x v="670"/>
    <x v="0"/>
    <x v="2"/>
    <x v="0"/>
    <n v="900"/>
    <n v="1"/>
    <n v="900"/>
    <n v="900"/>
    <x v="1"/>
    <x v="0"/>
  </r>
  <r>
    <n v="672"/>
    <x v="671"/>
    <x v="0"/>
    <x v="1"/>
    <x v="0"/>
    <n v="900"/>
    <n v="1"/>
    <n v="900"/>
    <n v="900"/>
    <x v="1"/>
    <x v="1"/>
  </r>
  <r>
    <n v="673"/>
    <x v="672"/>
    <x v="0"/>
    <x v="1"/>
    <x v="0"/>
    <n v="900"/>
    <n v="1"/>
    <n v="900"/>
    <n v="900"/>
    <x v="1"/>
    <x v="2"/>
  </r>
  <r>
    <n v="674"/>
    <x v="673"/>
    <x v="0"/>
    <x v="1"/>
    <x v="0"/>
    <n v="900"/>
    <n v="1"/>
    <n v="900"/>
    <n v="900"/>
    <x v="1"/>
    <x v="3"/>
  </r>
  <r>
    <n v="675"/>
    <x v="674"/>
    <x v="0"/>
    <x v="1"/>
    <x v="0"/>
    <n v="1100"/>
    <n v="1"/>
    <n v="1100"/>
    <n v="1100"/>
    <x v="1"/>
    <x v="4"/>
  </r>
  <r>
    <n v="676"/>
    <x v="675"/>
    <x v="0"/>
    <x v="1"/>
    <x v="0"/>
    <n v="1100"/>
    <n v="1"/>
    <n v="1100"/>
    <n v="1100"/>
    <x v="1"/>
    <x v="5"/>
  </r>
  <r>
    <n v="677"/>
    <x v="676"/>
    <x v="0"/>
    <x v="3"/>
    <x v="0"/>
    <n v="1000"/>
    <n v="1"/>
    <n v="1000"/>
    <n v="1000"/>
    <x v="1"/>
    <x v="6"/>
  </r>
  <r>
    <n v="678"/>
    <x v="677"/>
    <x v="0"/>
    <x v="3"/>
    <x v="0"/>
    <n v="1000"/>
    <n v="1"/>
    <n v="1000"/>
    <n v="1000"/>
    <x v="1"/>
    <x v="7"/>
  </r>
  <r>
    <n v="679"/>
    <x v="678"/>
    <x v="0"/>
    <x v="1"/>
    <x v="0"/>
    <n v="1100"/>
    <n v="1"/>
    <n v="1100"/>
    <n v="1100"/>
    <x v="1"/>
    <x v="8"/>
  </r>
  <r>
    <n v="680"/>
    <x v="679"/>
    <x v="0"/>
    <x v="3"/>
    <x v="0"/>
    <n v="1000"/>
    <n v="1"/>
    <n v="1000"/>
    <n v="1000"/>
    <x v="1"/>
    <x v="9"/>
  </r>
  <r>
    <n v="681"/>
    <x v="680"/>
    <x v="0"/>
    <x v="1"/>
    <x v="0"/>
    <n v="900"/>
    <n v="1"/>
    <n v="900"/>
    <n v="900"/>
    <x v="1"/>
    <x v="10"/>
  </r>
  <r>
    <n v="682"/>
    <x v="681"/>
    <x v="0"/>
    <x v="1"/>
    <x v="0"/>
    <n v="900"/>
    <n v="2"/>
    <n v="1800"/>
    <n v="1800"/>
    <x v="1"/>
    <x v="11"/>
  </r>
  <r>
    <n v="683"/>
    <x v="682"/>
    <x v="0"/>
    <x v="1"/>
    <x v="0"/>
    <n v="1100"/>
    <n v="1"/>
    <n v="1100"/>
    <n v="1100"/>
    <x v="1"/>
    <x v="12"/>
  </r>
  <r>
    <n v="684"/>
    <x v="683"/>
    <x v="0"/>
    <x v="1"/>
    <x v="0"/>
    <n v="900"/>
    <n v="1"/>
    <n v="900"/>
    <n v="900"/>
    <x v="1"/>
    <x v="13"/>
  </r>
  <r>
    <n v="685"/>
    <x v="684"/>
    <x v="0"/>
    <x v="1"/>
    <x v="0"/>
    <n v="1100"/>
    <n v="1"/>
    <n v="1100"/>
    <n v="1100"/>
    <x v="1"/>
    <x v="14"/>
  </r>
  <r>
    <n v="686"/>
    <x v="685"/>
    <x v="0"/>
    <x v="4"/>
    <x v="1"/>
    <n v="800"/>
    <n v="1"/>
    <n v="800"/>
    <n v="800"/>
    <x v="1"/>
    <x v="15"/>
  </r>
  <r>
    <n v="687"/>
    <x v="686"/>
    <x v="0"/>
    <x v="4"/>
    <x v="1"/>
    <n v="800"/>
    <n v="2"/>
    <n v="1600"/>
    <n v="1600"/>
    <x v="1"/>
    <x v="16"/>
  </r>
  <r>
    <n v="688"/>
    <x v="687"/>
    <x v="0"/>
    <x v="2"/>
    <x v="0"/>
    <n v="900"/>
    <n v="1"/>
    <n v="900"/>
    <n v="900"/>
    <x v="1"/>
    <x v="17"/>
  </r>
  <r>
    <n v="689"/>
    <x v="688"/>
    <x v="0"/>
    <x v="1"/>
    <x v="0"/>
    <n v="1100"/>
    <n v="1"/>
    <n v="1100"/>
    <n v="1100"/>
    <x v="1"/>
    <x v="18"/>
  </r>
  <r>
    <n v="690"/>
    <x v="689"/>
    <x v="0"/>
    <x v="4"/>
    <x v="1"/>
    <n v="800"/>
    <n v="1"/>
    <n v="800"/>
    <n v="800"/>
    <x v="1"/>
    <x v="19"/>
  </r>
  <r>
    <n v="691"/>
    <x v="690"/>
    <x v="0"/>
    <x v="3"/>
    <x v="0"/>
    <n v="1000"/>
    <n v="1"/>
    <n v="1000"/>
    <n v="1000"/>
    <x v="1"/>
    <x v="20"/>
  </r>
  <r>
    <n v="692"/>
    <x v="691"/>
    <x v="0"/>
    <x v="4"/>
    <x v="1"/>
    <n v="800"/>
    <n v="1"/>
    <n v="800"/>
    <n v="800"/>
    <x v="1"/>
    <x v="21"/>
  </r>
  <r>
    <n v="693"/>
    <x v="692"/>
    <x v="0"/>
    <x v="5"/>
    <x v="1"/>
    <n v="600"/>
    <n v="1"/>
    <n v="600"/>
    <n v="600"/>
    <x v="1"/>
    <x v="22"/>
  </r>
  <r>
    <n v="694"/>
    <x v="693"/>
    <x v="0"/>
    <x v="1"/>
    <x v="0"/>
    <n v="900"/>
    <n v="1"/>
    <n v="900"/>
    <n v="900"/>
    <x v="1"/>
    <x v="23"/>
  </r>
  <r>
    <n v="695"/>
    <x v="694"/>
    <x v="0"/>
    <x v="1"/>
    <x v="0"/>
    <n v="1100"/>
    <n v="1"/>
    <n v="1100"/>
    <n v="1100"/>
    <x v="1"/>
    <x v="24"/>
  </r>
  <r>
    <n v="696"/>
    <x v="695"/>
    <x v="0"/>
    <x v="3"/>
    <x v="0"/>
    <n v="1000"/>
    <n v="1"/>
    <n v="1000"/>
    <n v="1000"/>
    <x v="1"/>
    <x v="25"/>
  </r>
  <r>
    <n v="697"/>
    <x v="696"/>
    <x v="0"/>
    <x v="1"/>
    <x v="0"/>
    <n v="900"/>
    <n v="1"/>
    <n v="900"/>
    <n v="900"/>
    <x v="1"/>
    <x v="26"/>
  </r>
  <r>
    <n v="698"/>
    <x v="697"/>
    <x v="0"/>
    <x v="1"/>
    <x v="0"/>
    <n v="1100"/>
    <n v="2"/>
    <n v="2200"/>
    <n v="2200"/>
    <x v="1"/>
    <x v="27"/>
  </r>
  <r>
    <n v="699"/>
    <x v="698"/>
    <x v="0"/>
    <x v="5"/>
    <x v="1"/>
    <n v="600"/>
    <n v="1"/>
    <n v="600"/>
    <n v="600"/>
    <x v="1"/>
    <x v="28"/>
  </r>
  <r>
    <n v="700"/>
    <x v="699"/>
    <x v="0"/>
    <x v="5"/>
    <x v="1"/>
    <n v="600"/>
    <n v="1"/>
    <n v="600"/>
    <n v="600"/>
    <x v="1"/>
    <x v="29"/>
  </r>
  <r>
    <n v="701"/>
    <x v="700"/>
    <x v="0"/>
    <x v="5"/>
    <x v="1"/>
    <n v="600"/>
    <n v="1"/>
    <n v="600"/>
    <n v="600"/>
    <x v="1"/>
    <x v="0"/>
  </r>
  <r>
    <n v="702"/>
    <x v="701"/>
    <x v="0"/>
    <x v="1"/>
    <x v="0"/>
    <n v="900"/>
    <n v="1"/>
    <n v="900"/>
    <n v="900"/>
    <x v="1"/>
    <x v="1"/>
  </r>
  <r>
    <n v="703"/>
    <x v="702"/>
    <x v="0"/>
    <x v="5"/>
    <x v="1"/>
    <n v="600"/>
    <n v="1"/>
    <n v="600"/>
    <n v="600"/>
    <x v="1"/>
    <x v="2"/>
  </r>
  <r>
    <n v="704"/>
    <x v="703"/>
    <x v="0"/>
    <x v="5"/>
    <x v="1"/>
    <n v="600"/>
    <n v="1"/>
    <n v="600"/>
    <n v="600"/>
    <x v="1"/>
    <x v="3"/>
  </r>
  <r>
    <n v="705"/>
    <x v="704"/>
    <x v="0"/>
    <x v="1"/>
    <x v="0"/>
    <n v="1100"/>
    <n v="1"/>
    <n v="1100"/>
    <n v="1100"/>
    <x v="1"/>
    <x v="4"/>
  </r>
  <r>
    <n v="706"/>
    <x v="705"/>
    <x v="0"/>
    <x v="2"/>
    <x v="0"/>
    <n v="900"/>
    <n v="3"/>
    <n v="2700"/>
    <n v="2700"/>
    <x v="1"/>
    <x v="5"/>
  </r>
  <r>
    <n v="707"/>
    <x v="706"/>
    <x v="0"/>
    <x v="0"/>
    <x v="0"/>
    <n v="1100"/>
    <n v="2"/>
    <n v="2200"/>
    <n v="2200"/>
    <x v="1"/>
    <x v="6"/>
  </r>
  <r>
    <n v="708"/>
    <x v="707"/>
    <x v="0"/>
    <x v="0"/>
    <x v="0"/>
    <n v="1100"/>
    <n v="1"/>
    <n v="1100"/>
    <n v="1100"/>
    <x v="1"/>
    <x v="7"/>
  </r>
  <r>
    <n v="709"/>
    <x v="708"/>
    <x v="0"/>
    <x v="5"/>
    <x v="1"/>
    <n v="600"/>
    <n v="1"/>
    <n v="600"/>
    <n v="600"/>
    <x v="1"/>
    <x v="8"/>
  </r>
  <r>
    <n v="710"/>
    <x v="709"/>
    <x v="0"/>
    <x v="1"/>
    <x v="0"/>
    <n v="900"/>
    <n v="1"/>
    <n v="900"/>
    <n v="900"/>
    <x v="1"/>
    <x v="9"/>
  </r>
  <r>
    <n v="711"/>
    <x v="710"/>
    <x v="0"/>
    <x v="5"/>
    <x v="1"/>
    <n v="600"/>
    <n v="1"/>
    <n v="600"/>
    <n v="600"/>
    <x v="1"/>
    <x v="10"/>
  </r>
  <r>
    <n v="712"/>
    <x v="711"/>
    <x v="0"/>
    <x v="5"/>
    <x v="1"/>
    <n v="600"/>
    <n v="1"/>
    <n v="600"/>
    <n v="600"/>
    <x v="1"/>
    <x v="11"/>
  </r>
  <r>
    <n v="713"/>
    <x v="712"/>
    <x v="1"/>
    <x v="1"/>
    <x v="0"/>
    <n v="900"/>
    <n v="3"/>
    <n v="2700"/>
    <n v="2700"/>
    <x v="1"/>
    <x v="12"/>
  </r>
  <r>
    <n v="714"/>
    <x v="713"/>
    <x v="1"/>
    <x v="5"/>
    <x v="1"/>
    <n v="600"/>
    <n v="1"/>
    <n v="600"/>
    <n v="600"/>
    <x v="1"/>
    <x v="13"/>
  </r>
  <r>
    <n v="715"/>
    <x v="714"/>
    <x v="1"/>
    <x v="4"/>
    <x v="1"/>
    <n v="800"/>
    <n v="1"/>
    <n v="800"/>
    <n v="800"/>
    <x v="1"/>
    <x v="14"/>
  </r>
  <r>
    <n v="716"/>
    <x v="715"/>
    <x v="1"/>
    <x v="5"/>
    <x v="1"/>
    <n v="600"/>
    <n v="1"/>
    <n v="600"/>
    <n v="600"/>
    <x v="1"/>
    <x v="15"/>
  </r>
  <r>
    <n v="717"/>
    <x v="716"/>
    <x v="1"/>
    <x v="0"/>
    <x v="0"/>
    <n v="1100"/>
    <n v="1"/>
    <n v="1100"/>
    <n v="1100"/>
    <x v="1"/>
    <x v="16"/>
  </r>
  <r>
    <n v="718"/>
    <x v="717"/>
    <x v="1"/>
    <x v="2"/>
    <x v="0"/>
    <n v="900"/>
    <n v="1"/>
    <n v="900"/>
    <n v="900"/>
    <x v="1"/>
    <x v="17"/>
  </r>
  <r>
    <n v="719"/>
    <x v="718"/>
    <x v="1"/>
    <x v="0"/>
    <x v="0"/>
    <n v="1100"/>
    <n v="1"/>
    <n v="1100"/>
    <n v="1100"/>
    <x v="1"/>
    <x v="18"/>
  </r>
  <r>
    <n v="720"/>
    <x v="719"/>
    <x v="1"/>
    <x v="0"/>
    <x v="0"/>
    <n v="1100"/>
    <n v="1"/>
    <n v="1100"/>
    <n v="1100"/>
    <x v="1"/>
    <x v="19"/>
  </r>
  <r>
    <n v="721"/>
    <x v="720"/>
    <x v="1"/>
    <x v="0"/>
    <x v="0"/>
    <n v="1100"/>
    <n v="1"/>
    <n v="1100"/>
    <n v="1100"/>
    <x v="1"/>
    <x v="20"/>
  </r>
  <r>
    <n v="722"/>
    <x v="721"/>
    <x v="0"/>
    <x v="3"/>
    <x v="0"/>
    <n v="1000"/>
    <n v="1"/>
    <n v="1000"/>
    <n v="1000"/>
    <x v="1"/>
    <x v="21"/>
  </r>
  <r>
    <n v="723"/>
    <x v="722"/>
    <x v="0"/>
    <x v="5"/>
    <x v="1"/>
    <n v="600"/>
    <n v="1"/>
    <n v="600"/>
    <n v="600"/>
    <x v="1"/>
    <x v="22"/>
  </r>
  <r>
    <n v="724"/>
    <x v="723"/>
    <x v="0"/>
    <x v="4"/>
    <x v="1"/>
    <n v="800"/>
    <n v="1"/>
    <n v="800"/>
    <n v="800"/>
    <x v="1"/>
    <x v="23"/>
  </r>
  <r>
    <n v="725"/>
    <x v="724"/>
    <x v="0"/>
    <x v="0"/>
    <x v="0"/>
    <n v="1100"/>
    <n v="1"/>
    <n v="1100"/>
    <n v="1100"/>
    <x v="1"/>
    <x v="24"/>
  </r>
  <r>
    <n v="726"/>
    <x v="725"/>
    <x v="0"/>
    <x v="5"/>
    <x v="1"/>
    <n v="600"/>
    <n v="1"/>
    <n v="600"/>
    <n v="600"/>
    <x v="1"/>
    <x v="25"/>
  </r>
  <r>
    <n v="727"/>
    <x v="726"/>
    <x v="0"/>
    <x v="6"/>
    <x v="2"/>
    <n v="850"/>
    <n v="1"/>
    <n v="850"/>
    <n v="850"/>
    <x v="1"/>
    <x v="26"/>
  </r>
  <r>
    <n v="728"/>
    <x v="727"/>
    <x v="0"/>
    <x v="2"/>
    <x v="0"/>
    <n v="900"/>
    <n v="1"/>
    <n v="900"/>
    <n v="900"/>
    <x v="1"/>
    <x v="27"/>
  </r>
  <r>
    <n v="729"/>
    <x v="728"/>
    <x v="0"/>
    <x v="3"/>
    <x v="0"/>
    <n v="1000"/>
    <n v="1"/>
    <n v="1000"/>
    <n v="1000"/>
    <x v="1"/>
    <x v="28"/>
  </r>
  <r>
    <n v="730"/>
    <x v="729"/>
    <x v="0"/>
    <x v="6"/>
    <x v="2"/>
    <n v="850"/>
    <n v="1"/>
    <n v="850"/>
    <n v="850"/>
    <x v="1"/>
    <x v="29"/>
  </r>
  <r>
    <n v="731"/>
    <x v="730"/>
    <x v="0"/>
    <x v="6"/>
    <x v="2"/>
    <n v="850"/>
    <n v="1"/>
    <n v="850"/>
    <n v="850"/>
    <x v="1"/>
    <x v="30"/>
  </r>
  <r>
    <n v="732"/>
    <x v="731"/>
    <x v="0"/>
    <x v="3"/>
    <x v="0"/>
    <n v="1000"/>
    <n v="1"/>
    <n v="1000"/>
    <n v="1000"/>
    <x v="2"/>
    <x v="0"/>
  </r>
  <r>
    <n v="733"/>
    <x v="732"/>
    <x v="0"/>
    <x v="4"/>
    <x v="1"/>
    <n v="800"/>
    <n v="1"/>
    <n v="800"/>
    <n v="800"/>
    <x v="2"/>
    <x v="1"/>
  </r>
  <r>
    <n v="734"/>
    <x v="733"/>
    <x v="0"/>
    <x v="5"/>
    <x v="1"/>
    <n v="600"/>
    <n v="1"/>
    <n v="600"/>
    <n v="600"/>
    <x v="2"/>
    <x v="2"/>
  </r>
  <r>
    <n v="735"/>
    <x v="734"/>
    <x v="0"/>
    <x v="4"/>
    <x v="1"/>
    <n v="800"/>
    <n v="1"/>
    <n v="800"/>
    <n v="800"/>
    <x v="2"/>
    <x v="3"/>
  </r>
  <r>
    <n v="736"/>
    <x v="735"/>
    <x v="0"/>
    <x v="0"/>
    <x v="0"/>
    <n v="1100"/>
    <n v="1"/>
    <n v="1100"/>
    <n v="1100"/>
    <x v="2"/>
    <x v="4"/>
  </r>
  <r>
    <n v="737"/>
    <x v="736"/>
    <x v="0"/>
    <x v="6"/>
    <x v="2"/>
    <n v="850"/>
    <n v="1"/>
    <n v="850"/>
    <n v="850"/>
    <x v="2"/>
    <x v="5"/>
  </r>
  <r>
    <n v="738"/>
    <x v="737"/>
    <x v="0"/>
    <x v="6"/>
    <x v="2"/>
    <n v="850"/>
    <n v="1"/>
    <n v="850"/>
    <n v="850"/>
    <x v="2"/>
    <x v="6"/>
  </r>
  <r>
    <n v="739"/>
    <x v="738"/>
    <x v="0"/>
    <x v="6"/>
    <x v="2"/>
    <n v="850"/>
    <n v="1"/>
    <n v="850"/>
    <n v="850"/>
    <x v="2"/>
    <x v="7"/>
  </r>
  <r>
    <n v="740"/>
    <x v="739"/>
    <x v="0"/>
    <x v="5"/>
    <x v="1"/>
    <n v="600"/>
    <n v="1"/>
    <n v="600"/>
    <n v="600"/>
    <x v="2"/>
    <x v="8"/>
  </r>
  <r>
    <n v="741"/>
    <x v="740"/>
    <x v="0"/>
    <x v="6"/>
    <x v="2"/>
    <n v="850"/>
    <n v="1"/>
    <n v="850"/>
    <n v="850"/>
    <x v="2"/>
    <x v="9"/>
  </r>
  <r>
    <n v="742"/>
    <x v="741"/>
    <x v="0"/>
    <x v="6"/>
    <x v="2"/>
    <n v="850"/>
    <n v="1"/>
    <n v="850"/>
    <n v="850"/>
    <x v="2"/>
    <x v="10"/>
  </r>
  <r>
    <n v="743"/>
    <x v="742"/>
    <x v="0"/>
    <x v="0"/>
    <x v="0"/>
    <n v="1100"/>
    <n v="1"/>
    <n v="1100"/>
    <n v="1100"/>
    <x v="2"/>
    <x v="11"/>
  </r>
  <r>
    <n v="744"/>
    <x v="743"/>
    <x v="0"/>
    <x v="3"/>
    <x v="0"/>
    <n v="1000"/>
    <n v="1"/>
    <n v="1000"/>
    <n v="1000"/>
    <x v="2"/>
    <x v="12"/>
  </r>
  <r>
    <n v="745"/>
    <x v="744"/>
    <x v="0"/>
    <x v="0"/>
    <x v="0"/>
    <n v="1100"/>
    <n v="1"/>
    <n v="1100"/>
    <n v="1100"/>
    <x v="2"/>
    <x v="13"/>
  </r>
  <r>
    <n v="746"/>
    <x v="745"/>
    <x v="0"/>
    <x v="5"/>
    <x v="1"/>
    <n v="600"/>
    <n v="1"/>
    <n v="600"/>
    <n v="600"/>
    <x v="2"/>
    <x v="14"/>
  </r>
  <r>
    <n v="747"/>
    <x v="746"/>
    <x v="0"/>
    <x v="5"/>
    <x v="1"/>
    <n v="600"/>
    <n v="2"/>
    <n v="1200"/>
    <n v="1200"/>
    <x v="2"/>
    <x v="15"/>
  </r>
  <r>
    <n v="748"/>
    <x v="747"/>
    <x v="0"/>
    <x v="5"/>
    <x v="1"/>
    <n v="600"/>
    <n v="1"/>
    <n v="600"/>
    <n v="600"/>
    <x v="2"/>
    <x v="16"/>
  </r>
  <r>
    <n v="749"/>
    <x v="748"/>
    <x v="0"/>
    <x v="5"/>
    <x v="1"/>
    <n v="600"/>
    <n v="1"/>
    <n v="600"/>
    <n v="600"/>
    <x v="2"/>
    <x v="17"/>
  </r>
  <r>
    <n v="750"/>
    <x v="749"/>
    <x v="0"/>
    <x v="0"/>
    <x v="0"/>
    <n v="1100"/>
    <n v="1"/>
    <n v="1100"/>
    <n v="1100"/>
    <x v="2"/>
    <x v="18"/>
  </r>
  <r>
    <n v="751"/>
    <x v="750"/>
    <x v="0"/>
    <x v="2"/>
    <x v="0"/>
    <n v="900"/>
    <n v="1"/>
    <n v="900"/>
    <n v="900"/>
    <x v="2"/>
    <x v="19"/>
  </r>
  <r>
    <n v="752"/>
    <x v="751"/>
    <x v="0"/>
    <x v="5"/>
    <x v="1"/>
    <n v="600"/>
    <n v="1"/>
    <n v="600"/>
    <n v="600"/>
    <x v="2"/>
    <x v="20"/>
  </r>
  <r>
    <n v="753"/>
    <x v="752"/>
    <x v="0"/>
    <x v="2"/>
    <x v="0"/>
    <n v="900"/>
    <n v="1"/>
    <n v="900"/>
    <n v="900"/>
    <x v="2"/>
    <x v="21"/>
  </r>
  <r>
    <n v="754"/>
    <x v="753"/>
    <x v="0"/>
    <x v="1"/>
    <x v="0"/>
    <n v="900"/>
    <n v="1"/>
    <n v="900"/>
    <n v="900"/>
    <x v="2"/>
    <x v="22"/>
  </r>
  <r>
    <n v="755"/>
    <x v="754"/>
    <x v="0"/>
    <x v="5"/>
    <x v="1"/>
    <n v="600"/>
    <n v="1"/>
    <n v="600"/>
    <n v="600"/>
    <x v="2"/>
    <x v="23"/>
  </r>
  <r>
    <n v="756"/>
    <x v="755"/>
    <x v="0"/>
    <x v="5"/>
    <x v="1"/>
    <n v="600"/>
    <n v="1"/>
    <n v="600"/>
    <n v="600"/>
    <x v="2"/>
    <x v="24"/>
  </r>
  <r>
    <n v="757"/>
    <x v="756"/>
    <x v="0"/>
    <x v="5"/>
    <x v="1"/>
    <n v="600"/>
    <n v="1"/>
    <n v="600"/>
    <n v="600"/>
    <x v="2"/>
    <x v="25"/>
  </r>
  <r>
    <n v="758"/>
    <x v="757"/>
    <x v="0"/>
    <x v="0"/>
    <x v="0"/>
    <n v="1100"/>
    <n v="1"/>
    <n v="1100"/>
    <n v="1100"/>
    <x v="2"/>
    <x v="26"/>
  </r>
  <r>
    <n v="759"/>
    <x v="758"/>
    <x v="0"/>
    <x v="5"/>
    <x v="1"/>
    <n v="600"/>
    <n v="1"/>
    <n v="600"/>
    <n v="600"/>
    <x v="2"/>
    <x v="27"/>
  </r>
  <r>
    <n v="760"/>
    <x v="759"/>
    <x v="0"/>
    <x v="5"/>
    <x v="1"/>
    <n v="600"/>
    <n v="1"/>
    <n v="600"/>
    <n v="600"/>
    <x v="2"/>
    <x v="28"/>
  </r>
  <r>
    <n v="761"/>
    <x v="760"/>
    <x v="0"/>
    <x v="5"/>
    <x v="1"/>
    <n v="600"/>
    <n v="1"/>
    <n v="600"/>
    <n v="600"/>
    <x v="2"/>
    <x v="29"/>
  </r>
  <r>
    <n v="762"/>
    <x v="761"/>
    <x v="0"/>
    <x v="1"/>
    <x v="0"/>
    <n v="900"/>
    <n v="1"/>
    <n v="900"/>
    <n v="900"/>
    <x v="2"/>
    <x v="30"/>
  </r>
  <r>
    <n v="763"/>
    <x v="762"/>
    <x v="0"/>
    <x v="5"/>
    <x v="1"/>
    <n v="600"/>
    <n v="1"/>
    <n v="600"/>
    <n v="600"/>
    <x v="2"/>
    <x v="0"/>
  </r>
  <r>
    <n v="764"/>
    <x v="763"/>
    <x v="0"/>
    <x v="2"/>
    <x v="0"/>
    <n v="900"/>
    <n v="1"/>
    <n v="900"/>
    <n v="900"/>
    <x v="2"/>
    <x v="1"/>
  </r>
  <r>
    <n v="765"/>
    <x v="764"/>
    <x v="0"/>
    <x v="7"/>
    <x v="2"/>
    <n v="1200"/>
    <n v="1"/>
    <n v="1200"/>
    <n v="1200"/>
    <x v="2"/>
    <x v="2"/>
  </r>
  <r>
    <n v="766"/>
    <x v="765"/>
    <x v="0"/>
    <x v="0"/>
    <x v="0"/>
    <n v="1100"/>
    <n v="1"/>
    <n v="1100"/>
    <n v="1100"/>
    <x v="2"/>
    <x v="3"/>
  </r>
  <r>
    <n v="767"/>
    <x v="766"/>
    <x v="0"/>
    <x v="0"/>
    <x v="0"/>
    <n v="1100"/>
    <n v="1"/>
    <n v="1100"/>
    <n v="1100"/>
    <x v="2"/>
    <x v="4"/>
  </r>
  <r>
    <n v="768"/>
    <x v="767"/>
    <x v="0"/>
    <x v="5"/>
    <x v="1"/>
    <n v="600"/>
    <n v="1"/>
    <n v="600"/>
    <n v="600"/>
    <x v="2"/>
    <x v="5"/>
  </r>
  <r>
    <n v="769"/>
    <x v="768"/>
    <x v="0"/>
    <x v="5"/>
    <x v="1"/>
    <n v="600"/>
    <n v="2"/>
    <n v="1200"/>
    <n v="1200"/>
    <x v="2"/>
    <x v="6"/>
  </r>
  <r>
    <n v="770"/>
    <x v="769"/>
    <x v="0"/>
    <x v="7"/>
    <x v="2"/>
    <n v="1200"/>
    <n v="1"/>
    <n v="1200"/>
    <n v="1200"/>
    <x v="2"/>
    <x v="7"/>
  </r>
  <r>
    <n v="771"/>
    <x v="770"/>
    <x v="0"/>
    <x v="7"/>
    <x v="2"/>
    <n v="1200"/>
    <n v="1"/>
    <n v="1200"/>
    <n v="1200"/>
    <x v="2"/>
    <x v="8"/>
  </r>
  <r>
    <n v="772"/>
    <x v="771"/>
    <x v="0"/>
    <x v="3"/>
    <x v="0"/>
    <n v="1000"/>
    <n v="1"/>
    <n v="1000"/>
    <n v="1000"/>
    <x v="2"/>
    <x v="9"/>
  </r>
  <r>
    <n v="773"/>
    <x v="772"/>
    <x v="0"/>
    <x v="4"/>
    <x v="1"/>
    <n v="800"/>
    <n v="2"/>
    <n v="1600"/>
    <n v="1600"/>
    <x v="2"/>
    <x v="10"/>
  </r>
  <r>
    <n v="774"/>
    <x v="773"/>
    <x v="0"/>
    <x v="7"/>
    <x v="2"/>
    <n v="1200"/>
    <n v="1"/>
    <n v="1200"/>
    <n v="1200"/>
    <x v="2"/>
    <x v="11"/>
  </r>
  <r>
    <n v="775"/>
    <x v="774"/>
    <x v="0"/>
    <x v="2"/>
    <x v="0"/>
    <n v="900"/>
    <n v="1"/>
    <n v="900"/>
    <n v="900"/>
    <x v="2"/>
    <x v="12"/>
  </r>
  <r>
    <n v="776"/>
    <x v="775"/>
    <x v="0"/>
    <x v="3"/>
    <x v="0"/>
    <n v="1000"/>
    <n v="1"/>
    <n v="1000"/>
    <n v="1000"/>
    <x v="2"/>
    <x v="13"/>
  </r>
  <r>
    <n v="777"/>
    <x v="776"/>
    <x v="0"/>
    <x v="4"/>
    <x v="1"/>
    <n v="800"/>
    <n v="1"/>
    <n v="800"/>
    <n v="800"/>
    <x v="2"/>
    <x v="14"/>
  </r>
  <r>
    <n v="778"/>
    <x v="777"/>
    <x v="0"/>
    <x v="7"/>
    <x v="2"/>
    <n v="1200"/>
    <n v="1"/>
    <n v="1200"/>
    <n v="1200"/>
    <x v="2"/>
    <x v="15"/>
  </r>
  <r>
    <n v="779"/>
    <x v="778"/>
    <x v="0"/>
    <x v="7"/>
    <x v="2"/>
    <n v="1200"/>
    <n v="1"/>
    <n v="1200"/>
    <n v="1200"/>
    <x v="2"/>
    <x v="16"/>
  </r>
  <r>
    <n v="780"/>
    <x v="779"/>
    <x v="0"/>
    <x v="4"/>
    <x v="1"/>
    <n v="800"/>
    <n v="2"/>
    <n v="1600"/>
    <n v="1600"/>
    <x v="2"/>
    <x v="17"/>
  </r>
  <r>
    <n v="781"/>
    <x v="780"/>
    <x v="0"/>
    <x v="1"/>
    <x v="0"/>
    <n v="900"/>
    <n v="1"/>
    <n v="900"/>
    <n v="900"/>
    <x v="2"/>
    <x v="18"/>
  </r>
  <r>
    <n v="782"/>
    <x v="781"/>
    <x v="0"/>
    <x v="3"/>
    <x v="0"/>
    <n v="1000"/>
    <n v="1"/>
    <n v="1000"/>
    <n v="1000"/>
    <x v="2"/>
    <x v="19"/>
  </r>
  <r>
    <n v="783"/>
    <x v="782"/>
    <x v="0"/>
    <x v="3"/>
    <x v="0"/>
    <n v="1000"/>
    <n v="1"/>
    <n v="1000"/>
    <n v="1000"/>
    <x v="2"/>
    <x v="20"/>
  </r>
  <r>
    <n v="784"/>
    <x v="783"/>
    <x v="0"/>
    <x v="5"/>
    <x v="1"/>
    <n v="600"/>
    <n v="1"/>
    <n v="600"/>
    <n v="600"/>
    <x v="2"/>
    <x v="21"/>
  </r>
  <r>
    <n v="785"/>
    <x v="784"/>
    <x v="0"/>
    <x v="6"/>
    <x v="2"/>
    <n v="850"/>
    <n v="1"/>
    <n v="850"/>
    <n v="850"/>
    <x v="2"/>
    <x v="22"/>
  </r>
  <r>
    <n v="786"/>
    <x v="785"/>
    <x v="0"/>
    <x v="5"/>
    <x v="1"/>
    <n v="600"/>
    <n v="1"/>
    <n v="600"/>
    <n v="600"/>
    <x v="2"/>
    <x v="23"/>
  </r>
  <r>
    <n v="787"/>
    <x v="786"/>
    <x v="0"/>
    <x v="6"/>
    <x v="2"/>
    <n v="850"/>
    <n v="1"/>
    <n v="850"/>
    <n v="850"/>
    <x v="2"/>
    <x v="24"/>
  </r>
  <r>
    <n v="788"/>
    <x v="787"/>
    <x v="0"/>
    <x v="6"/>
    <x v="2"/>
    <n v="850"/>
    <n v="1"/>
    <n v="850"/>
    <n v="850"/>
    <x v="2"/>
    <x v="25"/>
  </r>
  <r>
    <n v="789"/>
    <x v="788"/>
    <x v="0"/>
    <x v="1"/>
    <x v="0"/>
    <n v="900"/>
    <n v="1"/>
    <n v="900"/>
    <n v="900"/>
    <x v="2"/>
    <x v="26"/>
  </r>
  <r>
    <n v="790"/>
    <x v="789"/>
    <x v="0"/>
    <x v="7"/>
    <x v="2"/>
    <n v="1200"/>
    <n v="2"/>
    <n v="2400"/>
    <n v="2400"/>
    <x v="2"/>
    <x v="27"/>
  </r>
  <r>
    <n v="791"/>
    <x v="790"/>
    <x v="0"/>
    <x v="4"/>
    <x v="1"/>
    <n v="800"/>
    <n v="1"/>
    <n v="800"/>
    <n v="800"/>
    <x v="2"/>
    <x v="0"/>
  </r>
  <r>
    <n v="792"/>
    <x v="791"/>
    <x v="0"/>
    <x v="4"/>
    <x v="1"/>
    <n v="800"/>
    <n v="1"/>
    <n v="800"/>
    <n v="800"/>
    <x v="2"/>
    <x v="1"/>
  </r>
  <r>
    <n v="793"/>
    <x v="792"/>
    <x v="0"/>
    <x v="2"/>
    <x v="0"/>
    <n v="900"/>
    <n v="1"/>
    <n v="900"/>
    <n v="900"/>
    <x v="2"/>
    <x v="2"/>
  </r>
  <r>
    <n v="794"/>
    <x v="793"/>
    <x v="0"/>
    <x v="4"/>
    <x v="1"/>
    <n v="800"/>
    <n v="1"/>
    <n v="800"/>
    <n v="800"/>
    <x v="2"/>
    <x v="3"/>
  </r>
  <r>
    <n v="795"/>
    <x v="794"/>
    <x v="0"/>
    <x v="5"/>
    <x v="1"/>
    <n v="600"/>
    <n v="1"/>
    <n v="600"/>
    <n v="600"/>
    <x v="2"/>
    <x v="4"/>
  </r>
  <r>
    <n v="796"/>
    <x v="795"/>
    <x v="0"/>
    <x v="1"/>
    <x v="0"/>
    <n v="900"/>
    <n v="3"/>
    <n v="2700"/>
    <n v="2700"/>
    <x v="2"/>
    <x v="5"/>
  </r>
  <r>
    <n v="797"/>
    <x v="796"/>
    <x v="0"/>
    <x v="5"/>
    <x v="1"/>
    <n v="600"/>
    <n v="1"/>
    <n v="600"/>
    <n v="600"/>
    <x v="2"/>
    <x v="6"/>
  </r>
  <r>
    <n v="798"/>
    <x v="797"/>
    <x v="0"/>
    <x v="4"/>
    <x v="1"/>
    <n v="800"/>
    <n v="1"/>
    <n v="800"/>
    <n v="800"/>
    <x v="2"/>
    <x v="7"/>
  </r>
  <r>
    <n v="799"/>
    <x v="798"/>
    <x v="0"/>
    <x v="5"/>
    <x v="1"/>
    <n v="600"/>
    <n v="1"/>
    <n v="600"/>
    <n v="600"/>
    <x v="2"/>
    <x v="8"/>
  </r>
  <r>
    <n v="800"/>
    <x v="799"/>
    <x v="0"/>
    <x v="0"/>
    <x v="0"/>
    <n v="1100"/>
    <n v="1"/>
    <n v="1100"/>
    <n v="1100"/>
    <x v="2"/>
    <x v="9"/>
  </r>
  <r>
    <n v="801"/>
    <x v="800"/>
    <x v="0"/>
    <x v="2"/>
    <x v="0"/>
    <n v="900"/>
    <n v="1"/>
    <n v="900"/>
    <n v="900"/>
    <x v="2"/>
    <x v="10"/>
  </r>
  <r>
    <n v="802"/>
    <x v="801"/>
    <x v="0"/>
    <x v="0"/>
    <x v="0"/>
    <n v="1100"/>
    <n v="1"/>
    <n v="1100"/>
    <n v="1100"/>
    <x v="2"/>
    <x v="11"/>
  </r>
  <r>
    <n v="803"/>
    <x v="802"/>
    <x v="0"/>
    <x v="0"/>
    <x v="0"/>
    <n v="1100"/>
    <n v="1"/>
    <n v="1100"/>
    <n v="1100"/>
    <x v="2"/>
    <x v="12"/>
  </r>
  <r>
    <n v="804"/>
    <x v="803"/>
    <x v="0"/>
    <x v="7"/>
    <x v="2"/>
    <n v="1200"/>
    <n v="1"/>
    <n v="1200"/>
    <n v="1200"/>
    <x v="2"/>
    <x v="13"/>
  </r>
  <r>
    <n v="805"/>
    <x v="804"/>
    <x v="0"/>
    <x v="7"/>
    <x v="2"/>
    <n v="1200"/>
    <n v="1"/>
    <n v="1200"/>
    <n v="1200"/>
    <x v="2"/>
    <x v="14"/>
  </r>
  <r>
    <n v="806"/>
    <x v="805"/>
    <x v="0"/>
    <x v="0"/>
    <x v="0"/>
    <n v="1100"/>
    <n v="1"/>
    <n v="1100"/>
    <n v="1100"/>
    <x v="2"/>
    <x v="15"/>
  </r>
  <r>
    <n v="807"/>
    <x v="806"/>
    <x v="0"/>
    <x v="0"/>
    <x v="0"/>
    <n v="1100"/>
    <n v="1"/>
    <n v="1100"/>
    <n v="1100"/>
    <x v="2"/>
    <x v="16"/>
  </r>
  <r>
    <n v="808"/>
    <x v="807"/>
    <x v="0"/>
    <x v="8"/>
    <x v="3"/>
    <n v="900"/>
    <n v="1"/>
    <n v="900"/>
    <n v="900"/>
    <x v="2"/>
    <x v="17"/>
  </r>
  <r>
    <n v="809"/>
    <x v="808"/>
    <x v="0"/>
    <x v="2"/>
    <x v="0"/>
    <n v="900"/>
    <n v="1"/>
    <n v="900"/>
    <n v="900"/>
    <x v="2"/>
    <x v="18"/>
  </r>
  <r>
    <n v="810"/>
    <x v="809"/>
    <x v="0"/>
    <x v="8"/>
    <x v="3"/>
    <n v="800"/>
    <n v="1"/>
    <n v="800"/>
    <n v="800"/>
    <x v="2"/>
    <x v="19"/>
  </r>
  <r>
    <n v="811"/>
    <x v="810"/>
    <x v="0"/>
    <x v="5"/>
    <x v="1"/>
    <n v="600"/>
    <n v="1"/>
    <n v="600"/>
    <n v="600"/>
    <x v="2"/>
    <x v="20"/>
  </r>
  <r>
    <n v="812"/>
    <x v="811"/>
    <x v="0"/>
    <x v="8"/>
    <x v="3"/>
    <n v="800"/>
    <n v="1"/>
    <n v="800"/>
    <n v="800"/>
    <x v="2"/>
    <x v="21"/>
  </r>
  <r>
    <n v="813"/>
    <x v="812"/>
    <x v="0"/>
    <x v="2"/>
    <x v="0"/>
    <n v="900"/>
    <n v="1"/>
    <n v="900"/>
    <n v="900"/>
    <x v="2"/>
    <x v="22"/>
  </r>
  <r>
    <n v="814"/>
    <x v="813"/>
    <x v="0"/>
    <x v="7"/>
    <x v="2"/>
    <n v="1200"/>
    <n v="1"/>
    <n v="1200"/>
    <n v="1200"/>
    <x v="2"/>
    <x v="23"/>
  </r>
  <r>
    <n v="815"/>
    <x v="814"/>
    <x v="0"/>
    <x v="8"/>
    <x v="3"/>
    <n v="800"/>
    <n v="1"/>
    <n v="800"/>
    <n v="800"/>
    <x v="2"/>
    <x v="24"/>
  </r>
  <r>
    <n v="816"/>
    <x v="815"/>
    <x v="0"/>
    <x v="1"/>
    <x v="0"/>
    <n v="900"/>
    <n v="1"/>
    <n v="900"/>
    <n v="900"/>
    <x v="2"/>
    <x v="25"/>
  </r>
  <r>
    <n v="817"/>
    <x v="816"/>
    <x v="0"/>
    <x v="7"/>
    <x v="2"/>
    <n v="1200"/>
    <n v="1"/>
    <n v="1200"/>
    <n v="1200"/>
    <x v="2"/>
    <x v="26"/>
  </r>
  <r>
    <n v="818"/>
    <x v="817"/>
    <x v="0"/>
    <x v="0"/>
    <x v="0"/>
    <n v="1100"/>
    <n v="1"/>
    <n v="1100"/>
    <n v="1100"/>
    <x v="2"/>
    <x v="27"/>
  </r>
  <r>
    <n v="819"/>
    <x v="818"/>
    <x v="0"/>
    <x v="7"/>
    <x v="2"/>
    <n v="1200"/>
    <n v="1"/>
    <n v="1200"/>
    <n v="1200"/>
    <x v="2"/>
    <x v="28"/>
  </r>
  <r>
    <n v="820"/>
    <x v="819"/>
    <x v="0"/>
    <x v="2"/>
    <x v="0"/>
    <n v="900"/>
    <n v="1"/>
    <n v="900"/>
    <n v="900"/>
    <x v="2"/>
    <x v="29"/>
  </r>
  <r>
    <n v="821"/>
    <x v="820"/>
    <x v="0"/>
    <x v="0"/>
    <x v="0"/>
    <n v="1100"/>
    <n v="2"/>
    <n v="2200"/>
    <n v="2200"/>
    <x v="2"/>
    <x v="30"/>
  </r>
  <r>
    <n v="822"/>
    <x v="821"/>
    <x v="0"/>
    <x v="7"/>
    <x v="2"/>
    <n v="1200"/>
    <n v="1"/>
    <n v="1200"/>
    <n v="1200"/>
    <x v="2"/>
    <x v="0"/>
  </r>
  <r>
    <n v="823"/>
    <x v="822"/>
    <x v="0"/>
    <x v="0"/>
    <x v="0"/>
    <n v="1100"/>
    <n v="1"/>
    <n v="1100"/>
    <n v="1100"/>
    <x v="2"/>
    <x v="1"/>
  </r>
  <r>
    <n v="824"/>
    <x v="823"/>
    <x v="0"/>
    <x v="1"/>
    <x v="0"/>
    <n v="900"/>
    <n v="1"/>
    <n v="900"/>
    <n v="900"/>
    <x v="2"/>
    <x v="2"/>
  </r>
  <r>
    <n v="825"/>
    <x v="824"/>
    <x v="0"/>
    <x v="5"/>
    <x v="1"/>
    <n v="600"/>
    <n v="1"/>
    <n v="600"/>
    <n v="600"/>
    <x v="2"/>
    <x v="3"/>
  </r>
  <r>
    <n v="826"/>
    <x v="825"/>
    <x v="0"/>
    <x v="8"/>
    <x v="3"/>
    <n v="900"/>
    <n v="1"/>
    <n v="900"/>
    <n v="900"/>
    <x v="2"/>
    <x v="4"/>
  </r>
  <r>
    <n v="827"/>
    <x v="826"/>
    <x v="0"/>
    <x v="4"/>
    <x v="1"/>
    <n v="800"/>
    <n v="1"/>
    <n v="800"/>
    <n v="800"/>
    <x v="2"/>
    <x v="5"/>
  </r>
  <r>
    <n v="828"/>
    <x v="827"/>
    <x v="0"/>
    <x v="0"/>
    <x v="0"/>
    <n v="1100"/>
    <n v="1"/>
    <n v="1100"/>
    <n v="1100"/>
    <x v="2"/>
    <x v="6"/>
  </r>
  <r>
    <n v="829"/>
    <x v="828"/>
    <x v="0"/>
    <x v="2"/>
    <x v="0"/>
    <n v="900"/>
    <n v="1"/>
    <n v="900"/>
    <n v="900"/>
    <x v="2"/>
    <x v="7"/>
  </r>
  <r>
    <n v="830"/>
    <x v="829"/>
    <x v="0"/>
    <x v="3"/>
    <x v="0"/>
    <n v="1000"/>
    <n v="1"/>
    <n v="1000"/>
    <n v="1000"/>
    <x v="2"/>
    <x v="8"/>
  </r>
  <r>
    <n v="831"/>
    <x v="830"/>
    <x v="0"/>
    <x v="6"/>
    <x v="2"/>
    <n v="850"/>
    <n v="1"/>
    <n v="850"/>
    <n v="850"/>
    <x v="2"/>
    <x v="9"/>
  </r>
  <r>
    <n v="832"/>
    <x v="831"/>
    <x v="0"/>
    <x v="5"/>
    <x v="1"/>
    <n v="600"/>
    <n v="1"/>
    <n v="600"/>
    <n v="600"/>
    <x v="2"/>
    <x v="10"/>
  </r>
  <r>
    <n v="833"/>
    <x v="832"/>
    <x v="0"/>
    <x v="2"/>
    <x v="0"/>
    <n v="900"/>
    <n v="1"/>
    <n v="900"/>
    <n v="900"/>
    <x v="2"/>
    <x v="11"/>
  </r>
  <r>
    <n v="834"/>
    <x v="833"/>
    <x v="0"/>
    <x v="3"/>
    <x v="0"/>
    <n v="1000"/>
    <n v="1"/>
    <n v="1000"/>
    <n v="1000"/>
    <x v="2"/>
    <x v="12"/>
  </r>
  <r>
    <n v="835"/>
    <x v="834"/>
    <x v="0"/>
    <x v="2"/>
    <x v="0"/>
    <n v="900"/>
    <n v="1"/>
    <n v="900"/>
    <n v="900"/>
    <x v="2"/>
    <x v="13"/>
  </r>
  <r>
    <n v="836"/>
    <x v="835"/>
    <x v="0"/>
    <x v="1"/>
    <x v="0"/>
    <n v="900"/>
    <n v="1"/>
    <n v="900"/>
    <n v="900"/>
    <x v="2"/>
    <x v="14"/>
  </r>
  <r>
    <n v="837"/>
    <x v="836"/>
    <x v="0"/>
    <x v="5"/>
    <x v="1"/>
    <n v="600"/>
    <n v="1"/>
    <n v="600"/>
    <n v="600"/>
    <x v="2"/>
    <x v="15"/>
  </r>
  <r>
    <n v="838"/>
    <x v="837"/>
    <x v="0"/>
    <x v="8"/>
    <x v="3"/>
    <n v="900"/>
    <n v="1"/>
    <n v="900"/>
    <n v="900"/>
    <x v="2"/>
    <x v="16"/>
  </r>
  <r>
    <n v="839"/>
    <x v="838"/>
    <x v="0"/>
    <x v="8"/>
    <x v="3"/>
    <n v="800"/>
    <n v="1"/>
    <n v="800"/>
    <n v="800"/>
    <x v="2"/>
    <x v="17"/>
  </r>
  <r>
    <n v="840"/>
    <x v="839"/>
    <x v="0"/>
    <x v="4"/>
    <x v="1"/>
    <n v="800"/>
    <n v="1"/>
    <n v="800"/>
    <n v="800"/>
    <x v="2"/>
    <x v="18"/>
  </r>
  <r>
    <n v="841"/>
    <x v="840"/>
    <x v="0"/>
    <x v="5"/>
    <x v="1"/>
    <n v="600"/>
    <n v="1"/>
    <n v="600"/>
    <n v="600"/>
    <x v="2"/>
    <x v="19"/>
  </r>
  <r>
    <n v="842"/>
    <x v="841"/>
    <x v="0"/>
    <x v="8"/>
    <x v="3"/>
    <n v="500"/>
    <n v="1"/>
    <n v="500"/>
    <n v="500"/>
    <x v="2"/>
    <x v="20"/>
  </r>
  <r>
    <n v="843"/>
    <x v="842"/>
    <x v="0"/>
    <x v="2"/>
    <x v="0"/>
    <n v="900"/>
    <n v="1"/>
    <n v="900"/>
    <n v="900"/>
    <x v="2"/>
    <x v="21"/>
  </r>
  <r>
    <n v="844"/>
    <x v="843"/>
    <x v="0"/>
    <x v="0"/>
    <x v="0"/>
    <n v="1100"/>
    <n v="1"/>
    <n v="1100"/>
    <n v="1100"/>
    <x v="2"/>
    <x v="22"/>
  </r>
  <r>
    <n v="845"/>
    <x v="844"/>
    <x v="0"/>
    <x v="8"/>
    <x v="3"/>
    <n v="500"/>
    <n v="1"/>
    <n v="500"/>
    <n v="500"/>
    <x v="2"/>
    <x v="23"/>
  </r>
  <r>
    <n v="846"/>
    <x v="845"/>
    <x v="0"/>
    <x v="5"/>
    <x v="1"/>
    <n v="600"/>
    <n v="1"/>
    <n v="600"/>
    <n v="600"/>
    <x v="2"/>
    <x v="24"/>
  </r>
  <r>
    <n v="847"/>
    <x v="846"/>
    <x v="0"/>
    <x v="2"/>
    <x v="0"/>
    <n v="900"/>
    <n v="1"/>
    <n v="900"/>
    <n v="900"/>
    <x v="2"/>
    <x v="25"/>
  </r>
  <r>
    <n v="848"/>
    <x v="847"/>
    <x v="0"/>
    <x v="8"/>
    <x v="3"/>
    <n v="500"/>
    <n v="1"/>
    <n v="500"/>
    <n v="500"/>
    <x v="2"/>
    <x v="26"/>
  </r>
  <r>
    <n v="849"/>
    <x v="848"/>
    <x v="0"/>
    <x v="8"/>
    <x v="3"/>
    <n v="500"/>
    <n v="1"/>
    <n v="500"/>
    <n v="500"/>
    <x v="2"/>
    <x v="27"/>
  </r>
  <r>
    <n v="850"/>
    <x v="849"/>
    <x v="0"/>
    <x v="5"/>
    <x v="1"/>
    <n v="600"/>
    <n v="1"/>
    <n v="600"/>
    <n v="600"/>
    <x v="2"/>
    <x v="28"/>
  </r>
  <r>
    <n v="851"/>
    <x v="850"/>
    <x v="0"/>
    <x v="5"/>
    <x v="1"/>
    <n v="600"/>
    <n v="1"/>
    <n v="600"/>
    <n v="600"/>
    <x v="2"/>
    <x v="29"/>
  </r>
  <r>
    <n v="852"/>
    <x v="851"/>
    <x v="0"/>
    <x v="4"/>
    <x v="1"/>
    <n v="800"/>
    <n v="1"/>
    <n v="800"/>
    <n v="800"/>
    <x v="2"/>
    <x v="0"/>
  </r>
  <r>
    <n v="853"/>
    <x v="852"/>
    <x v="0"/>
    <x v="6"/>
    <x v="2"/>
    <n v="850"/>
    <n v="1"/>
    <n v="850"/>
    <n v="850"/>
    <x v="2"/>
    <x v="1"/>
  </r>
  <r>
    <n v="854"/>
    <x v="853"/>
    <x v="0"/>
    <x v="8"/>
    <x v="3"/>
    <n v="500"/>
    <n v="1"/>
    <n v="500"/>
    <n v="500"/>
    <x v="2"/>
    <x v="2"/>
  </r>
  <r>
    <n v="855"/>
    <x v="854"/>
    <x v="0"/>
    <x v="8"/>
    <x v="3"/>
    <n v="500"/>
    <n v="1"/>
    <n v="500"/>
    <n v="500"/>
    <x v="2"/>
    <x v="3"/>
  </r>
  <r>
    <n v="856"/>
    <x v="855"/>
    <x v="0"/>
    <x v="0"/>
    <x v="0"/>
    <n v="1100"/>
    <n v="1"/>
    <n v="1100"/>
    <n v="1100"/>
    <x v="2"/>
    <x v="4"/>
  </r>
  <r>
    <n v="857"/>
    <x v="856"/>
    <x v="0"/>
    <x v="8"/>
    <x v="3"/>
    <n v="500"/>
    <n v="1"/>
    <n v="500"/>
    <n v="500"/>
    <x v="2"/>
    <x v="5"/>
  </r>
  <r>
    <n v="858"/>
    <x v="857"/>
    <x v="0"/>
    <x v="3"/>
    <x v="0"/>
    <n v="1000"/>
    <n v="1"/>
    <n v="1000"/>
    <n v="1000"/>
    <x v="2"/>
    <x v="6"/>
  </r>
  <r>
    <n v="859"/>
    <x v="858"/>
    <x v="0"/>
    <x v="4"/>
    <x v="1"/>
    <n v="800"/>
    <n v="1"/>
    <n v="800"/>
    <n v="800"/>
    <x v="2"/>
    <x v="7"/>
  </r>
  <r>
    <n v="860"/>
    <x v="859"/>
    <x v="0"/>
    <x v="9"/>
    <x v="3"/>
    <n v="600"/>
    <n v="1"/>
    <n v="600"/>
    <n v="600"/>
    <x v="2"/>
    <x v="8"/>
  </r>
  <r>
    <n v="861"/>
    <x v="860"/>
    <x v="0"/>
    <x v="9"/>
    <x v="3"/>
    <n v="600"/>
    <n v="1"/>
    <n v="600"/>
    <n v="600"/>
    <x v="2"/>
    <x v="9"/>
  </r>
  <r>
    <n v="862"/>
    <x v="861"/>
    <x v="0"/>
    <x v="6"/>
    <x v="2"/>
    <n v="850"/>
    <n v="1"/>
    <n v="850"/>
    <n v="850"/>
    <x v="2"/>
    <x v="10"/>
  </r>
  <r>
    <n v="863"/>
    <x v="862"/>
    <x v="0"/>
    <x v="9"/>
    <x v="3"/>
    <n v="600"/>
    <n v="1"/>
    <n v="600"/>
    <n v="600"/>
    <x v="2"/>
    <x v="11"/>
  </r>
  <r>
    <n v="864"/>
    <x v="863"/>
    <x v="0"/>
    <x v="5"/>
    <x v="1"/>
    <n v="600"/>
    <n v="1"/>
    <n v="600"/>
    <n v="600"/>
    <x v="2"/>
    <x v="12"/>
  </r>
  <r>
    <n v="865"/>
    <x v="864"/>
    <x v="0"/>
    <x v="9"/>
    <x v="3"/>
    <n v="600"/>
    <n v="1"/>
    <n v="600"/>
    <n v="600"/>
    <x v="2"/>
    <x v="13"/>
  </r>
  <r>
    <n v="866"/>
    <x v="865"/>
    <x v="0"/>
    <x v="0"/>
    <x v="0"/>
    <n v="1100"/>
    <n v="1"/>
    <n v="1100"/>
    <n v="1100"/>
    <x v="2"/>
    <x v="14"/>
  </r>
  <r>
    <n v="867"/>
    <x v="866"/>
    <x v="0"/>
    <x v="5"/>
    <x v="1"/>
    <n v="600"/>
    <n v="1"/>
    <n v="600"/>
    <n v="600"/>
    <x v="2"/>
    <x v="15"/>
  </r>
  <r>
    <n v="868"/>
    <x v="867"/>
    <x v="0"/>
    <x v="0"/>
    <x v="0"/>
    <n v="1100"/>
    <n v="1"/>
    <n v="1100"/>
    <n v="1100"/>
    <x v="2"/>
    <x v="16"/>
  </r>
  <r>
    <n v="869"/>
    <x v="868"/>
    <x v="0"/>
    <x v="0"/>
    <x v="0"/>
    <n v="1100"/>
    <n v="1"/>
    <n v="1100"/>
    <n v="1100"/>
    <x v="2"/>
    <x v="17"/>
  </r>
  <r>
    <n v="870"/>
    <x v="869"/>
    <x v="0"/>
    <x v="0"/>
    <x v="0"/>
    <n v="1100"/>
    <n v="1"/>
    <n v="1100"/>
    <n v="1100"/>
    <x v="2"/>
    <x v="18"/>
  </r>
  <r>
    <n v="871"/>
    <x v="870"/>
    <x v="0"/>
    <x v="6"/>
    <x v="2"/>
    <n v="850"/>
    <n v="1"/>
    <n v="850"/>
    <n v="850"/>
    <x v="2"/>
    <x v="19"/>
  </r>
  <r>
    <n v="872"/>
    <x v="871"/>
    <x v="0"/>
    <x v="5"/>
    <x v="1"/>
    <n v="600"/>
    <n v="1"/>
    <n v="600"/>
    <n v="600"/>
    <x v="2"/>
    <x v="20"/>
  </r>
  <r>
    <n v="873"/>
    <x v="872"/>
    <x v="0"/>
    <x v="5"/>
    <x v="1"/>
    <n v="600"/>
    <n v="1"/>
    <n v="600"/>
    <n v="600"/>
    <x v="2"/>
    <x v="21"/>
  </r>
  <r>
    <n v="874"/>
    <x v="873"/>
    <x v="0"/>
    <x v="4"/>
    <x v="1"/>
    <n v="800"/>
    <n v="1"/>
    <n v="800"/>
    <n v="800"/>
    <x v="2"/>
    <x v="22"/>
  </r>
  <r>
    <n v="875"/>
    <x v="874"/>
    <x v="0"/>
    <x v="7"/>
    <x v="2"/>
    <n v="1200"/>
    <n v="1"/>
    <n v="1200"/>
    <n v="1200"/>
    <x v="2"/>
    <x v="23"/>
  </r>
  <r>
    <n v="876"/>
    <x v="875"/>
    <x v="0"/>
    <x v="3"/>
    <x v="0"/>
    <n v="1000"/>
    <n v="1"/>
    <n v="1000"/>
    <n v="1000"/>
    <x v="2"/>
    <x v="24"/>
  </r>
  <r>
    <n v="877"/>
    <x v="876"/>
    <x v="0"/>
    <x v="9"/>
    <x v="3"/>
    <n v="600"/>
    <n v="1"/>
    <n v="600"/>
    <n v="600"/>
    <x v="2"/>
    <x v="25"/>
  </r>
  <r>
    <n v="878"/>
    <x v="877"/>
    <x v="0"/>
    <x v="2"/>
    <x v="0"/>
    <n v="900"/>
    <n v="1"/>
    <n v="900"/>
    <n v="900"/>
    <x v="2"/>
    <x v="26"/>
  </r>
  <r>
    <n v="879"/>
    <x v="878"/>
    <x v="0"/>
    <x v="5"/>
    <x v="1"/>
    <n v="600"/>
    <n v="1"/>
    <n v="600"/>
    <n v="600"/>
    <x v="2"/>
    <x v="27"/>
  </r>
  <r>
    <n v="880"/>
    <x v="879"/>
    <x v="0"/>
    <x v="1"/>
    <x v="0"/>
    <n v="900"/>
    <n v="1"/>
    <n v="900"/>
    <n v="900"/>
    <x v="2"/>
    <x v="28"/>
  </r>
  <r>
    <n v="881"/>
    <x v="880"/>
    <x v="0"/>
    <x v="9"/>
    <x v="3"/>
    <n v="600"/>
    <n v="1"/>
    <n v="600"/>
    <n v="600"/>
    <x v="2"/>
    <x v="29"/>
  </r>
  <r>
    <n v="882"/>
    <x v="881"/>
    <x v="0"/>
    <x v="6"/>
    <x v="2"/>
    <n v="850"/>
    <n v="1"/>
    <n v="850"/>
    <n v="850"/>
    <x v="2"/>
    <x v="30"/>
  </r>
  <r>
    <n v="883"/>
    <x v="882"/>
    <x v="0"/>
    <x v="2"/>
    <x v="0"/>
    <n v="900"/>
    <n v="1"/>
    <n v="900"/>
    <n v="900"/>
    <x v="2"/>
    <x v="0"/>
  </r>
  <r>
    <n v="884"/>
    <x v="883"/>
    <x v="0"/>
    <x v="0"/>
    <x v="0"/>
    <n v="1100"/>
    <n v="1"/>
    <n v="1100"/>
    <n v="1100"/>
    <x v="2"/>
    <x v="1"/>
  </r>
  <r>
    <n v="885"/>
    <x v="884"/>
    <x v="0"/>
    <x v="2"/>
    <x v="0"/>
    <n v="900"/>
    <n v="1"/>
    <n v="900"/>
    <n v="900"/>
    <x v="2"/>
    <x v="2"/>
  </r>
  <r>
    <n v="886"/>
    <x v="885"/>
    <x v="0"/>
    <x v="3"/>
    <x v="0"/>
    <n v="1000"/>
    <n v="1"/>
    <n v="1000"/>
    <n v="1000"/>
    <x v="2"/>
    <x v="3"/>
  </r>
  <r>
    <n v="887"/>
    <x v="886"/>
    <x v="0"/>
    <x v="0"/>
    <x v="0"/>
    <n v="1100"/>
    <n v="1"/>
    <n v="1100"/>
    <n v="1100"/>
    <x v="2"/>
    <x v="4"/>
  </r>
  <r>
    <n v="888"/>
    <x v="887"/>
    <x v="0"/>
    <x v="3"/>
    <x v="0"/>
    <n v="1000"/>
    <n v="1"/>
    <n v="1000"/>
    <n v="1000"/>
    <x v="2"/>
    <x v="5"/>
  </r>
  <r>
    <n v="889"/>
    <x v="888"/>
    <x v="0"/>
    <x v="0"/>
    <x v="0"/>
    <n v="1100"/>
    <n v="1"/>
    <n v="1100"/>
    <n v="1100"/>
    <x v="2"/>
    <x v="6"/>
  </r>
  <r>
    <n v="890"/>
    <x v="889"/>
    <x v="0"/>
    <x v="2"/>
    <x v="0"/>
    <n v="900"/>
    <n v="1"/>
    <n v="900"/>
    <n v="900"/>
    <x v="2"/>
    <x v="7"/>
  </r>
  <r>
    <n v="891"/>
    <x v="890"/>
    <x v="0"/>
    <x v="1"/>
    <x v="0"/>
    <n v="900"/>
    <n v="1"/>
    <n v="900"/>
    <n v="900"/>
    <x v="2"/>
    <x v="8"/>
  </r>
  <r>
    <n v="892"/>
    <x v="891"/>
    <x v="0"/>
    <x v="0"/>
    <x v="0"/>
    <n v="1100"/>
    <n v="1"/>
    <n v="1100"/>
    <n v="1100"/>
    <x v="2"/>
    <x v="9"/>
  </r>
  <r>
    <n v="893"/>
    <x v="892"/>
    <x v="0"/>
    <x v="0"/>
    <x v="0"/>
    <n v="1100"/>
    <n v="1"/>
    <n v="1100"/>
    <n v="1100"/>
    <x v="2"/>
    <x v="10"/>
  </r>
  <r>
    <n v="894"/>
    <x v="893"/>
    <x v="0"/>
    <x v="3"/>
    <x v="0"/>
    <n v="1000"/>
    <n v="1"/>
    <n v="1000"/>
    <n v="1000"/>
    <x v="2"/>
    <x v="11"/>
  </r>
  <r>
    <n v="895"/>
    <x v="894"/>
    <x v="0"/>
    <x v="1"/>
    <x v="0"/>
    <n v="900"/>
    <n v="1"/>
    <n v="900"/>
    <n v="900"/>
    <x v="2"/>
    <x v="12"/>
  </r>
  <r>
    <n v="896"/>
    <x v="895"/>
    <x v="0"/>
    <x v="5"/>
    <x v="1"/>
    <n v="600"/>
    <n v="1"/>
    <n v="600"/>
    <n v="600"/>
    <x v="2"/>
    <x v="13"/>
  </r>
  <r>
    <n v="897"/>
    <x v="896"/>
    <x v="0"/>
    <x v="1"/>
    <x v="0"/>
    <n v="900"/>
    <n v="1"/>
    <n v="900"/>
    <n v="900"/>
    <x v="2"/>
    <x v="14"/>
  </r>
  <r>
    <n v="898"/>
    <x v="897"/>
    <x v="0"/>
    <x v="5"/>
    <x v="1"/>
    <n v="600"/>
    <n v="1"/>
    <n v="600"/>
    <n v="600"/>
    <x v="2"/>
    <x v="15"/>
  </r>
  <r>
    <n v="899"/>
    <x v="898"/>
    <x v="0"/>
    <x v="2"/>
    <x v="0"/>
    <n v="900"/>
    <n v="1"/>
    <n v="900"/>
    <n v="900"/>
    <x v="2"/>
    <x v="16"/>
  </r>
  <r>
    <n v="900"/>
    <x v="899"/>
    <x v="0"/>
    <x v="0"/>
    <x v="0"/>
    <n v="1100"/>
    <n v="2"/>
    <n v="2200"/>
    <n v="2200"/>
    <x v="2"/>
    <x v="17"/>
  </r>
  <r>
    <n v="901"/>
    <x v="900"/>
    <x v="0"/>
    <x v="5"/>
    <x v="1"/>
    <n v="600"/>
    <n v="1"/>
    <n v="600"/>
    <n v="600"/>
    <x v="2"/>
    <x v="18"/>
  </r>
  <r>
    <n v="902"/>
    <x v="901"/>
    <x v="0"/>
    <x v="5"/>
    <x v="1"/>
    <n v="600"/>
    <n v="1"/>
    <n v="600"/>
    <n v="600"/>
    <x v="2"/>
    <x v="19"/>
  </r>
  <r>
    <n v="903"/>
    <x v="902"/>
    <x v="0"/>
    <x v="2"/>
    <x v="0"/>
    <n v="900"/>
    <n v="1"/>
    <n v="900"/>
    <n v="900"/>
    <x v="2"/>
    <x v="20"/>
  </r>
  <r>
    <n v="904"/>
    <x v="903"/>
    <x v="0"/>
    <x v="0"/>
    <x v="0"/>
    <n v="1100"/>
    <n v="1"/>
    <n v="1100"/>
    <n v="1100"/>
    <x v="2"/>
    <x v="21"/>
  </r>
  <r>
    <n v="905"/>
    <x v="904"/>
    <x v="0"/>
    <x v="5"/>
    <x v="1"/>
    <n v="600"/>
    <n v="1"/>
    <n v="600"/>
    <n v="600"/>
    <x v="2"/>
    <x v="22"/>
  </r>
  <r>
    <n v="906"/>
    <x v="905"/>
    <x v="0"/>
    <x v="9"/>
    <x v="3"/>
    <n v="600"/>
    <n v="1"/>
    <n v="600"/>
    <n v="600"/>
    <x v="2"/>
    <x v="23"/>
  </r>
  <r>
    <n v="907"/>
    <x v="906"/>
    <x v="0"/>
    <x v="5"/>
    <x v="1"/>
    <n v="600"/>
    <n v="1"/>
    <n v="600"/>
    <n v="600"/>
    <x v="2"/>
    <x v="24"/>
  </r>
  <r>
    <n v="908"/>
    <x v="907"/>
    <x v="0"/>
    <x v="9"/>
    <x v="3"/>
    <n v="600"/>
    <n v="1"/>
    <n v="600"/>
    <n v="600"/>
    <x v="2"/>
    <x v="25"/>
  </r>
  <r>
    <n v="909"/>
    <x v="908"/>
    <x v="0"/>
    <x v="9"/>
    <x v="3"/>
    <n v="600"/>
    <n v="2"/>
    <n v="1200"/>
    <n v="1200"/>
    <x v="2"/>
    <x v="26"/>
  </r>
  <r>
    <n v="910"/>
    <x v="909"/>
    <x v="0"/>
    <x v="5"/>
    <x v="1"/>
    <n v="600"/>
    <n v="1"/>
    <n v="600"/>
    <n v="600"/>
    <x v="2"/>
    <x v="27"/>
  </r>
  <r>
    <n v="911"/>
    <x v="910"/>
    <x v="0"/>
    <x v="0"/>
    <x v="0"/>
    <n v="1100"/>
    <n v="3"/>
    <n v="3300"/>
    <n v="3300"/>
    <x v="2"/>
    <x v="28"/>
  </r>
  <r>
    <n v="912"/>
    <x v="911"/>
    <x v="0"/>
    <x v="0"/>
    <x v="0"/>
    <n v="1100"/>
    <n v="1"/>
    <n v="1100"/>
    <n v="1100"/>
    <x v="2"/>
    <x v="29"/>
  </r>
  <r>
    <n v="913"/>
    <x v="912"/>
    <x v="0"/>
    <x v="6"/>
    <x v="2"/>
    <n v="850"/>
    <n v="1"/>
    <n v="850"/>
    <n v="850"/>
    <x v="2"/>
    <x v="0"/>
  </r>
  <r>
    <n v="914"/>
    <x v="913"/>
    <x v="0"/>
    <x v="7"/>
    <x v="2"/>
    <n v="1200"/>
    <n v="1"/>
    <n v="1200"/>
    <n v="1200"/>
    <x v="2"/>
    <x v="1"/>
  </r>
  <r>
    <n v="915"/>
    <x v="914"/>
    <x v="0"/>
    <x v="4"/>
    <x v="1"/>
    <n v="800"/>
    <n v="1"/>
    <n v="800"/>
    <n v="800"/>
    <x v="2"/>
    <x v="2"/>
  </r>
  <r>
    <n v="916"/>
    <x v="915"/>
    <x v="0"/>
    <x v="2"/>
    <x v="0"/>
    <n v="900"/>
    <n v="1"/>
    <n v="900"/>
    <n v="900"/>
    <x v="2"/>
    <x v="3"/>
  </r>
  <r>
    <n v="917"/>
    <x v="916"/>
    <x v="0"/>
    <x v="0"/>
    <x v="0"/>
    <n v="1100"/>
    <n v="1"/>
    <n v="1100"/>
    <n v="1100"/>
    <x v="2"/>
    <x v="4"/>
  </r>
  <r>
    <n v="918"/>
    <x v="917"/>
    <x v="0"/>
    <x v="1"/>
    <x v="0"/>
    <n v="900"/>
    <n v="1"/>
    <n v="900"/>
    <n v="900"/>
    <x v="2"/>
    <x v="5"/>
  </r>
  <r>
    <n v="919"/>
    <x v="918"/>
    <x v="0"/>
    <x v="0"/>
    <x v="0"/>
    <n v="1100"/>
    <n v="1"/>
    <n v="1100"/>
    <n v="1100"/>
    <x v="2"/>
    <x v="6"/>
  </r>
  <r>
    <n v="920"/>
    <x v="919"/>
    <x v="0"/>
    <x v="8"/>
    <x v="3"/>
    <n v="900"/>
    <n v="1"/>
    <n v="900"/>
    <n v="900"/>
    <x v="2"/>
    <x v="7"/>
  </r>
  <r>
    <n v="921"/>
    <x v="920"/>
    <x v="0"/>
    <x v="8"/>
    <x v="3"/>
    <n v="500"/>
    <n v="1"/>
    <n v="500"/>
    <n v="500"/>
    <x v="2"/>
    <x v="8"/>
  </r>
  <r>
    <n v="922"/>
    <x v="921"/>
    <x v="0"/>
    <x v="3"/>
    <x v="0"/>
    <n v="1000"/>
    <n v="1"/>
    <n v="1000"/>
    <n v="1000"/>
    <x v="2"/>
    <x v="9"/>
  </r>
  <r>
    <n v="923"/>
    <x v="922"/>
    <x v="0"/>
    <x v="9"/>
    <x v="3"/>
    <n v="600"/>
    <n v="1"/>
    <n v="600"/>
    <n v="600"/>
    <x v="2"/>
    <x v="10"/>
  </r>
  <r>
    <n v="924"/>
    <x v="923"/>
    <x v="0"/>
    <x v="1"/>
    <x v="0"/>
    <n v="900"/>
    <n v="2"/>
    <n v="1800"/>
    <n v="1800"/>
    <x v="2"/>
    <x v="11"/>
  </r>
  <r>
    <n v="925"/>
    <x v="924"/>
    <x v="0"/>
    <x v="6"/>
    <x v="2"/>
    <n v="850"/>
    <n v="1"/>
    <n v="850"/>
    <n v="850"/>
    <x v="2"/>
    <x v="12"/>
  </r>
  <r>
    <n v="926"/>
    <x v="925"/>
    <x v="0"/>
    <x v="4"/>
    <x v="1"/>
    <n v="800"/>
    <n v="1"/>
    <n v="800"/>
    <n v="800"/>
    <x v="2"/>
    <x v="13"/>
  </r>
  <r>
    <n v="927"/>
    <x v="926"/>
    <x v="0"/>
    <x v="1"/>
    <x v="0"/>
    <n v="900"/>
    <n v="1"/>
    <n v="900"/>
    <n v="900"/>
    <x v="2"/>
    <x v="14"/>
  </r>
  <r>
    <n v="928"/>
    <x v="927"/>
    <x v="0"/>
    <x v="1"/>
    <x v="0"/>
    <n v="900"/>
    <n v="1"/>
    <n v="900"/>
    <n v="900"/>
    <x v="2"/>
    <x v="15"/>
  </r>
  <r>
    <n v="929"/>
    <x v="928"/>
    <x v="0"/>
    <x v="0"/>
    <x v="0"/>
    <n v="1100"/>
    <n v="1"/>
    <n v="1100"/>
    <n v="1100"/>
    <x v="2"/>
    <x v="16"/>
  </r>
  <r>
    <n v="930"/>
    <x v="929"/>
    <x v="0"/>
    <x v="2"/>
    <x v="0"/>
    <n v="900"/>
    <n v="1"/>
    <n v="900"/>
    <n v="900"/>
    <x v="2"/>
    <x v="17"/>
  </r>
  <r>
    <n v="931"/>
    <x v="930"/>
    <x v="0"/>
    <x v="5"/>
    <x v="1"/>
    <n v="600"/>
    <n v="1"/>
    <n v="600"/>
    <n v="600"/>
    <x v="2"/>
    <x v="18"/>
  </r>
  <r>
    <n v="932"/>
    <x v="931"/>
    <x v="0"/>
    <x v="5"/>
    <x v="1"/>
    <n v="600"/>
    <n v="1"/>
    <n v="600"/>
    <n v="600"/>
    <x v="2"/>
    <x v="19"/>
  </r>
  <r>
    <n v="933"/>
    <x v="932"/>
    <x v="0"/>
    <x v="2"/>
    <x v="0"/>
    <n v="900"/>
    <n v="1"/>
    <n v="900"/>
    <n v="900"/>
    <x v="2"/>
    <x v="20"/>
  </r>
  <r>
    <n v="934"/>
    <x v="933"/>
    <x v="0"/>
    <x v="6"/>
    <x v="2"/>
    <n v="850"/>
    <n v="1"/>
    <n v="850"/>
    <n v="850"/>
    <x v="2"/>
    <x v="21"/>
  </r>
  <r>
    <n v="935"/>
    <x v="934"/>
    <x v="0"/>
    <x v="2"/>
    <x v="0"/>
    <n v="900"/>
    <n v="1"/>
    <n v="900"/>
    <n v="900"/>
    <x v="2"/>
    <x v="22"/>
  </r>
  <r>
    <n v="936"/>
    <x v="935"/>
    <x v="0"/>
    <x v="5"/>
    <x v="1"/>
    <n v="600"/>
    <n v="1"/>
    <n v="600"/>
    <n v="600"/>
    <x v="2"/>
    <x v="23"/>
  </r>
  <r>
    <n v="937"/>
    <x v="936"/>
    <x v="0"/>
    <x v="5"/>
    <x v="1"/>
    <n v="600"/>
    <n v="1"/>
    <n v="600"/>
    <n v="600"/>
    <x v="2"/>
    <x v="24"/>
  </r>
  <r>
    <n v="938"/>
    <x v="937"/>
    <x v="0"/>
    <x v="0"/>
    <x v="0"/>
    <n v="1100"/>
    <n v="1"/>
    <n v="1100"/>
    <n v="1100"/>
    <x v="2"/>
    <x v="25"/>
  </r>
  <r>
    <n v="939"/>
    <x v="938"/>
    <x v="0"/>
    <x v="1"/>
    <x v="0"/>
    <n v="900"/>
    <n v="1"/>
    <n v="900"/>
    <n v="900"/>
    <x v="2"/>
    <x v="26"/>
  </r>
  <r>
    <n v="940"/>
    <x v="939"/>
    <x v="0"/>
    <x v="0"/>
    <x v="0"/>
    <n v="1100"/>
    <n v="1"/>
    <n v="1100"/>
    <n v="1100"/>
    <x v="2"/>
    <x v="27"/>
  </r>
  <r>
    <n v="941"/>
    <x v="940"/>
    <x v="0"/>
    <x v="5"/>
    <x v="1"/>
    <n v="600"/>
    <n v="1"/>
    <n v="600"/>
    <n v="600"/>
    <x v="2"/>
    <x v="28"/>
  </r>
  <r>
    <n v="942"/>
    <x v="941"/>
    <x v="0"/>
    <x v="7"/>
    <x v="2"/>
    <n v="1200"/>
    <n v="1"/>
    <n v="1200"/>
    <n v="1200"/>
    <x v="2"/>
    <x v="29"/>
  </r>
  <r>
    <n v="943"/>
    <x v="942"/>
    <x v="0"/>
    <x v="9"/>
    <x v="3"/>
    <n v="600"/>
    <n v="1"/>
    <n v="600"/>
    <n v="600"/>
    <x v="2"/>
    <x v="30"/>
  </r>
  <r>
    <n v="944"/>
    <x v="943"/>
    <x v="0"/>
    <x v="0"/>
    <x v="0"/>
    <n v="1100"/>
    <n v="1"/>
    <n v="1100"/>
    <n v="1100"/>
    <x v="2"/>
    <x v="0"/>
  </r>
  <r>
    <n v="945"/>
    <x v="944"/>
    <x v="0"/>
    <x v="8"/>
    <x v="3"/>
    <n v="500"/>
    <n v="1"/>
    <n v="500"/>
    <n v="500"/>
    <x v="2"/>
    <x v="1"/>
  </r>
  <r>
    <n v="946"/>
    <x v="945"/>
    <x v="0"/>
    <x v="1"/>
    <x v="0"/>
    <n v="900"/>
    <n v="1"/>
    <n v="900"/>
    <n v="900"/>
    <x v="2"/>
    <x v="2"/>
  </r>
  <r>
    <n v="947"/>
    <x v="946"/>
    <x v="0"/>
    <x v="6"/>
    <x v="2"/>
    <n v="850"/>
    <n v="1"/>
    <n v="850"/>
    <n v="850"/>
    <x v="2"/>
    <x v="3"/>
  </r>
  <r>
    <n v="948"/>
    <x v="947"/>
    <x v="0"/>
    <x v="5"/>
    <x v="1"/>
    <n v="600"/>
    <n v="1"/>
    <n v="600"/>
    <n v="600"/>
    <x v="2"/>
    <x v="4"/>
  </r>
  <r>
    <n v="949"/>
    <x v="948"/>
    <x v="0"/>
    <x v="0"/>
    <x v="0"/>
    <n v="1100"/>
    <n v="1"/>
    <n v="1100"/>
    <n v="1100"/>
    <x v="2"/>
    <x v="5"/>
  </r>
  <r>
    <n v="950"/>
    <x v="949"/>
    <x v="0"/>
    <x v="8"/>
    <x v="3"/>
    <n v="500"/>
    <n v="1"/>
    <n v="500"/>
    <n v="500"/>
    <x v="2"/>
    <x v="6"/>
  </r>
  <r>
    <n v="951"/>
    <x v="950"/>
    <x v="0"/>
    <x v="5"/>
    <x v="1"/>
    <n v="600"/>
    <n v="1"/>
    <n v="600"/>
    <n v="600"/>
    <x v="2"/>
    <x v="7"/>
  </r>
  <r>
    <n v="952"/>
    <x v="951"/>
    <x v="0"/>
    <x v="3"/>
    <x v="0"/>
    <n v="1000"/>
    <n v="1"/>
    <n v="1000"/>
    <n v="1000"/>
    <x v="2"/>
    <x v="8"/>
  </r>
  <r>
    <n v="953"/>
    <x v="952"/>
    <x v="0"/>
    <x v="5"/>
    <x v="1"/>
    <n v="600"/>
    <n v="1"/>
    <n v="600"/>
    <n v="600"/>
    <x v="2"/>
    <x v="9"/>
  </r>
  <r>
    <n v="954"/>
    <x v="953"/>
    <x v="0"/>
    <x v="0"/>
    <x v="0"/>
    <n v="1100"/>
    <n v="1"/>
    <n v="1100"/>
    <n v="1100"/>
    <x v="2"/>
    <x v="10"/>
  </r>
  <r>
    <n v="955"/>
    <x v="954"/>
    <x v="0"/>
    <x v="8"/>
    <x v="3"/>
    <n v="500"/>
    <n v="1"/>
    <n v="500"/>
    <n v="500"/>
    <x v="2"/>
    <x v="11"/>
  </r>
  <r>
    <n v="956"/>
    <x v="955"/>
    <x v="0"/>
    <x v="0"/>
    <x v="0"/>
    <n v="1100"/>
    <n v="2"/>
    <n v="2200"/>
    <n v="2200"/>
    <x v="2"/>
    <x v="12"/>
  </r>
  <r>
    <n v="957"/>
    <x v="956"/>
    <x v="0"/>
    <x v="5"/>
    <x v="1"/>
    <n v="600"/>
    <n v="1"/>
    <n v="600"/>
    <n v="600"/>
    <x v="2"/>
    <x v="13"/>
  </r>
  <r>
    <n v="958"/>
    <x v="957"/>
    <x v="0"/>
    <x v="4"/>
    <x v="1"/>
    <n v="800"/>
    <n v="1"/>
    <n v="800"/>
    <n v="800"/>
    <x v="2"/>
    <x v="14"/>
  </r>
  <r>
    <n v="959"/>
    <x v="958"/>
    <x v="0"/>
    <x v="2"/>
    <x v="0"/>
    <n v="900"/>
    <n v="1"/>
    <n v="900"/>
    <n v="900"/>
    <x v="2"/>
    <x v="15"/>
  </r>
  <r>
    <n v="960"/>
    <x v="959"/>
    <x v="0"/>
    <x v="9"/>
    <x v="3"/>
    <n v="600"/>
    <n v="1"/>
    <n v="600"/>
    <n v="600"/>
    <x v="2"/>
    <x v="16"/>
  </r>
  <r>
    <n v="961"/>
    <x v="960"/>
    <x v="0"/>
    <x v="0"/>
    <x v="0"/>
    <n v="1100"/>
    <n v="2"/>
    <n v="2200"/>
    <n v="2200"/>
    <x v="2"/>
    <x v="17"/>
  </r>
  <r>
    <n v="962"/>
    <x v="961"/>
    <x v="0"/>
    <x v="9"/>
    <x v="3"/>
    <n v="600"/>
    <n v="1"/>
    <n v="600"/>
    <n v="600"/>
    <x v="2"/>
    <x v="18"/>
  </r>
  <r>
    <n v="963"/>
    <x v="962"/>
    <x v="0"/>
    <x v="2"/>
    <x v="0"/>
    <n v="900"/>
    <n v="1"/>
    <n v="900"/>
    <n v="900"/>
    <x v="2"/>
    <x v="19"/>
  </r>
  <r>
    <n v="964"/>
    <x v="963"/>
    <x v="0"/>
    <x v="5"/>
    <x v="1"/>
    <n v="600"/>
    <n v="1"/>
    <n v="600"/>
    <n v="600"/>
    <x v="2"/>
    <x v="20"/>
  </r>
  <r>
    <n v="965"/>
    <x v="964"/>
    <x v="0"/>
    <x v="1"/>
    <x v="0"/>
    <n v="900"/>
    <n v="1"/>
    <n v="900"/>
    <n v="900"/>
    <x v="2"/>
    <x v="21"/>
  </r>
  <r>
    <n v="966"/>
    <x v="965"/>
    <x v="0"/>
    <x v="9"/>
    <x v="3"/>
    <n v="600"/>
    <n v="1"/>
    <n v="600"/>
    <n v="600"/>
    <x v="2"/>
    <x v="22"/>
  </r>
  <r>
    <n v="967"/>
    <x v="966"/>
    <x v="0"/>
    <x v="6"/>
    <x v="2"/>
    <n v="850"/>
    <n v="1"/>
    <n v="850"/>
    <n v="850"/>
    <x v="2"/>
    <x v="23"/>
  </r>
  <r>
    <n v="968"/>
    <x v="967"/>
    <x v="0"/>
    <x v="2"/>
    <x v="0"/>
    <n v="900"/>
    <n v="1"/>
    <n v="900"/>
    <n v="900"/>
    <x v="2"/>
    <x v="24"/>
  </r>
  <r>
    <n v="969"/>
    <x v="968"/>
    <x v="0"/>
    <x v="0"/>
    <x v="0"/>
    <n v="1100"/>
    <n v="1"/>
    <n v="1100"/>
    <n v="1100"/>
    <x v="2"/>
    <x v="25"/>
  </r>
  <r>
    <n v="970"/>
    <x v="969"/>
    <x v="0"/>
    <x v="2"/>
    <x v="0"/>
    <n v="900"/>
    <n v="1"/>
    <n v="900"/>
    <n v="900"/>
    <x v="2"/>
    <x v="26"/>
  </r>
  <r>
    <n v="971"/>
    <x v="970"/>
    <x v="0"/>
    <x v="3"/>
    <x v="0"/>
    <n v="1000"/>
    <n v="1"/>
    <n v="1000"/>
    <n v="1000"/>
    <x v="2"/>
    <x v="27"/>
  </r>
  <r>
    <n v="972"/>
    <x v="971"/>
    <x v="0"/>
    <x v="0"/>
    <x v="0"/>
    <n v="1100"/>
    <n v="1"/>
    <n v="1100"/>
    <n v="1100"/>
    <x v="2"/>
    <x v="28"/>
  </r>
  <r>
    <n v="973"/>
    <x v="972"/>
    <x v="0"/>
    <x v="3"/>
    <x v="0"/>
    <n v="1000"/>
    <n v="1"/>
    <n v="1000"/>
    <n v="1000"/>
    <x v="2"/>
    <x v="29"/>
  </r>
  <r>
    <n v="974"/>
    <x v="973"/>
    <x v="0"/>
    <x v="0"/>
    <x v="0"/>
    <n v="1100"/>
    <n v="1"/>
    <n v="1100"/>
    <n v="1100"/>
    <x v="2"/>
    <x v="30"/>
  </r>
  <r>
    <n v="975"/>
    <x v="974"/>
    <x v="0"/>
    <x v="2"/>
    <x v="0"/>
    <n v="900"/>
    <n v="1"/>
    <n v="900"/>
    <n v="900"/>
    <x v="2"/>
    <x v="0"/>
  </r>
  <r>
    <n v="976"/>
    <x v="975"/>
    <x v="0"/>
    <x v="1"/>
    <x v="0"/>
    <n v="900"/>
    <n v="1"/>
    <n v="900"/>
    <n v="900"/>
    <x v="2"/>
    <x v="1"/>
  </r>
  <r>
    <n v="977"/>
    <x v="976"/>
    <x v="0"/>
    <x v="0"/>
    <x v="0"/>
    <n v="1100"/>
    <n v="1"/>
    <n v="1100"/>
    <n v="1100"/>
    <x v="2"/>
    <x v="2"/>
  </r>
  <r>
    <n v="978"/>
    <x v="977"/>
    <x v="0"/>
    <x v="0"/>
    <x v="0"/>
    <n v="1100"/>
    <n v="1"/>
    <n v="1100"/>
    <n v="1100"/>
    <x v="2"/>
    <x v="3"/>
  </r>
  <r>
    <n v="979"/>
    <x v="978"/>
    <x v="0"/>
    <x v="3"/>
    <x v="0"/>
    <n v="1000"/>
    <n v="1"/>
    <n v="1000"/>
    <n v="1000"/>
    <x v="2"/>
    <x v="4"/>
  </r>
  <r>
    <n v="980"/>
    <x v="979"/>
    <x v="0"/>
    <x v="1"/>
    <x v="0"/>
    <n v="900"/>
    <n v="1"/>
    <n v="900"/>
    <n v="900"/>
    <x v="2"/>
    <x v="5"/>
  </r>
  <r>
    <n v="981"/>
    <x v="980"/>
    <x v="0"/>
    <x v="5"/>
    <x v="1"/>
    <n v="600"/>
    <n v="1"/>
    <n v="600"/>
    <n v="600"/>
    <x v="2"/>
    <x v="6"/>
  </r>
  <r>
    <n v="982"/>
    <x v="981"/>
    <x v="0"/>
    <x v="1"/>
    <x v="0"/>
    <n v="900"/>
    <n v="1"/>
    <n v="900"/>
    <n v="900"/>
    <x v="2"/>
    <x v="7"/>
  </r>
  <r>
    <n v="983"/>
    <x v="982"/>
    <x v="0"/>
    <x v="5"/>
    <x v="1"/>
    <n v="600"/>
    <n v="1"/>
    <n v="600"/>
    <n v="600"/>
    <x v="2"/>
    <x v="8"/>
  </r>
  <r>
    <n v="984"/>
    <x v="983"/>
    <x v="0"/>
    <x v="2"/>
    <x v="0"/>
    <n v="900"/>
    <n v="1"/>
    <n v="900"/>
    <n v="900"/>
    <x v="2"/>
    <x v="9"/>
  </r>
  <r>
    <n v="985"/>
    <x v="984"/>
    <x v="0"/>
    <x v="0"/>
    <x v="0"/>
    <n v="1100"/>
    <n v="2"/>
    <n v="2200"/>
    <n v="2200"/>
    <x v="2"/>
    <x v="10"/>
  </r>
  <r>
    <n v="986"/>
    <x v="985"/>
    <x v="0"/>
    <x v="5"/>
    <x v="1"/>
    <n v="600"/>
    <n v="1"/>
    <n v="600"/>
    <n v="600"/>
    <x v="2"/>
    <x v="11"/>
  </r>
  <r>
    <n v="987"/>
    <x v="986"/>
    <x v="0"/>
    <x v="5"/>
    <x v="1"/>
    <n v="600"/>
    <n v="1"/>
    <n v="600"/>
    <n v="600"/>
    <x v="2"/>
    <x v="12"/>
  </r>
  <r>
    <n v="988"/>
    <x v="987"/>
    <x v="0"/>
    <x v="2"/>
    <x v="0"/>
    <n v="900"/>
    <n v="1"/>
    <n v="900"/>
    <n v="900"/>
    <x v="2"/>
    <x v="13"/>
  </r>
  <r>
    <n v="989"/>
    <x v="988"/>
    <x v="0"/>
    <x v="0"/>
    <x v="0"/>
    <n v="1100"/>
    <n v="1"/>
    <n v="1100"/>
    <n v="1100"/>
    <x v="2"/>
    <x v="14"/>
  </r>
  <r>
    <n v="990"/>
    <x v="989"/>
    <x v="0"/>
    <x v="5"/>
    <x v="1"/>
    <n v="600"/>
    <n v="1"/>
    <n v="600"/>
    <n v="600"/>
    <x v="2"/>
    <x v="15"/>
  </r>
  <r>
    <n v="991"/>
    <x v="990"/>
    <x v="0"/>
    <x v="9"/>
    <x v="3"/>
    <n v="600"/>
    <n v="1"/>
    <n v="600"/>
    <n v="600"/>
    <x v="2"/>
    <x v="16"/>
  </r>
  <r>
    <n v="992"/>
    <x v="991"/>
    <x v="0"/>
    <x v="5"/>
    <x v="1"/>
    <n v="600"/>
    <n v="1"/>
    <n v="600"/>
    <n v="600"/>
    <x v="2"/>
    <x v="17"/>
  </r>
  <r>
    <n v="993"/>
    <x v="992"/>
    <x v="0"/>
    <x v="9"/>
    <x v="3"/>
    <n v="600"/>
    <n v="1"/>
    <n v="600"/>
    <n v="600"/>
    <x v="2"/>
    <x v="18"/>
  </r>
  <r>
    <n v="994"/>
    <x v="993"/>
    <x v="0"/>
    <x v="9"/>
    <x v="3"/>
    <n v="600"/>
    <n v="2"/>
    <n v="1200"/>
    <n v="1200"/>
    <x v="2"/>
    <x v="19"/>
  </r>
  <r>
    <n v="995"/>
    <x v="994"/>
    <x v="0"/>
    <x v="5"/>
    <x v="1"/>
    <n v="600"/>
    <n v="1"/>
    <n v="600"/>
    <n v="600"/>
    <x v="2"/>
    <x v="20"/>
  </r>
  <r>
    <n v="996"/>
    <x v="995"/>
    <x v="0"/>
    <x v="0"/>
    <x v="0"/>
    <n v="1100"/>
    <n v="3"/>
    <n v="3300"/>
    <n v="3300"/>
    <x v="2"/>
    <x v="21"/>
  </r>
  <r>
    <n v="997"/>
    <x v="996"/>
    <x v="0"/>
    <x v="0"/>
    <x v="0"/>
    <n v="1100"/>
    <n v="1"/>
    <n v="1100"/>
    <n v="1100"/>
    <x v="2"/>
    <x v="22"/>
  </r>
  <r>
    <n v="998"/>
    <x v="997"/>
    <x v="0"/>
    <x v="6"/>
    <x v="2"/>
    <n v="850"/>
    <n v="1"/>
    <n v="850"/>
    <n v="850"/>
    <x v="2"/>
    <x v="23"/>
  </r>
  <r>
    <n v="999"/>
    <x v="998"/>
    <x v="0"/>
    <x v="7"/>
    <x v="2"/>
    <n v="1200"/>
    <n v="1"/>
    <n v="1200"/>
    <n v="1200"/>
    <x v="2"/>
    <x v="24"/>
  </r>
  <r>
    <n v="1000"/>
    <x v="999"/>
    <x v="0"/>
    <x v="4"/>
    <x v="1"/>
    <n v="800"/>
    <n v="1"/>
    <n v="800"/>
    <n v="800"/>
    <x v="2"/>
    <x v="25"/>
  </r>
  <r>
    <n v="1001"/>
    <x v="1000"/>
    <x v="0"/>
    <x v="2"/>
    <x v="0"/>
    <n v="900"/>
    <n v="1"/>
    <n v="900"/>
    <n v="900"/>
    <x v="2"/>
    <x v="26"/>
  </r>
  <r>
    <n v="1002"/>
    <x v="1001"/>
    <x v="0"/>
    <x v="0"/>
    <x v="0"/>
    <n v="1100"/>
    <n v="1"/>
    <n v="1100"/>
    <n v="1100"/>
    <x v="2"/>
    <x v="27"/>
  </r>
  <r>
    <n v="1003"/>
    <x v="1002"/>
    <x v="0"/>
    <x v="1"/>
    <x v="0"/>
    <n v="900"/>
    <n v="1"/>
    <n v="900"/>
    <n v="900"/>
    <x v="2"/>
    <x v="28"/>
  </r>
  <r>
    <n v="1004"/>
    <x v="1003"/>
    <x v="0"/>
    <x v="0"/>
    <x v="0"/>
    <n v="1100"/>
    <n v="1"/>
    <n v="1100"/>
    <n v="1100"/>
    <x v="2"/>
    <x v="29"/>
  </r>
  <r>
    <n v="1005"/>
    <x v="1004"/>
    <x v="0"/>
    <x v="8"/>
    <x v="3"/>
    <n v="900"/>
    <n v="1"/>
    <n v="900"/>
    <n v="900"/>
    <x v="2"/>
    <x v="0"/>
  </r>
  <r>
    <n v="1006"/>
    <x v="1005"/>
    <x v="0"/>
    <x v="8"/>
    <x v="3"/>
    <n v="500"/>
    <n v="1"/>
    <n v="500"/>
    <n v="500"/>
    <x v="2"/>
    <x v="1"/>
  </r>
  <r>
    <n v="1007"/>
    <x v="1006"/>
    <x v="0"/>
    <x v="3"/>
    <x v="0"/>
    <n v="1000"/>
    <n v="1"/>
    <n v="1000"/>
    <n v="1000"/>
    <x v="2"/>
    <x v="2"/>
  </r>
  <r>
    <n v="1008"/>
    <x v="1007"/>
    <x v="0"/>
    <x v="9"/>
    <x v="3"/>
    <n v="600"/>
    <n v="1"/>
    <n v="600"/>
    <n v="600"/>
    <x v="2"/>
    <x v="3"/>
  </r>
  <r>
    <n v="1009"/>
    <x v="1008"/>
    <x v="0"/>
    <x v="1"/>
    <x v="0"/>
    <n v="900"/>
    <n v="2"/>
    <n v="1800"/>
    <n v="1800"/>
    <x v="2"/>
    <x v="4"/>
  </r>
  <r>
    <n v="1010"/>
    <x v="1009"/>
    <x v="0"/>
    <x v="6"/>
    <x v="2"/>
    <n v="850"/>
    <n v="1"/>
    <n v="850"/>
    <n v="850"/>
    <x v="2"/>
    <x v="5"/>
  </r>
  <r>
    <n v="1011"/>
    <x v="1010"/>
    <x v="0"/>
    <x v="4"/>
    <x v="1"/>
    <n v="800"/>
    <n v="1"/>
    <n v="800"/>
    <n v="800"/>
    <x v="2"/>
    <x v="6"/>
  </r>
  <r>
    <n v="1012"/>
    <x v="1011"/>
    <x v="0"/>
    <x v="1"/>
    <x v="0"/>
    <n v="900"/>
    <n v="1"/>
    <n v="900"/>
    <n v="900"/>
    <x v="2"/>
    <x v="7"/>
  </r>
  <r>
    <n v="1013"/>
    <x v="1012"/>
    <x v="0"/>
    <x v="1"/>
    <x v="0"/>
    <n v="900"/>
    <n v="1"/>
    <n v="900"/>
    <n v="900"/>
    <x v="2"/>
    <x v="8"/>
  </r>
  <r>
    <n v="1014"/>
    <x v="1013"/>
    <x v="0"/>
    <x v="0"/>
    <x v="0"/>
    <n v="1100"/>
    <n v="1"/>
    <n v="1100"/>
    <n v="1100"/>
    <x v="2"/>
    <x v="9"/>
  </r>
  <r>
    <n v="1015"/>
    <x v="1014"/>
    <x v="0"/>
    <x v="2"/>
    <x v="0"/>
    <n v="900"/>
    <n v="1"/>
    <n v="900"/>
    <n v="900"/>
    <x v="2"/>
    <x v="10"/>
  </r>
  <r>
    <n v="1016"/>
    <x v="1015"/>
    <x v="0"/>
    <x v="5"/>
    <x v="1"/>
    <n v="600"/>
    <n v="1"/>
    <n v="600"/>
    <n v="600"/>
    <x v="2"/>
    <x v="11"/>
  </r>
  <r>
    <n v="1017"/>
    <x v="1016"/>
    <x v="0"/>
    <x v="5"/>
    <x v="1"/>
    <n v="600"/>
    <n v="1"/>
    <n v="600"/>
    <n v="600"/>
    <x v="2"/>
    <x v="12"/>
  </r>
  <r>
    <n v="1018"/>
    <x v="1017"/>
    <x v="0"/>
    <x v="2"/>
    <x v="0"/>
    <n v="900"/>
    <n v="1"/>
    <n v="900"/>
    <n v="900"/>
    <x v="2"/>
    <x v="13"/>
  </r>
  <r>
    <n v="1019"/>
    <x v="1018"/>
    <x v="0"/>
    <x v="6"/>
    <x v="2"/>
    <n v="850"/>
    <n v="1"/>
    <n v="850"/>
    <n v="850"/>
    <x v="2"/>
    <x v="14"/>
  </r>
  <r>
    <n v="1020"/>
    <x v="1019"/>
    <x v="0"/>
    <x v="2"/>
    <x v="0"/>
    <n v="900"/>
    <n v="1"/>
    <n v="900"/>
    <n v="900"/>
    <x v="2"/>
    <x v="15"/>
  </r>
  <r>
    <n v="1021"/>
    <x v="1020"/>
    <x v="0"/>
    <x v="5"/>
    <x v="1"/>
    <n v="600"/>
    <n v="1"/>
    <n v="600"/>
    <n v="600"/>
    <x v="2"/>
    <x v="16"/>
  </r>
  <r>
    <n v="1022"/>
    <x v="1021"/>
    <x v="1"/>
    <x v="5"/>
    <x v="1"/>
    <n v="600"/>
    <n v="1"/>
    <n v="600"/>
    <n v="600"/>
    <x v="2"/>
    <x v="17"/>
  </r>
  <r>
    <n v="1023"/>
    <x v="1022"/>
    <x v="1"/>
    <x v="0"/>
    <x v="0"/>
    <n v="1100"/>
    <n v="1"/>
    <n v="1100"/>
    <n v="1100"/>
    <x v="2"/>
    <x v="18"/>
  </r>
  <r>
    <n v="1024"/>
    <x v="1023"/>
    <x v="1"/>
    <x v="1"/>
    <x v="0"/>
    <n v="900"/>
    <n v="1"/>
    <n v="900"/>
    <n v="900"/>
    <x v="2"/>
    <x v="19"/>
  </r>
  <r>
    <n v="1025"/>
    <x v="1024"/>
    <x v="1"/>
    <x v="0"/>
    <x v="0"/>
    <n v="1100"/>
    <n v="1"/>
    <n v="1100"/>
    <n v="1100"/>
    <x v="2"/>
    <x v="20"/>
  </r>
  <r>
    <n v="1026"/>
    <x v="1025"/>
    <x v="1"/>
    <x v="5"/>
    <x v="1"/>
    <n v="600"/>
    <n v="1"/>
    <n v="600"/>
    <n v="600"/>
    <x v="2"/>
    <x v="21"/>
  </r>
  <r>
    <n v="1027"/>
    <x v="1026"/>
    <x v="1"/>
    <x v="7"/>
    <x v="2"/>
    <n v="1200"/>
    <n v="1"/>
    <n v="1200"/>
    <n v="1200"/>
    <x v="2"/>
    <x v="22"/>
  </r>
  <r>
    <n v="1028"/>
    <x v="1027"/>
    <x v="1"/>
    <x v="9"/>
    <x v="3"/>
    <n v="600"/>
    <n v="1"/>
    <n v="600"/>
    <n v="600"/>
    <x v="2"/>
    <x v="23"/>
  </r>
  <r>
    <n v="1029"/>
    <x v="1028"/>
    <x v="1"/>
    <x v="0"/>
    <x v="0"/>
    <n v="1100"/>
    <n v="1"/>
    <n v="1100"/>
    <n v="1100"/>
    <x v="2"/>
    <x v="24"/>
  </r>
  <r>
    <n v="1030"/>
    <x v="1029"/>
    <x v="1"/>
    <x v="8"/>
    <x v="3"/>
    <n v="500"/>
    <n v="1"/>
    <n v="500"/>
    <n v="500"/>
    <x v="2"/>
    <x v="25"/>
  </r>
  <r>
    <n v="1031"/>
    <x v="1030"/>
    <x v="0"/>
    <x v="1"/>
    <x v="0"/>
    <n v="900"/>
    <n v="1"/>
    <n v="900"/>
    <n v="900"/>
    <x v="2"/>
    <x v="26"/>
  </r>
  <r>
    <n v="1032"/>
    <x v="1031"/>
    <x v="0"/>
    <x v="6"/>
    <x v="2"/>
    <n v="850"/>
    <n v="1"/>
    <n v="850"/>
    <n v="850"/>
    <x v="2"/>
    <x v="27"/>
  </r>
  <r>
    <n v="1033"/>
    <x v="1032"/>
    <x v="0"/>
    <x v="5"/>
    <x v="1"/>
    <n v="600"/>
    <n v="1"/>
    <n v="600"/>
    <n v="600"/>
    <x v="2"/>
    <x v="28"/>
  </r>
  <r>
    <n v="1034"/>
    <x v="1033"/>
    <x v="0"/>
    <x v="0"/>
    <x v="0"/>
    <n v="1100"/>
    <n v="1"/>
    <n v="1100"/>
    <n v="1100"/>
    <x v="2"/>
    <x v="29"/>
  </r>
  <r>
    <n v="1035"/>
    <x v="1034"/>
    <x v="0"/>
    <x v="8"/>
    <x v="3"/>
    <n v="500"/>
    <n v="1"/>
    <n v="500"/>
    <n v="500"/>
    <x v="2"/>
    <x v="30"/>
  </r>
  <r>
    <n v="1036"/>
    <x v="1035"/>
    <x v="0"/>
    <x v="5"/>
    <x v="1"/>
    <n v="600"/>
    <n v="1"/>
    <n v="600"/>
    <n v="600"/>
    <x v="2"/>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n v="1"/>
    <x v="0"/>
    <x v="0"/>
    <x v="0"/>
    <x v="0"/>
    <n v="1100"/>
    <n v="1"/>
    <n v="1100"/>
    <n v="1100"/>
    <x v="0"/>
  </r>
  <r>
    <n v="2"/>
    <x v="1"/>
    <x v="0"/>
    <x v="0"/>
    <x v="0"/>
    <n v="1100"/>
    <n v="1"/>
    <n v="1100"/>
    <n v="1100"/>
    <x v="1"/>
  </r>
  <r>
    <n v="3"/>
    <x v="2"/>
    <x v="0"/>
    <x v="0"/>
    <x v="0"/>
    <n v="1100"/>
    <n v="1"/>
    <n v="1100"/>
    <n v="1100"/>
    <x v="2"/>
  </r>
  <r>
    <n v="4"/>
    <x v="3"/>
    <x v="0"/>
    <x v="0"/>
    <x v="0"/>
    <n v="1100"/>
    <n v="1"/>
    <n v="1100"/>
    <n v="1100"/>
    <x v="3"/>
  </r>
  <r>
    <n v="5"/>
    <x v="4"/>
    <x v="0"/>
    <x v="0"/>
    <x v="0"/>
    <n v="1100"/>
    <n v="1"/>
    <n v="1100"/>
    <n v="1100"/>
    <x v="4"/>
  </r>
  <r>
    <n v="6"/>
    <x v="5"/>
    <x v="0"/>
    <x v="0"/>
    <x v="0"/>
    <n v="1100"/>
    <n v="1"/>
    <n v="1100"/>
    <n v="1100"/>
    <x v="5"/>
  </r>
  <r>
    <n v="7"/>
    <x v="6"/>
    <x v="0"/>
    <x v="0"/>
    <x v="0"/>
    <n v="1100"/>
    <n v="2"/>
    <n v="2200"/>
    <n v="2200"/>
    <x v="6"/>
  </r>
  <r>
    <n v="8"/>
    <x v="7"/>
    <x v="0"/>
    <x v="0"/>
    <x v="0"/>
    <n v="1100"/>
    <n v="1"/>
    <n v="1100"/>
    <n v="1100"/>
    <x v="0"/>
  </r>
  <r>
    <n v="9"/>
    <x v="8"/>
    <x v="0"/>
    <x v="0"/>
    <x v="0"/>
    <n v="1100"/>
    <n v="1"/>
    <n v="1100"/>
    <n v="1100"/>
    <x v="1"/>
  </r>
  <r>
    <n v="10"/>
    <x v="9"/>
    <x v="0"/>
    <x v="1"/>
    <x v="0"/>
    <n v="900"/>
    <n v="1"/>
    <n v="900"/>
    <n v="765"/>
    <x v="2"/>
  </r>
  <r>
    <n v="11"/>
    <x v="10"/>
    <x v="1"/>
    <x v="1"/>
    <x v="0"/>
    <n v="900"/>
    <n v="1"/>
    <n v="900"/>
    <n v="765"/>
    <x v="3"/>
  </r>
  <r>
    <n v="12"/>
    <x v="11"/>
    <x v="1"/>
    <x v="1"/>
    <x v="0"/>
    <n v="900"/>
    <n v="1"/>
    <n v="900"/>
    <n v="765"/>
    <x v="4"/>
  </r>
  <r>
    <n v="13"/>
    <x v="12"/>
    <x v="1"/>
    <x v="1"/>
    <x v="0"/>
    <n v="900"/>
    <n v="2"/>
    <n v="1800"/>
    <n v="1530"/>
    <x v="5"/>
  </r>
  <r>
    <n v="14"/>
    <x v="13"/>
    <x v="1"/>
    <x v="1"/>
    <x v="0"/>
    <n v="900"/>
    <n v="1"/>
    <n v="900"/>
    <n v="765"/>
    <x v="6"/>
  </r>
  <r>
    <n v="15"/>
    <x v="14"/>
    <x v="1"/>
    <x v="1"/>
    <x v="0"/>
    <n v="900"/>
    <n v="1"/>
    <n v="900"/>
    <n v="765"/>
    <x v="0"/>
  </r>
  <r>
    <n v="16"/>
    <x v="15"/>
    <x v="1"/>
    <x v="0"/>
    <x v="0"/>
    <n v="1100"/>
    <n v="1"/>
    <n v="1100"/>
    <n v="1100"/>
    <x v="1"/>
  </r>
  <r>
    <n v="17"/>
    <x v="16"/>
    <x v="1"/>
    <x v="1"/>
    <x v="0"/>
    <n v="900"/>
    <n v="1"/>
    <n v="900"/>
    <n v="765"/>
    <x v="2"/>
  </r>
  <r>
    <n v="18"/>
    <x v="17"/>
    <x v="1"/>
    <x v="0"/>
    <x v="0"/>
    <n v="1100"/>
    <n v="2"/>
    <n v="2200"/>
    <n v="2200"/>
    <x v="3"/>
  </r>
  <r>
    <n v="19"/>
    <x v="18"/>
    <x v="1"/>
    <x v="0"/>
    <x v="0"/>
    <n v="1100"/>
    <n v="1"/>
    <n v="1100"/>
    <n v="1100"/>
    <x v="4"/>
  </r>
  <r>
    <n v="20"/>
    <x v="19"/>
    <x v="0"/>
    <x v="1"/>
    <x v="0"/>
    <n v="900"/>
    <n v="1"/>
    <n v="900"/>
    <n v="765"/>
    <x v="5"/>
  </r>
  <r>
    <n v="21"/>
    <x v="20"/>
    <x v="0"/>
    <x v="1"/>
    <x v="0"/>
    <n v="900"/>
    <n v="1"/>
    <n v="900"/>
    <n v="765"/>
    <x v="6"/>
  </r>
  <r>
    <n v="22"/>
    <x v="21"/>
    <x v="0"/>
    <x v="2"/>
    <x v="0"/>
    <n v="900"/>
    <n v="1"/>
    <n v="900"/>
    <n v="900"/>
    <x v="0"/>
  </r>
  <r>
    <n v="23"/>
    <x v="22"/>
    <x v="0"/>
    <x v="0"/>
    <x v="0"/>
    <n v="1100"/>
    <n v="1"/>
    <n v="1100"/>
    <n v="1100"/>
    <x v="1"/>
  </r>
  <r>
    <n v="24"/>
    <x v="23"/>
    <x v="0"/>
    <x v="0"/>
    <x v="0"/>
    <n v="1100"/>
    <n v="1"/>
    <n v="1100"/>
    <n v="1100"/>
    <x v="2"/>
  </r>
  <r>
    <n v="25"/>
    <x v="24"/>
    <x v="0"/>
    <x v="2"/>
    <x v="0"/>
    <n v="900"/>
    <n v="1"/>
    <n v="900"/>
    <n v="900"/>
    <x v="3"/>
  </r>
  <r>
    <n v="26"/>
    <x v="25"/>
    <x v="0"/>
    <x v="1"/>
    <x v="0"/>
    <n v="900"/>
    <n v="1"/>
    <n v="900"/>
    <n v="765"/>
    <x v="4"/>
  </r>
  <r>
    <n v="27"/>
    <x v="26"/>
    <x v="0"/>
    <x v="2"/>
    <x v="0"/>
    <n v="900"/>
    <n v="1"/>
    <n v="900"/>
    <n v="900"/>
    <x v="5"/>
  </r>
  <r>
    <n v="28"/>
    <x v="27"/>
    <x v="0"/>
    <x v="0"/>
    <x v="0"/>
    <n v="1100"/>
    <n v="1"/>
    <n v="1100"/>
    <n v="1100"/>
    <x v="6"/>
  </r>
  <r>
    <n v="29"/>
    <x v="28"/>
    <x v="0"/>
    <x v="0"/>
    <x v="0"/>
    <n v="1100"/>
    <n v="1"/>
    <n v="1100"/>
    <n v="1100"/>
    <x v="0"/>
  </r>
  <r>
    <n v="30"/>
    <x v="29"/>
    <x v="0"/>
    <x v="2"/>
    <x v="0"/>
    <n v="900"/>
    <n v="1"/>
    <n v="900"/>
    <n v="900"/>
    <x v="1"/>
  </r>
  <r>
    <n v="31"/>
    <x v="30"/>
    <x v="0"/>
    <x v="2"/>
    <x v="0"/>
    <n v="900"/>
    <n v="1"/>
    <n v="900"/>
    <n v="900"/>
    <x v="2"/>
  </r>
  <r>
    <n v="32"/>
    <x v="31"/>
    <x v="0"/>
    <x v="2"/>
    <x v="0"/>
    <n v="900"/>
    <n v="1"/>
    <n v="900"/>
    <n v="900"/>
    <x v="3"/>
  </r>
  <r>
    <n v="33"/>
    <x v="32"/>
    <x v="0"/>
    <x v="2"/>
    <x v="0"/>
    <n v="900"/>
    <n v="1"/>
    <n v="900"/>
    <n v="900"/>
    <x v="4"/>
  </r>
  <r>
    <n v="34"/>
    <x v="33"/>
    <x v="0"/>
    <x v="2"/>
    <x v="0"/>
    <n v="900"/>
    <n v="1"/>
    <n v="900"/>
    <n v="900"/>
    <x v="5"/>
  </r>
  <r>
    <n v="35"/>
    <x v="34"/>
    <x v="0"/>
    <x v="1"/>
    <x v="0"/>
    <n v="900"/>
    <n v="1"/>
    <n v="900"/>
    <n v="765"/>
    <x v="6"/>
  </r>
  <r>
    <n v="36"/>
    <x v="35"/>
    <x v="0"/>
    <x v="1"/>
    <x v="0"/>
    <n v="900"/>
    <n v="1"/>
    <n v="900"/>
    <n v="765"/>
    <x v="0"/>
  </r>
  <r>
    <n v="37"/>
    <x v="36"/>
    <x v="0"/>
    <x v="1"/>
    <x v="0"/>
    <n v="900"/>
    <n v="1"/>
    <n v="900"/>
    <n v="765"/>
    <x v="1"/>
  </r>
  <r>
    <n v="38"/>
    <x v="37"/>
    <x v="0"/>
    <x v="0"/>
    <x v="0"/>
    <n v="1100"/>
    <n v="1"/>
    <n v="1100"/>
    <n v="1100"/>
    <x v="2"/>
  </r>
  <r>
    <n v="39"/>
    <x v="38"/>
    <x v="0"/>
    <x v="0"/>
    <x v="0"/>
    <n v="1100"/>
    <n v="1"/>
    <n v="1100"/>
    <n v="1100"/>
    <x v="3"/>
  </r>
  <r>
    <n v="40"/>
    <x v="39"/>
    <x v="0"/>
    <x v="3"/>
    <x v="0"/>
    <n v="1000"/>
    <n v="1"/>
    <n v="1000"/>
    <n v="1000"/>
    <x v="4"/>
  </r>
  <r>
    <n v="41"/>
    <x v="40"/>
    <x v="0"/>
    <x v="3"/>
    <x v="0"/>
    <n v="1000"/>
    <n v="1"/>
    <n v="1000"/>
    <n v="1000"/>
    <x v="5"/>
  </r>
  <r>
    <n v="42"/>
    <x v="41"/>
    <x v="0"/>
    <x v="0"/>
    <x v="0"/>
    <n v="1100"/>
    <n v="1"/>
    <n v="1100"/>
    <n v="1100"/>
    <x v="6"/>
  </r>
  <r>
    <n v="43"/>
    <x v="42"/>
    <x v="0"/>
    <x v="3"/>
    <x v="0"/>
    <n v="1000"/>
    <n v="1"/>
    <n v="1000"/>
    <n v="1000"/>
    <x v="0"/>
  </r>
  <r>
    <n v="44"/>
    <x v="43"/>
    <x v="0"/>
    <x v="1"/>
    <x v="0"/>
    <n v="900"/>
    <n v="1"/>
    <n v="900"/>
    <n v="765"/>
    <x v="1"/>
  </r>
  <r>
    <n v="45"/>
    <x v="44"/>
    <x v="0"/>
    <x v="1"/>
    <x v="0"/>
    <n v="900"/>
    <n v="2"/>
    <n v="1800"/>
    <n v="1530"/>
    <x v="2"/>
  </r>
  <r>
    <n v="46"/>
    <x v="45"/>
    <x v="0"/>
    <x v="0"/>
    <x v="0"/>
    <n v="1100"/>
    <n v="1"/>
    <n v="1100"/>
    <n v="1100"/>
    <x v="3"/>
  </r>
  <r>
    <n v="47"/>
    <x v="46"/>
    <x v="0"/>
    <x v="1"/>
    <x v="0"/>
    <n v="900"/>
    <n v="1"/>
    <n v="900"/>
    <n v="765"/>
    <x v="4"/>
  </r>
  <r>
    <n v="48"/>
    <x v="47"/>
    <x v="0"/>
    <x v="0"/>
    <x v="0"/>
    <n v="1100"/>
    <n v="1"/>
    <n v="1100"/>
    <n v="1100"/>
    <x v="5"/>
  </r>
  <r>
    <n v="49"/>
    <x v="48"/>
    <x v="0"/>
    <x v="4"/>
    <x v="1"/>
    <n v="800"/>
    <n v="1"/>
    <n v="800"/>
    <n v="800"/>
    <x v="6"/>
  </r>
  <r>
    <n v="50"/>
    <x v="49"/>
    <x v="0"/>
    <x v="4"/>
    <x v="1"/>
    <n v="800"/>
    <n v="2"/>
    <n v="1600"/>
    <n v="1600"/>
    <x v="0"/>
  </r>
  <r>
    <n v="51"/>
    <x v="50"/>
    <x v="0"/>
    <x v="2"/>
    <x v="0"/>
    <n v="900"/>
    <n v="1"/>
    <n v="900"/>
    <n v="900"/>
    <x v="1"/>
  </r>
  <r>
    <n v="52"/>
    <x v="51"/>
    <x v="0"/>
    <x v="0"/>
    <x v="0"/>
    <n v="1100"/>
    <n v="1"/>
    <n v="1100"/>
    <n v="1100"/>
    <x v="2"/>
  </r>
  <r>
    <n v="53"/>
    <x v="52"/>
    <x v="0"/>
    <x v="4"/>
    <x v="1"/>
    <n v="800"/>
    <n v="1"/>
    <n v="800"/>
    <n v="800"/>
    <x v="3"/>
  </r>
  <r>
    <n v="54"/>
    <x v="53"/>
    <x v="0"/>
    <x v="3"/>
    <x v="0"/>
    <n v="1000"/>
    <n v="1"/>
    <n v="1000"/>
    <n v="1000"/>
    <x v="4"/>
  </r>
  <r>
    <n v="55"/>
    <x v="54"/>
    <x v="0"/>
    <x v="4"/>
    <x v="1"/>
    <n v="800"/>
    <n v="1"/>
    <n v="800"/>
    <n v="800"/>
    <x v="5"/>
  </r>
  <r>
    <n v="56"/>
    <x v="55"/>
    <x v="0"/>
    <x v="5"/>
    <x v="1"/>
    <n v="600"/>
    <n v="1"/>
    <n v="600"/>
    <n v="600"/>
    <x v="6"/>
  </r>
  <r>
    <n v="57"/>
    <x v="56"/>
    <x v="0"/>
    <x v="1"/>
    <x v="0"/>
    <n v="900"/>
    <n v="1"/>
    <n v="900"/>
    <n v="765"/>
    <x v="0"/>
  </r>
  <r>
    <n v="58"/>
    <x v="57"/>
    <x v="0"/>
    <x v="0"/>
    <x v="0"/>
    <n v="1100"/>
    <n v="1"/>
    <n v="1100"/>
    <n v="1100"/>
    <x v="1"/>
  </r>
  <r>
    <n v="59"/>
    <x v="58"/>
    <x v="0"/>
    <x v="3"/>
    <x v="0"/>
    <n v="1000"/>
    <n v="1"/>
    <n v="1000"/>
    <n v="1000"/>
    <x v="2"/>
  </r>
  <r>
    <n v="60"/>
    <x v="59"/>
    <x v="0"/>
    <x v="1"/>
    <x v="0"/>
    <n v="900"/>
    <n v="1"/>
    <n v="900"/>
    <n v="765"/>
    <x v="3"/>
  </r>
  <r>
    <n v="61"/>
    <x v="60"/>
    <x v="0"/>
    <x v="0"/>
    <x v="0"/>
    <n v="1100"/>
    <n v="2"/>
    <n v="2200"/>
    <n v="2200"/>
    <x v="4"/>
  </r>
  <r>
    <n v="62"/>
    <x v="61"/>
    <x v="0"/>
    <x v="5"/>
    <x v="1"/>
    <n v="600"/>
    <n v="1"/>
    <n v="600"/>
    <n v="600"/>
    <x v="5"/>
  </r>
  <r>
    <n v="63"/>
    <x v="62"/>
    <x v="0"/>
    <x v="5"/>
    <x v="1"/>
    <n v="600"/>
    <n v="1"/>
    <n v="600"/>
    <n v="600"/>
    <x v="6"/>
  </r>
  <r>
    <n v="64"/>
    <x v="63"/>
    <x v="0"/>
    <x v="5"/>
    <x v="1"/>
    <n v="600"/>
    <n v="1"/>
    <n v="600"/>
    <n v="600"/>
    <x v="0"/>
  </r>
  <r>
    <n v="65"/>
    <x v="64"/>
    <x v="0"/>
    <x v="1"/>
    <x v="0"/>
    <n v="900"/>
    <n v="1"/>
    <n v="900"/>
    <n v="765"/>
    <x v="1"/>
  </r>
  <r>
    <n v="66"/>
    <x v="65"/>
    <x v="0"/>
    <x v="5"/>
    <x v="1"/>
    <n v="600"/>
    <n v="1"/>
    <n v="600"/>
    <n v="600"/>
    <x v="2"/>
  </r>
  <r>
    <n v="67"/>
    <x v="66"/>
    <x v="0"/>
    <x v="5"/>
    <x v="1"/>
    <n v="600"/>
    <n v="1"/>
    <n v="600"/>
    <n v="600"/>
    <x v="3"/>
  </r>
  <r>
    <n v="68"/>
    <x v="67"/>
    <x v="0"/>
    <x v="0"/>
    <x v="0"/>
    <n v="1100"/>
    <n v="1"/>
    <n v="1100"/>
    <n v="1100"/>
    <x v="4"/>
  </r>
  <r>
    <n v="69"/>
    <x v="68"/>
    <x v="0"/>
    <x v="2"/>
    <x v="0"/>
    <n v="900"/>
    <n v="3"/>
    <n v="2700"/>
    <n v="2700"/>
    <x v="5"/>
  </r>
  <r>
    <n v="70"/>
    <x v="69"/>
    <x v="0"/>
    <x v="0"/>
    <x v="0"/>
    <n v="1100"/>
    <n v="2"/>
    <n v="2200"/>
    <n v="2200"/>
    <x v="6"/>
  </r>
  <r>
    <n v="71"/>
    <x v="70"/>
    <x v="0"/>
    <x v="0"/>
    <x v="0"/>
    <n v="1100"/>
    <n v="1"/>
    <n v="1100"/>
    <n v="1100"/>
    <x v="0"/>
  </r>
  <r>
    <n v="72"/>
    <x v="71"/>
    <x v="0"/>
    <x v="5"/>
    <x v="1"/>
    <n v="600"/>
    <n v="1"/>
    <n v="600"/>
    <n v="600"/>
    <x v="1"/>
  </r>
  <r>
    <n v="73"/>
    <x v="72"/>
    <x v="0"/>
    <x v="1"/>
    <x v="0"/>
    <n v="900"/>
    <n v="1"/>
    <n v="900"/>
    <n v="765"/>
    <x v="2"/>
  </r>
  <r>
    <n v="74"/>
    <x v="73"/>
    <x v="0"/>
    <x v="5"/>
    <x v="1"/>
    <n v="600"/>
    <n v="1"/>
    <n v="600"/>
    <n v="600"/>
    <x v="3"/>
  </r>
  <r>
    <n v="75"/>
    <x v="74"/>
    <x v="0"/>
    <x v="5"/>
    <x v="1"/>
    <n v="600"/>
    <n v="1"/>
    <n v="600"/>
    <n v="600"/>
    <x v="4"/>
  </r>
  <r>
    <n v="76"/>
    <x v="75"/>
    <x v="0"/>
    <x v="1"/>
    <x v="0"/>
    <n v="900"/>
    <n v="3"/>
    <n v="2700"/>
    <n v="2295"/>
    <x v="5"/>
  </r>
  <r>
    <n v="77"/>
    <x v="76"/>
    <x v="0"/>
    <x v="5"/>
    <x v="1"/>
    <n v="600"/>
    <n v="1"/>
    <n v="600"/>
    <n v="600"/>
    <x v="6"/>
  </r>
  <r>
    <n v="78"/>
    <x v="77"/>
    <x v="0"/>
    <x v="4"/>
    <x v="1"/>
    <n v="800"/>
    <n v="1"/>
    <n v="800"/>
    <n v="800"/>
    <x v="0"/>
  </r>
  <r>
    <n v="79"/>
    <x v="78"/>
    <x v="0"/>
    <x v="5"/>
    <x v="1"/>
    <n v="600"/>
    <n v="1"/>
    <n v="600"/>
    <n v="600"/>
    <x v="1"/>
  </r>
  <r>
    <n v="80"/>
    <x v="79"/>
    <x v="0"/>
    <x v="0"/>
    <x v="0"/>
    <n v="1100"/>
    <n v="1"/>
    <n v="1100"/>
    <n v="1100"/>
    <x v="2"/>
  </r>
  <r>
    <n v="81"/>
    <x v="80"/>
    <x v="0"/>
    <x v="2"/>
    <x v="0"/>
    <n v="900"/>
    <n v="1"/>
    <n v="900"/>
    <n v="900"/>
    <x v="3"/>
  </r>
  <r>
    <n v="82"/>
    <x v="81"/>
    <x v="0"/>
    <x v="0"/>
    <x v="0"/>
    <n v="1100"/>
    <n v="1"/>
    <n v="1100"/>
    <n v="1100"/>
    <x v="4"/>
  </r>
  <r>
    <n v="83"/>
    <x v="82"/>
    <x v="0"/>
    <x v="0"/>
    <x v="0"/>
    <n v="1100"/>
    <n v="1"/>
    <n v="1100"/>
    <n v="1100"/>
    <x v="5"/>
  </r>
  <r>
    <n v="84"/>
    <x v="83"/>
    <x v="0"/>
    <x v="0"/>
    <x v="0"/>
    <n v="1100"/>
    <n v="1"/>
    <n v="1100"/>
    <n v="1100"/>
    <x v="6"/>
  </r>
  <r>
    <n v="85"/>
    <x v="84"/>
    <x v="0"/>
    <x v="3"/>
    <x v="0"/>
    <n v="1000"/>
    <n v="1"/>
    <n v="1000"/>
    <n v="1000"/>
    <x v="0"/>
  </r>
  <r>
    <n v="86"/>
    <x v="85"/>
    <x v="0"/>
    <x v="5"/>
    <x v="1"/>
    <n v="600"/>
    <n v="1"/>
    <n v="600"/>
    <n v="600"/>
    <x v="1"/>
  </r>
  <r>
    <n v="87"/>
    <x v="86"/>
    <x v="0"/>
    <x v="4"/>
    <x v="1"/>
    <n v="800"/>
    <n v="1"/>
    <n v="800"/>
    <n v="800"/>
    <x v="2"/>
  </r>
  <r>
    <n v="88"/>
    <x v="87"/>
    <x v="0"/>
    <x v="0"/>
    <x v="0"/>
    <n v="1100"/>
    <n v="1"/>
    <n v="1100"/>
    <n v="1100"/>
    <x v="3"/>
  </r>
  <r>
    <n v="89"/>
    <x v="88"/>
    <x v="0"/>
    <x v="5"/>
    <x v="1"/>
    <n v="600"/>
    <n v="1"/>
    <n v="600"/>
    <n v="600"/>
    <x v="4"/>
  </r>
  <r>
    <n v="90"/>
    <x v="89"/>
    <x v="0"/>
    <x v="6"/>
    <x v="2"/>
    <n v="850"/>
    <n v="1"/>
    <n v="850"/>
    <n v="850"/>
    <x v="5"/>
  </r>
  <r>
    <n v="91"/>
    <x v="90"/>
    <x v="0"/>
    <x v="2"/>
    <x v="0"/>
    <n v="900"/>
    <n v="1"/>
    <n v="900"/>
    <n v="900"/>
    <x v="6"/>
  </r>
  <r>
    <n v="92"/>
    <x v="91"/>
    <x v="0"/>
    <x v="3"/>
    <x v="0"/>
    <n v="1000"/>
    <n v="1"/>
    <n v="1000"/>
    <n v="1000"/>
    <x v="0"/>
  </r>
  <r>
    <n v="93"/>
    <x v="92"/>
    <x v="0"/>
    <x v="6"/>
    <x v="2"/>
    <n v="850"/>
    <n v="1"/>
    <n v="850"/>
    <n v="850"/>
    <x v="1"/>
  </r>
  <r>
    <n v="94"/>
    <x v="93"/>
    <x v="0"/>
    <x v="6"/>
    <x v="2"/>
    <n v="850"/>
    <n v="1"/>
    <n v="850"/>
    <n v="850"/>
    <x v="2"/>
  </r>
  <r>
    <n v="95"/>
    <x v="94"/>
    <x v="0"/>
    <x v="3"/>
    <x v="0"/>
    <n v="1000"/>
    <n v="1"/>
    <n v="1000"/>
    <n v="1000"/>
    <x v="3"/>
  </r>
  <r>
    <n v="96"/>
    <x v="95"/>
    <x v="0"/>
    <x v="4"/>
    <x v="1"/>
    <n v="800"/>
    <n v="1"/>
    <n v="800"/>
    <n v="800"/>
    <x v="4"/>
  </r>
  <r>
    <n v="97"/>
    <x v="96"/>
    <x v="0"/>
    <x v="5"/>
    <x v="1"/>
    <n v="600"/>
    <n v="1"/>
    <n v="600"/>
    <n v="600"/>
    <x v="5"/>
  </r>
  <r>
    <n v="98"/>
    <x v="97"/>
    <x v="0"/>
    <x v="4"/>
    <x v="1"/>
    <n v="800"/>
    <n v="1"/>
    <n v="800"/>
    <n v="800"/>
    <x v="6"/>
  </r>
  <r>
    <n v="99"/>
    <x v="98"/>
    <x v="0"/>
    <x v="0"/>
    <x v="0"/>
    <n v="1100"/>
    <n v="1"/>
    <n v="1100"/>
    <n v="1100"/>
    <x v="0"/>
  </r>
  <r>
    <n v="100"/>
    <x v="99"/>
    <x v="0"/>
    <x v="6"/>
    <x v="2"/>
    <n v="850"/>
    <n v="1"/>
    <n v="850"/>
    <n v="850"/>
    <x v="1"/>
  </r>
  <r>
    <n v="101"/>
    <x v="100"/>
    <x v="0"/>
    <x v="6"/>
    <x v="2"/>
    <n v="850"/>
    <n v="1"/>
    <n v="850"/>
    <n v="850"/>
    <x v="2"/>
  </r>
  <r>
    <n v="102"/>
    <x v="101"/>
    <x v="0"/>
    <x v="6"/>
    <x v="2"/>
    <n v="850"/>
    <n v="1"/>
    <n v="850"/>
    <n v="850"/>
    <x v="3"/>
  </r>
  <r>
    <n v="103"/>
    <x v="102"/>
    <x v="0"/>
    <x v="5"/>
    <x v="1"/>
    <n v="600"/>
    <n v="1"/>
    <n v="600"/>
    <n v="600"/>
    <x v="4"/>
  </r>
  <r>
    <n v="104"/>
    <x v="103"/>
    <x v="0"/>
    <x v="6"/>
    <x v="2"/>
    <n v="850"/>
    <n v="1"/>
    <n v="850"/>
    <n v="850"/>
    <x v="5"/>
  </r>
  <r>
    <n v="105"/>
    <x v="104"/>
    <x v="0"/>
    <x v="6"/>
    <x v="2"/>
    <n v="850"/>
    <n v="1"/>
    <n v="850"/>
    <n v="850"/>
    <x v="6"/>
  </r>
  <r>
    <n v="106"/>
    <x v="105"/>
    <x v="0"/>
    <x v="0"/>
    <x v="0"/>
    <n v="1100"/>
    <n v="1"/>
    <n v="1100"/>
    <n v="1100"/>
    <x v="0"/>
  </r>
  <r>
    <n v="107"/>
    <x v="106"/>
    <x v="0"/>
    <x v="3"/>
    <x v="0"/>
    <n v="1000"/>
    <n v="1"/>
    <n v="1000"/>
    <n v="1000"/>
    <x v="1"/>
  </r>
  <r>
    <n v="108"/>
    <x v="107"/>
    <x v="0"/>
    <x v="0"/>
    <x v="0"/>
    <n v="1100"/>
    <n v="1"/>
    <n v="1100"/>
    <n v="1100"/>
    <x v="2"/>
  </r>
  <r>
    <n v="109"/>
    <x v="108"/>
    <x v="0"/>
    <x v="5"/>
    <x v="1"/>
    <n v="600"/>
    <n v="1"/>
    <n v="600"/>
    <n v="600"/>
    <x v="3"/>
  </r>
  <r>
    <n v="110"/>
    <x v="109"/>
    <x v="0"/>
    <x v="5"/>
    <x v="1"/>
    <n v="600"/>
    <n v="2"/>
    <n v="1200"/>
    <n v="1200"/>
    <x v="4"/>
  </r>
  <r>
    <n v="111"/>
    <x v="110"/>
    <x v="0"/>
    <x v="5"/>
    <x v="1"/>
    <n v="600"/>
    <n v="1"/>
    <n v="600"/>
    <n v="600"/>
    <x v="5"/>
  </r>
  <r>
    <n v="112"/>
    <x v="111"/>
    <x v="0"/>
    <x v="5"/>
    <x v="1"/>
    <n v="600"/>
    <n v="1"/>
    <n v="600"/>
    <n v="600"/>
    <x v="6"/>
  </r>
  <r>
    <n v="113"/>
    <x v="112"/>
    <x v="0"/>
    <x v="0"/>
    <x v="0"/>
    <n v="1100"/>
    <n v="1"/>
    <n v="1100"/>
    <n v="1100"/>
    <x v="0"/>
  </r>
  <r>
    <n v="114"/>
    <x v="113"/>
    <x v="0"/>
    <x v="2"/>
    <x v="0"/>
    <n v="900"/>
    <n v="1"/>
    <n v="900"/>
    <n v="900"/>
    <x v="1"/>
  </r>
  <r>
    <n v="115"/>
    <x v="114"/>
    <x v="0"/>
    <x v="5"/>
    <x v="1"/>
    <n v="600"/>
    <n v="1"/>
    <n v="600"/>
    <n v="600"/>
    <x v="2"/>
  </r>
  <r>
    <n v="116"/>
    <x v="115"/>
    <x v="0"/>
    <x v="2"/>
    <x v="0"/>
    <n v="900"/>
    <n v="1"/>
    <n v="900"/>
    <n v="900"/>
    <x v="3"/>
  </r>
  <r>
    <n v="117"/>
    <x v="116"/>
    <x v="0"/>
    <x v="1"/>
    <x v="0"/>
    <n v="900"/>
    <n v="1"/>
    <n v="900"/>
    <n v="765"/>
    <x v="4"/>
  </r>
  <r>
    <n v="118"/>
    <x v="117"/>
    <x v="0"/>
    <x v="5"/>
    <x v="1"/>
    <n v="600"/>
    <n v="1"/>
    <n v="600"/>
    <n v="600"/>
    <x v="5"/>
  </r>
  <r>
    <n v="119"/>
    <x v="118"/>
    <x v="0"/>
    <x v="5"/>
    <x v="1"/>
    <n v="600"/>
    <n v="1"/>
    <n v="600"/>
    <n v="600"/>
    <x v="6"/>
  </r>
  <r>
    <n v="120"/>
    <x v="119"/>
    <x v="0"/>
    <x v="5"/>
    <x v="1"/>
    <n v="600"/>
    <n v="1"/>
    <n v="600"/>
    <n v="600"/>
    <x v="0"/>
  </r>
  <r>
    <n v="121"/>
    <x v="120"/>
    <x v="0"/>
    <x v="0"/>
    <x v="0"/>
    <n v="1100"/>
    <n v="1"/>
    <n v="1100"/>
    <n v="1100"/>
    <x v="1"/>
  </r>
  <r>
    <n v="122"/>
    <x v="121"/>
    <x v="0"/>
    <x v="5"/>
    <x v="1"/>
    <n v="600"/>
    <n v="1"/>
    <n v="600"/>
    <n v="600"/>
    <x v="2"/>
  </r>
  <r>
    <n v="123"/>
    <x v="122"/>
    <x v="0"/>
    <x v="5"/>
    <x v="1"/>
    <n v="600"/>
    <n v="1"/>
    <n v="600"/>
    <n v="600"/>
    <x v="3"/>
  </r>
  <r>
    <n v="124"/>
    <x v="123"/>
    <x v="0"/>
    <x v="5"/>
    <x v="1"/>
    <n v="600"/>
    <n v="1"/>
    <n v="600"/>
    <n v="600"/>
    <x v="4"/>
  </r>
  <r>
    <n v="125"/>
    <x v="124"/>
    <x v="0"/>
    <x v="1"/>
    <x v="0"/>
    <n v="900"/>
    <n v="1"/>
    <n v="900"/>
    <n v="765"/>
    <x v="5"/>
  </r>
  <r>
    <n v="126"/>
    <x v="125"/>
    <x v="0"/>
    <x v="5"/>
    <x v="1"/>
    <n v="600"/>
    <n v="1"/>
    <n v="600"/>
    <n v="600"/>
    <x v="6"/>
  </r>
  <r>
    <n v="127"/>
    <x v="126"/>
    <x v="0"/>
    <x v="2"/>
    <x v="0"/>
    <n v="900"/>
    <n v="1"/>
    <n v="900"/>
    <n v="900"/>
    <x v="0"/>
  </r>
  <r>
    <n v="128"/>
    <x v="127"/>
    <x v="0"/>
    <x v="7"/>
    <x v="2"/>
    <n v="1200"/>
    <n v="1"/>
    <n v="1200"/>
    <n v="1200"/>
    <x v="1"/>
  </r>
  <r>
    <n v="129"/>
    <x v="128"/>
    <x v="0"/>
    <x v="0"/>
    <x v="0"/>
    <n v="1100"/>
    <n v="1"/>
    <n v="1100"/>
    <n v="1100"/>
    <x v="2"/>
  </r>
  <r>
    <n v="130"/>
    <x v="129"/>
    <x v="0"/>
    <x v="0"/>
    <x v="0"/>
    <n v="1100"/>
    <n v="1"/>
    <n v="1100"/>
    <n v="1100"/>
    <x v="3"/>
  </r>
  <r>
    <n v="131"/>
    <x v="130"/>
    <x v="0"/>
    <x v="5"/>
    <x v="1"/>
    <n v="600"/>
    <n v="1"/>
    <n v="600"/>
    <n v="600"/>
    <x v="4"/>
  </r>
  <r>
    <n v="132"/>
    <x v="131"/>
    <x v="0"/>
    <x v="5"/>
    <x v="1"/>
    <n v="600"/>
    <n v="2"/>
    <n v="1200"/>
    <n v="1200"/>
    <x v="5"/>
  </r>
  <r>
    <n v="133"/>
    <x v="132"/>
    <x v="0"/>
    <x v="7"/>
    <x v="2"/>
    <n v="1200"/>
    <n v="1"/>
    <n v="1200"/>
    <n v="1200"/>
    <x v="6"/>
  </r>
  <r>
    <n v="134"/>
    <x v="133"/>
    <x v="0"/>
    <x v="7"/>
    <x v="2"/>
    <n v="1200"/>
    <n v="1"/>
    <n v="1200"/>
    <n v="1200"/>
    <x v="0"/>
  </r>
  <r>
    <n v="135"/>
    <x v="134"/>
    <x v="0"/>
    <x v="3"/>
    <x v="0"/>
    <n v="1000"/>
    <n v="1"/>
    <n v="1000"/>
    <n v="1000"/>
    <x v="1"/>
  </r>
  <r>
    <n v="136"/>
    <x v="135"/>
    <x v="0"/>
    <x v="4"/>
    <x v="1"/>
    <n v="800"/>
    <n v="2"/>
    <n v="1600"/>
    <n v="1600"/>
    <x v="2"/>
  </r>
  <r>
    <n v="137"/>
    <x v="136"/>
    <x v="0"/>
    <x v="7"/>
    <x v="2"/>
    <n v="1200"/>
    <n v="1"/>
    <n v="1200"/>
    <n v="1200"/>
    <x v="3"/>
  </r>
  <r>
    <n v="138"/>
    <x v="137"/>
    <x v="0"/>
    <x v="2"/>
    <x v="0"/>
    <n v="900"/>
    <n v="1"/>
    <n v="900"/>
    <n v="900"/>
    <x v="4"/>
  </r>
  <r>
    <n v="139"/>
    <x v="138"/>
    <x v="0"/>
    <x v="3"/>
    <x v="0"/>
    <n v="1000"/>
    <n v="1"/>
    <n v="1000"/>
    <n v="1000"/>
    <x v="5"/>
  </r>
  <r>
    <n v="140"/>
    <x v="139"/>
    <x v="0"/>
    <x v="4"/>
    <x v="1"/>
    <n v="800"/>
    <n v="1"/>
    <n v="800"/>
    <n v="800"/>
    <x v="6"/>
  </r>
  <r>
    <n v="141"/>
    <x v="140"/>
    <x v="0"/>
    <x v="7"/>
    <x v="2"/>
    <n v="1200"/>
    <n v="1"/>
    <n v="1200"/>
    <n v="1200"/>
    <x v="0"/>
  </r>
  <r>
    <n v="142"/>
    <x v="141"/>
    <x v="0"/>
    <x v="7"/>
    <x v="2"/>
    <n v="1200"/>
    <n v="1"/>
    <n v="1200"/>
    <n v="1200"/>
    <x v="1"/>
  </r>
  <r>
    <n v="143"/>
    <x v="142"/>
    <x v="0"/>
    <x v="4"/>
    <x v="1"/>
    <n v="800"/>
    <n v="2"/>
    <n v="1600"/>
    <n v="1600"/>
    <x v="2"/>
  </r>
  <r>
    <n v="144"/>
    <x v="143"/>
    <x v="0"/>
    <x v="1"/>
    <x v="0"/>
    <n v="900"/>
    <n v="1"/>
    <n v="900"/>
    <n v="765"/>
    <x v="3"/>
  </r>
  <r>
    <n v="145"/>
    <x v="144"/>
    <x v="0"/>
    <x v="3"/>
    <x v="0"/>
    <n v="1000"/>
    <n v="1"/>
    <n v="1000"/>
    <n v="1000"/>
    <x v="4"/>
  </r>
  <r>
    <n v="146"/>
    <x v="145"/>
    <x v="0"/>
    <x v="3"/>
    <x v="0"/>
    <n v="1000"/>
    <n v="1"/>
    <n v="1000"/>
    <n v="1000"/>
    <x v="5"/>
  </r>
  <r>
    <n v="147"/>
    <x v="146"/>
    <x v="0"/>
    <x v="5"/>
    <x v="1"/>
    <n v="600"/>
    <n v="1"/>
    <n v="600"/>
    <n v="600"/>
    <x v="6"/>
  </r>
  <r>
    <n v="148"/>
    <x v="147"/>
    <x v="0"/>
    <x v="6"/>
    <x v="2"/>
    <n v="850"/>
    <n v="1"/>
    <n v="850"/>
    <n v="850"/>
    <x v="0"/>
  </r>
  <r>
    <n v="149"/>
    <x v="148"/>
    <x v="0"/>
    <x v="5"/>
    <x v="1"/>
    <n v="600"/>
    <n v="1"/>
    <n v="600"/>
    <n v="600"/>
    <x v="1"/>
  </r>
  <r>
    <n v="150"/>
    <x v="149"/>
    <x v="0"/>
    <x v="6"/>
    <x v="2"/>
    <n v="850"/>
    <n v="1"/>
    <n v="850"/>
    <n v="850"/>
    <x v="2"/>
  </r>
  <r>
    <n v="151"/>
    <x v="150"/>
    <x v="0"/>
    <x v="6"/>
    <x v="2"/>
    <n v="850"/>
    <n v="1"/>
    <n v="850"/>
    <n v="850"/>
    <x v="3"/>
  </r>
  <r>
    <n v="152"/>
    <x v="151"/>
    <x v="0"/>
    <x v="1"/>
    <x v="0"/>
    <n v="900"/>
    <n v="1"/>
    <n v="900"/>
    <n v="765"/>
    <x v="4"/>
  </r>
  <r>
    <n v="153"/>
    <x v="152"/>
    <x v="0"/>
    <x v="7"/>
    <x v="2"/>
    <n v="1200"/>
    <n v="2"/>
    <n v="2400"/>
    <n v="2400"/>
    <x v="5"/>
  </r>
  <r>
    <n v="154"/>
    <x v="153"/>
    <x v="0"/>
    <x v="4"/>
    <x v="1"/>
    <n v="800"/>
    <n v="1"/>
    <n v="800"/>
    <n v="800"/>
    <x v="6"/>
  </r>
  <r>
    <n v="155"/>
    <x v="154"/>
    <x v="0"/>
    <x v="4"/>
    <x v="1"/>
    <n v="800"/>
    <n v="1"/>
    <n v="800"/>
    <n v="800"/>
    <x v="0"/>
  </r>
  <r>
    <n v="156"/>
    <x v="155"/>
    <x v="0"/>
    <x v="2"/>
    <x v="0"/>
    <n v="900"/>
    <n v="1"/>
    <n v="900"/>
    <n v="900"/>
    <x v="1"/>
  </r>
  <r>
    <n v="157"/>
    <x v="156"/>
    <x v="0"/>
    <x v="4"/>
    <x v="1"/>
    <n v="800"/>
    <n v="1"/>
    <n v="800"/>
    <n v="800"/>
    <x v="2"/>
  </r>
  <r>
    <n v="158"/>
    <x v="157"/>
    <x v="0"/>
    <x v="5"/>
    <x v="1"/>
    <n v="600"/>
    <n v="1"/>
    <n v="600"/>
    <n v="600"/>
    <x v="3"/>
  </r>
  <r>
    <n v="159"/>
    <x v="158"/>
    <x v="0"/>
    <x v="1"/>
    <x v="0"/>
    <n v="900"/>
    <n v="3"/>
    <n v="2700"/>
    <n v="2295"/>
    <x v="4"/>
  </r>
  <r>
    <n v="160"/>
    <x v="159"/>
    <x v="0"/>
    <x v="5"/>
    <x v="1"/>
    <n v="600"/>
    <n v="1"/>
    <n v="600"/>
    <n v="600"/>
    <x v="5"/>
  </r>
  <r>
    <n v="161"/>
    <x v="160"/>
    <x v="0"/>
    <x v="4"/>
    <x v="1"/>
    <n v="800"/>
    <n v="1"/>
    <n v="800"/>
    <n v="800"/>
    <x v="6"/>
  </r>
  <r>
    <n v="162"/>
    <x v="161"/>
    <x v="0"/>
    <x v="5"/>
    <x v="1"/>
    <n v="600"/>
    <n v="1"/>
    <n v="600"/>
    <n v="600"/>
    <x v="0"/>
  </r>
  <r>
    <n v="163"/>
    <x v="162"/>
    <x v="0"/>
    <x v="0"/>
    <x v="0"/>
    <n v="1100"/>
    <n v="1"/>
    <n v="1100"/>
    <n v="1100"/>
    <x v="1"/>
  </r>
  <r>
    <n v="164"/>
    <x v="163"/>
    <x v="0"/>
    <x v="2"/>
    <x v="0"/>
    <n v="900"/>
    <n v="1"/>
    <n v="900"/>
    <n v="900"/>
    <x v="2"/>
  </r>
  <r>
    <n v="165"/>
    <x v="164"/>
    <x v="0"/>
    <x v="0"/>
    <x v="0"/>
    <n v="1100"/>
    <n v="1"/>
    <n v="1100"/>
    <n v="1100"/>
    <x v="3"/>
  </r>
  <r>
    <n v="166"/>
    <x v="165"/>
    <x v="0"/>
    <x v="0"/>
    <x v="0"/>
    <n v="1100"/>
    <n v="1"/>
    <n v="1100"/>
    <n v="1100"/>
    <x v="4"/>
  </r>
  <r>
    <n v="167"/>
    <x v="166"/>
    <x v="0"/>
    <x v="7"/>
    <x v="2"/>
    <n v="1200"/>
    <n v="1"/>
    <n v="1200"/>
    <n v="1200"/>
    <x v="5"/>
  </r>
  <r>
    <n v="168"/>
    <x v="167"/>
    <x v="0"/>
    <x v="7"/>
    <x v="2"/>
    <n v="1200"/>
    <n v="1"/>
    <n v="1200"/>
    <n v="1200"/>
    <x v="6"/>
  </r>
  <r>
    <n v="169"/>
    <x v="168"/>
    <x v="0"/>
    <x v="0"/>
    <x v="0"/>
    <n v="1100"/>
    <n v="1"/>
    <n v="1100"/>
    <n v="1100"/>
    <x v="0"/>
  </r>
  <r>
    <n v="170"/>
    <x v="169"/>
    <x v="0"/>
    <x v="0"/>
    <x v="0"/>
    <n v="1100"/>
    <n v="1"/>
    <n v="1100"/>
    <n v="1100"/>
    <x v="1"/>
  </r>
  <r>
    <n v="171"/>
    <x v="170"/>
    <x v="0"/>
    <x v="8"/>
    <x v="3"/>
    <n v="900"/>
    <n v="1"/>
    <n v="900"/>
    <n v="900"/>
    <x v="2"/>
  </r>
  <r>
    <n v="172"/>
    <x v="171"/>
    <x v="0"/>
    <x v="2"/>
    <x v="0"/>
    <n v="900"/>
    <n v="1"/>
    <n v="900"/>
    <n v="900"/>
    <x v="3"/>
  </r>
  <r>
    <n v="173"/>
    <x v="172"/>
    <x v="0"/>
    <x v="8"/>
    <x v="3"/>
    <n v="800"/>
    <n v="1"/>
    <n v="800"/>
    <n v="800"/>
    <x v="4"/>
  </r>
  <r>
    <n v="174"/>
    <x v="173"/>
    <x v="0"/>
    <x v="5"/>
    <x v="1"/>
    <n v="600"/>
    <n v="1"/>
    <n v="600"/>
    <n v="600"/>
    <x v="5"/>
  </r>
  <r>
    <n v="175"/>
    <x v="174"/>
    <x v="0"/>
    <x v="8"/>
    <x v="3"/>
    <n v="800"/>
    <n v="1"/>
    <n v="800"/>
    <n v="800"/>
    <x v="6"/>
  </r>
  <r>
    <n v="176"/>
    <x v="175"/>
    <x v="0"/>
    <x v="2"/>
    <x v="0"/>
    <n v="900"/>
    <n v="1"/>
    <n v="900"/>
    <n v="900"/>
    <x v="0"/>
  </r>
  <r>
    <n v="177"/>
    <x v="176"/>
    <x v="0"/>
    <x v="7"/>
    <x v="2"/>
    <n v="1200"/>
    <n v="1"/>
    <n v="1200"/>
    <n v="1200"/>
    <x v="1"/>
  </r>
  <r>
    <n v="178"/>
    <x v="177"/>
    <x v="0"/>
    <x v="8"/>
    <x v="3"/>
    <n v="800"/>
    <n v="1"/>
    <n v="800"/>
    <n v="800"/>
    <x v="2"/>
  </r>
  <r>
    <n v="179"/>
    <x v="178"/>
    <x v="0"/>
    <x v="1"/>
    <x v="0"/>
    <n v="900"/>
    <n v="1"/>
    <n v="900"/>
    <n v="765"/>
    <x v="3"/>
  </r>
  <r>
    <n v="180"/>
    <x v="179"/>
    <x v="0"/>
    <x v="7"/>
    <x v="2"/>
    <n v="1200"/>
    <n v="1"/>
    <n v="1200"/>
    <n v="1200"/>
    <x v="4"/>
  </r>
  <r>
    <n v="181"/>
    <x v="180"/>
    <x v="0"/>
    <x v="0"/>
    <x v="0"/>
    <n v="1100"/>
    <n v="1"/>
    <n v="1100"/>
    <n v="1100"/>
    <x v="5"/>
  </r>
  <r>
    <n v="182"/>
    <x v="181"/>
    <x v="0"/>
    <x v="7"/>
    <x v="2"/>
    <n v="1200"/>
    <n v="1"/>
    <n v="1200"/>
    <n v="1200"/>
    <x v="6"/>
  </r>
  <r>
    <n v="183"/>
    <x v="182"/>
    <x v="0"/>
    <x v="2"/>
    <x v="0"/>
    <n v="900"/>
    <n v="1"/>
    <n v="900"/>
    <n v="900"/>
    <x v="0"/>
  </r>
  <r>
    <n v="184"/>
    <x v="183"/>
    <x v="0"/>
    <x v="0"/>
    <x v="0"/>
    <n v="1100"/>
    <n v="2"/>
    <n v="2200"/>
    <n v="2200"/>
    <x v="1"/>
  </r>
  <r>
    <n v="185"/>
    <x v="184"/>
    <x v="0"/>
    <x v="7"/>
    <x v="2"/>
    <n v="1200"/>
    <n v="1"/>
    <n v="1200"/>
    <n v="1200"/>
    <x v="2"/>
  </r>
  <r>
    <n v="186"/>
    <x v="185"/>
    <x v="0"/>
    <x v="0"/>
    <x v="0"/>
    <n v="1100"/>
    <n v="1"/>
    <n v="1100"/>
    <n v="1100"/>
    <x v="3"/>
  </r>
  <r>
    <n v="187"/>
    <x v="186"/>
    <x v="0"/>
    <x v="1"/>
    <x v="0"/>
    <n v="900"/>
    <n v="1"/>
    <n v="900"/>
    <n v="765"/>
    <x v="4"/>
  </r>
  <r>
    <n v="188"/>
    <x v="187"/>
    <x v="0"/>
    <x v="5"/>
    <x v="1"/>
    <n v="600"/>
    <n v="1"/>
    <n v="600"/>
    <n v="600"/>
    <x v="5"/>
  </r>
  <r>
    <n v="189"/>
    <x v="188"/>
    <x v="0"/>
    <x v="8"/>
    <x v="3"/>
    <n v="900"/>
    <n v="1"/>
    <n v="900"/>
    <n v="900"/>
    <x v="6"/>
  </r>
  <r>
    <n v="190"/>
    <x v="189"/>
    <x v="0"/>
    <x v="4"/>
    <x v="1"/>
    <n v="800"/>
    <n v="1"/>
    <n v="800"/>
    <n v="800"/>
    <x v="0"/>
  </r>
  <r>
    <n v="191"/>
    <x v="190"/>
    <x v="0"/>
    <x v="0"/>
    <x v="0"/>
    <n v="1100"/>
    <n v="1"/>
    <n v="1100"/>
    <n v="1100"/>
    <x v="1"/>
  </r>
  <r>
    <n v="192"/>
    <x v="191"/>
    <x v="0"/>
    <x v="2"/>
    <x v="0"/>
    <n v="900"/>
    <n v="1"/>
    <n v="900"/>
    <n v="900"/>
    <x v="2"/>
  </r>
  <r>
    <n v="193"/>
    <x v="192"/>
    <x v="0"/>
    <x v="3"/>
    <x v="0"/>
    <n v="1000"/>
    <n v="1"/>
    <n v="1000"/>
    <n v="1000"/>
    <x v="3"/>
  </r>
  <r>
    <n v="194"/>
    <x v="193"/>
    <x v="0"/>
    <x v="6"/>
    <x v="2"/>
    <n v="850"/>
    <n v="1"/>
    <n v="850"/>
    <n v="850"/>
    <x v="4"/>
  </r>
  <r>
    <n v="195"/>
    <x v="194"/>
    <x v="0"/>
    <x v="5"/>
    <x v="1"/>
    <n v="600"/>
    <n v="1"/>
    <n v="600"/>
    <n v="600"/>
    <x v="5"/>
  </r>
  <r>
    <n v="196"/>
    <x v="195"/>
    <x v="0"/>
    <x v="2"/>
    <x v="0"/>
    <n v="900"/>
    <n v="1"/>
    <n v="900"/>
    <n v="900"/>
    <x v="6"/>
  </r>
  <r>
    <n v="197"/>
    <x v="196"/>
    <x v="0"/>
    <x v="3"/>
    <x v="0"/>
    <n v="1000"/>
    <n v="1"/>
    <n v="1000"/>
    <n v="1000"/>
    <x v="0"/>
  </r>
  <r>
    <n v="198"/>
    <x v="197"/>
    <x v="0"/>
    <x v="2"/>
    <x v="0"/>
    <n v="900"/>
    <n v="1"/>
    <n v="900"/>
    <n v="900"/>
    <x v="1"/>
  </r>
  <r>
    <n v="199"/>
    <x v="198"/>
    <x v="0"/>
    <x v="1"/>
    <x v="0"/>
    <n v="900"/>
    <n v="1"/>
    <n v="900"/>
    <n v="765"/>
    <x v="2"/>
  </r>
  <r>
    <n v="200"/>
    <x v="199"/>
    <x v="0"/>
    <x v="5"/>
    <x v="1"/>
    <n v="600"/>
    <n v="1"/>
    <n v="600"/>
    <n v="600"/>
    <x v="3"/>
  </r>
  <r>
    <n v="201"/>
    <x v="200"/>
    <x v="0"/>
    <x v="8"/>
    <x v="3"/>
    <n v="900"/>
    <n v="1"/>
    <n v="900"/>
    <n v="900"/>
    <x v="4"/>
  </r>
  <r>
    <n v="202"/>
    <x v="201"/>
    <x v="0"/>
    <x v="8"/>
    <x v="3"/>
    <n v="800"/>
    <n v="1"/>
    <n v="800"/>
    <n v="800"/>
    <x v="5"/>
  </r>
  <r>
    <n v="203"/>
    <x v="202"/>
    <x v="0"/>
    <x v="4"/>
    <x v="1"/>
    <n v="800"/>
    <n v="1"/>
    <n v="800"/>
    <n v="800"/>
    <x v="6"/>
  </r>
  <r>
    <n v="204"/>
    <x v="203"/>
    <x v="0"/>
    <x v="5"/>
    <x v="1"/>
    <n v="600"/>
    <n v="1"/>
    <n v="600"/>
    <n v="600"/>
    <x v="0"/>
  </r>
  <r>
    <n v="205"/>
    <x v="204"/>
    <x v="0"/>
    <x v="8"/>
    <x v="3"/>
    <n v="500"/>
    <n v="1"/>
    <n v="500"/>
    <n v="500"/>
    <x v="1"/>
  </r>
  <r>
    <n v="206"/>
    <x v="205"/>
    <x v="0"/>
    <x v="2"/>
    <x v="0"/>
    <n v="900"/>
    <n v="1"/>
    <n v="900"/>
    <n v="900"/>
    <x v="2"/>
  </r>
  <r>
    <n v="207"/>
    <x v="206"/>
    <x v="0"/>
    <x v="0"/>
    <x v="0"/>
    <n v="1100"/>
    <n v="1"/>
    <n v="1100"/>
    <n v="1100"/>
    <x v="3"/>
  </r>
  <r>
    <n v="208"/>
    <x v="207"/>
    <x v="0"/>
    <x v="8"/>
    <x v="3"/>
    <n v="500"/>
    <n v="1"/>
    <n v="500"/>
    <n v="500"/>
    <x v="4"/>
  </r>
  <r>
    <n v="209"/>
    <x v="208"/>
    <x v="0"/>
    <x v="5"/>
    <x v="1"/>
    <n v="600"/>
    <n v="1"/>
    <n v="600"/>
    <n v="600"/>
    <x v="5"/>
  </r>
  <r>
    <n v="210"/>
    <x v="209"/>
    <x v="0"/>
    <x v="2"/>
    <x v="0"/>
    <n v="900"/>
    <n v="1"/>
    <n v="900"/>
    <n v="900"/>
    <x v="6"/>
  </r>
  <r>
    <n v="211"/>
    <x v="210"/>
    <x v="0"/>
    <x v="8"/>
    <x v="3"/>
    <n v="500"/>
    <n v="1"/>
    <n v="500"/>
    <n v="500"/>
    <x v="0"/>
  </r>
  <r>
    <n v="212"/>
    <x v="211"/>
    <x v="0"/>
    <x v="8"/>
    <x v="3"/>
    <n v="500"/>
    <n v="1"/>
    <n v="500"/>
    <n v="500"/>
    <x v="1"/>
  </r>
  <r>
    <n v="213"/>
    <x v="212"/>
    <x v="0"/>
    <x v="5"/>
    <x v="1"/>
    <n v="600"/>
    <n v="1"/>
    <n v="600"/>
    <n v="600"/>
    <x v="2"/>
  </r>
  <r>
    <n v="214"/>
    <x v="213"/>
    <x v="0"/>
    <x v="5"/>
    <x v="1"/>
    <n v="600"/>
    <n v="1"/>
    <n v="600"/>
    <n v="600"/>
    <x v="3"/>
  </r>
  <r>
    <n v="215"/>
    <x v="214"/>
    <x v="0"/>
    <x v="4"/>
    <x v="1"/>
    <n v="800"/>
    <n v="1"/>
    <n v="800"/>
    <n v="800"/>
    <x v="4"/>
  </r>
  <r>
    <n v="216"/>
    <x v="215"/>
    <x v="0"/>
    <x v="6"/>
    <x v="2"/>
    <n v="850"/>
    <n v="1"/>
    <n v="850"/>
    <n v="850"/>
    <x v="5"/>
  </r>
  <r>
    <n v="217"/>
    <x v="216"/>
    <x v="0"/>
    <x v="8"/>
    <x v="3"/>
    <n v="500"/>
    <n v="1"/>
    <n v="500"/>
    <n v="500"/>
    <x v="6"/>
  </r>
  <r>
    <n v="218"/>
    <x v="217"/>
    <x v="0"/>
    <x v="8"/>
    <x v="3"/>
    <n v="500"/>
    <n v="1"/>
    <n v="500"/>
    <n v="500"/>
    <x v="0"/>
  </r>
  <r>
    <n v="219"/>
    <x v="218"/>
    <x v="0"/>
    <x v="0"/>
    <x v="0"/>
    <n v="1100"/>
    <n v="1"/>
    <n v="1100"/>
    <n v="1100"/>
    <x v="1"/>
  </r>
  <r>
    <n v="220"/>
    <x v="219"/>
    <x v="0"/>
    <x v="8"/>
    <x v="3"/>
    <n v="500"/>
    <n v="1"/>
    <n v="500"/>
    <n v="500"/>
    <x v="2"/>
  </r>
  <r>
    <n v="221"/>
    <x v="220"/>
    <x v="0"/>
    <x v="3"/>
    <x v="0"/>
    <n v="1000"/>
    <n v="1"/>
    <n v="1000"/>
    <n v="1000"/>
    <x v="3"/>
  </r>
  <r>
    <n v="222"/>
    <x v="221"/>
    <x v="0"/>
    <x v="4"/>
    <x v="1"/>
    <n v="800"/>
    <n v="1"/>
    <n v="800"/>
    <n v="800"/>
    <x v="4"/>
  </r>
  <r>
    <n v="223"/>
    <x v="222"/>
    <x v="0"/>
    <x v="9"/>
    <x v="3"/>
    <n v="600"/>
    <n v="1"/>
    <n v="600"/>
    <n v="600"/>
    <x v="5"/>
  </r>
  <r>
    <n v="224"/>
    <x v="223"/>
    <x v="0"/>
    <x v="9"/>
    <x v="3"/>
    <n v="600"/>
    <n v="1"/>
    <n v="600"/>
    <n v="600"/>
    <x v="6"/>
  </r>
  <r>
    <n v="225"/>
    <x v="224"/>
    <x v="0"/>
    <x v="6"/>
    <x v="2"/>
    <n v="850"/>
    <n v="1"/>
    <n v="850"/>
    <n v="850"/>
    <x v="0"/>
  </r>
  <r>
    <n v="226"/>
    <x v="225"/>
    <x v="0"/>
    <x v="9"/>
    <x v="3"/>
    <n v="600"/>
    <n v="1"/>
    <n v="600"/>
    <n v="600"/>
    <x v="1"/>
  </r>
  <r>
    <n v="227"/>
    <x v="226"/>
    <x v="0"/>
    <x v="5"/>
    <x v="1"/>
    <n v="600"/>
    <n v="1"/>
    <n v="600"/>
    <n v="600"/>
    <x v="2"/>
  </r>
  <r>
    <n v="228"/>
    <x v="227"/>
    <x v="0"/>
    <x v="9"/>
    <x v="3"/>
    <n v="600"/>
    <n v="1"/>
    <n v="600"/>
    <n v="600"/>
    <x v="3"/>
  </r>
  <r>
    <n v="229"/>
    <x v="228"/>
    <x v="0"/>
    <x v="0"/>
    <x v="0"/>
    <n v="1100"/>
    <n v="1"/>
    <n v="1100"/>
    <n v="1100"/>
    <x v="4"/>
  </r>
  <r>
    <n v="230"/>
    <x v="229"/>
    <x v="0"/>
    <x v="5"/>
    <x v="1"/>
    <n v="600"/>
    <n v="1"/>
    <n v="600"/>
    <n v="600"/>
    <x v="5"/>
  </r>
  <r>
    <n v="231"/>
    <x v="230"/>
    <x v="0"/>
    <x v="0"/>
    <x v="0"/>
    <n v="1100"/>
    <n v="1"/>
    <n v="1100"/>
    <n v="1100"/>
    <x v="6"/>
  </r>
  <r>
    <n v="232"/>
    <x v="231"/>
    <x v="0"/>
    <x v="0"/>
    <x v="0"/>
    <n v="1100"/>
    <n v="1"/>
    <n v="1100"/>
    <n v="1100"/>
    <x v="0"/>
  </r>
  <r>
    <n v="233"/>
    <x v="232"/>
    <x v="0"/>
    <x v="0"/>
    <x v="0"/>
    <n v="1100"/>
    <n v="1"/>
    <n v="1100"/>
    <n v="1100"/>
    <x v="1"/>
  </r>
  <r>
    <n v="234"/>
    <x v="233"/>
    <x v="0"/>
    <x v="6"/>
    <x v="2"/>
    <n v="850"/>
    <n v="1"/>
    <n v="850"/>
    <n v="850"/>
    <x v="2"/>
  </r>
  <r>
    <n v="235"/>
    <x v="234"/>
    <x v="0"/>
    <x v="5"/>
    <x v="1"/>
    <n v="600"/>
    <n v="1"/>
    <n v="600"/>
    <n v="600"/>
    <x v="3"/>
  </r>
  <r>
    <n v="236"/>
    <x v="235"/>
    <x v="0"/>
    <x v="5"/>
    <x v="1"/>
    <n v="600"/>
    <n v="1"/>
    <n v="600"/>
    <n v="600"/>
    <x v="4"/>
  </r>
  <r>
    <n v="237"/>
    <x v="236"/>
    <x v="0"/>
    <x v="4"/>
    <x v="1"/>
    <n v="800"/>
    <n v="1"/>
    <n v="800"/>
    <n v="800"/>
    <x v="5"/>
  </r>
  <r>
    <n v="238"/>
    <x v="237"/>
    <x v="0"/>
    <x v="7"/>
    <x v="2"/>
    <n v="1200"/>
    <n v="1"/>
    <n v="1200"/>
    <n v="1200"/>
    <x v="6"/>
  </r>
  <r>
    <n v="239"/>
    <x v="238"/>
    <x v="0"/>
    <x v="3"/>
    <x v="0"/>
    <n v="1000"/>
    <n v="1"/>
    <n v="1000"/>
    <n v="1000"/>
    <x v="0"/>
  </r>
  <r>
    <n v="240"/>
    <x v="239"/>
    <x v="0"/>
    <x v="9"/>
    <x v="3"/>
    <n v="600"/>
    <n v="1"/>
    <n v="600"/>
    <n v="600"/>
    <x v="1"/>
  </r>
  <r>
    <n v="241"/>
    <x v="240"/>
    <x v="0"/>
    <x v="2"/>
    <x v="0"/>
    <n v="900"/>
    <n v="1"/>
    <n v="900"/>
    <n v="900"/>
    <x v="2"/>
  </r>
  <r>
    <n v="242"/>
    <x v="241"/>
    <x v="0"/>
    <x v="5"/>
    <x v="1"/>
    <n v="600"/>
    <n v="1"/>
    <n v="600"/>
    <n v="600"/>
    <x v="3"/>
  </r>
  <r>
    <n v="243"/>
    <x v="242"/>
    <x v="0"/>
    <x v="1"/>
    <x v="0"/>
    <n v="900"/>
    <n v="1"/>
    <n v="900"/>
    <n v="765"/>
    <x v="4"/>
  </r>
  <r>
    <n v="244"/>
    <x v="243"/>
    <x v="0"/>
    <x v="9"/>
    <x v="3"/>
    <n v="600"/>
    <n v="1"/>
    <n v="600"/>
    <n v="600"/>
    <x v="5"/>
  </r>
  <r>
    <n v="245"/>
    <x v="244"/>
    <x v="0"/>
    <x v="6"/>
    <x v="2"/>
    <n v="850"/>
    <n v="1"/>
    <n v="850"/>
    <n v="850"/>
    <x v="6"/>
  </r>
  <r>
    <n v="246"/>
    <x v="245"/>
    <x v="0"/>
    <x v="2"/>
    <x v="0"/>
    <n v="900"/>
    <n v="1"/>
    <n v="900"/>
    <n v="900"/>
    <x v="0"/>
  </r>
  <r>
    <n v="247"/>
    <x v="246"/>
    <x v="0"/>
    <x v="0"/>
    <x v="0"/>
    <n v="1100"/>
    <n v="1"/>
    <n v="1100"/>
    <n v="1100"/>
    <x v="1"/>
  </r>
  <r>
    <n v="248"/>
    <x v="247"/>
    <x v="0"/>
    <x v="2"/>
    <x v="0"/>
    <n v="900"/>
    <n v="1"/>
    <n v="900"/>
    <n v="900"/>
    <x v="2"/>
  </r>
  <r>
    <n v="249"/>
    <x v="248"/>
    <x v="0"/>
    <x v="3"/>
    <x v="0"/>
    <n v="1000"/>
    <n v="1"/>
    <n v="1000"/>
    <n v="1000"/>
    <x v="3"/>
  </r>
  <r>
    <n v="250"/>
    <x v="249"/>
    <x v="0"/>
    <x v="0"/>
    <x v="0"/>
    <n v="1100"/>
    <n v="1"/>
    <n v="1100"/>
    <n v="1100"/>
    <x v="4"/>
  </r>
  <r>
    <n v="251"/>
    <x v="250"/>
    <x v="0"/>
    <x v="3"/>
    <x v="0"/>
    <n v="1000"/>
    <n v="1"/>
    <n v="1000"/>
    <n v="1000"/>
    <x v="5"/>
  </r>
  <r>
    <n v="252"/>
    <x v="251"/>
    <x v="0"/>
    <x v="0"/>
    <x v="0"/>
    <n v="1100"/>
    <n v="1"/>
    <n v="1100"/>
    <n v="1100"/>
    <x v="6"/>
  </r>
  <r>
    <n v="253"/>
    <x v="252"/>
    <x v="0"/>
    <x v="2"/>
    <x v="0"/>
    <n v="900"/>
    <n v="1"/>
    <n v="900"/>
    <n v="900"/>
    <x v="0"/>
  </r>
  <r>
    <n v="254"/>
    <x v="253"/>
    <x v="0"/>
    <x v="1"/>
    <x v="0"/>
    <n v="900"/>
    <n v="1"/>
    <n v="900"/>
    <n v="765"/>
    <x v="1"/>
  </r>
  <r>
    <n v="255"/>
    <x v="254"/>
    <x v="0"/>
    <x v="0"/>
    <x v="0"/>
    <n v="1100"/>
    <n v="1"/>
    <n v="1100"/>
    <n v="1100"/>
    <x v="2"/>
  </r>
  <r>
    <n v="256"/>
    <x v="255"/>
    <x v="0"/>
    <x v="0"/>
    <x v="0"/>
    <n v="1100"/>
    <n v="1"/>
    <n v="1100"/>
    <n v="1100"/>
    <x v="3"/>
  </r>
  <r>
    <n v="257"/>
    <x v="256"/>
    <x v="0"/>
    <x v="3"/>
    <x v="0"/>
    <n v="1000"/>
    <n v="1"/>
    <n v="1000"/>
    <n v="1000"/>
    <x v="4"/>
  </r>
  <r>
    <n v="258"/>
    <x v="257"/>
    <x v="0"/>
    <x v="1"/>
    <x v="0"/>
    <n v="900"/>
    <n v="1"/>
    <n v="900"/>
    <n v="765"/>
    <x v="5"/>
  </r>
  <r>
    <n v="259"/>
    <x v="258"/>
    <x v="0"/>
    <x v="5"/>
    <x v="1"/>
    <n v="600"/>
    <n v="1"/>
    <n v="600"/>
    <n v="600"/>
    <x v="6"/>
  </r>
  <r>
    <n v="260"/>
    <x v="259"/>
    <x v="0"/>
    <x v="1"/>
    <x v="0"/>
    <n v="900"/>
    <n v="1"/>
    <n v="900"/>
    <n v="765"/>
    <x v="0"/>
  </r>
  <r>
    <n v="261"/>
    <x v="260"/>
    <x v="0"/>
    <x v="5"/>
    <x v="1"/>
    <n v="600"/>
    <n v="1"/>
    <n v="600"/>
    <n v="600"/>
    <x v="1"/>
  </r>
  <r>
    <n v="262"/>
    <x v="261"/>
    <x v="0"/>
    <x v="2"/>
    <x v="0"/>
    <n v="900"/>
    <n v="1"/>
    <n v="900"/>
    <n v="900"/>
    <x v="2"/>
  </r>
  <r>
    <n v="263"/>
    <x v="262"/>
    <x v="0"/>
    <x v="0"/>
    <x v="0"/>
    <n v="1100"/>
    <n v="2"/>
    <n v="2200"/>
    <n v="2200"/>
    <x v="3"/>
  </r>
  <r>
    <n v="264"/>
    <x v="263"/>
    <x v="0"/>
    <x v="5"/>
    <x v="1"/>
    <n v="600"/>
    <n v="1"/>
    <n v="600"/>
    <n v="600"/>
    <x v="4"/>
  </r>
  <r>
    <n v="265"/>
    <x v="264"/>
    <x v="0"/>
    <x v="5"/>
    <x v="1"/>
    <n v="600"/>
    <n v="1"/>
    <n v="600"/>
    <n v="600"/>
    <x v="5"/>
  </r>
  <r>
    <n v="266"/>
    <x v="265"/>
    <x v="0"/>
    <x v="2"/>
    <x v="0"/>
    <n v="900"/>
    <n v="1"/>
    <n v="900"/>
    <n v="900"/>
    <x v="6"/>
  </r>
  <r>
    <n v="267"/>
    <x v="266"/>
    <x v="0"/>
    <x v="0"/>
    <x v="0"/>
    <n v="1100"/>
    <n v="1"/>
    <n v="1100"/>
    <n v="1100"/>
    <x v="0"/>
  </r>
  <r>
    <n v="268"/>
    <x v="267"/>
    <x v="0"/>
    <x v="5"/>
    <x v="1"/>
    <n v="600"/>
    <n v="1"/>
    <n v="600"/>
    <n v="600"/>
    <x v="1"/>
  </r>
  <r>
    <n v="269"/>
    <x v="268"/>
    <x v="0"/>
    <x v="9"/>
    <x v="3"/>
    <n v="600"/>
    <n v="1"/>
    <n v="600"/>
    <n v="600"/>
    <x v="2"/>
  </r>
  <r>
    <n v="270"/>
    <x v="269"/>
    <x v="0"/>
    <x v="5"/>
    <x v="1"/>
    <n v="600"/>
    <n v="1"/>
    <n v="600"/>
    <n v="600"/>
    <x v="3"/>
  </r>
  <r>
    <n v="271"/>
    <x v="270"/>
    <x v="0"/>
    <x v="9"/>
    <x v="3"/>
    <n v="600"/>
    <n v="1"/>
    <n v="600"/>
    <n v="600"/>
    <x v="4"/>
  </r>
  <r>
    <n v="272"/>
    <x v="271"/>
    <x v="0"/>
    <x v="9"/>
    <x v="3"/>
    <n v="600"/>
    <n v="2"/>
    <n v="1200"/>
    <n v="1200"/>
    <x v="5"/>
  </r>
  <r>
    <n v="273"/>
    <x v="272"/>
    <x v="0"/>
    <x v="5"/>
    <x v="1"/>
    <n v="600"/>
    <n v="1"/>
    <n v="600"/>
    <n v="600"/>
    <x v="6"/>
  </r>
  <r>
    <n v="274"/>
    <x v="273"/>
    <x v="0"/>
    <x v="0"/>
    <x v="0"/>
    <n v="1100"/>
    <n v="3"/>
    <n v="3300"/>
    <n v="3300"/>
    <x v="0"/>
  </r>
  <r>
    <n v="275"/>
    <x v="274"/>
    <x v="0"/>
    <x v="0"/>
    <x v="0"/>
    <n v="1100"/>
    <n v="1"/>
    <n v="1100"/>
    <n v="1100"/>
    <x v="1"/>
  </r>
  <r>
    <n v="276"/>
    <x v="275"/>
    <x v="0"/>
    <x v="6"/>
    <x v="2"/>
    <n v="850"/>
    <n v="1"/>
    <n v="850"/>
    <n v="850"/>
    <x v="2"/>
  </r>
  <r>
    <n v="277"/>
    <x v="276"/>
    <x v="0"/>
    <x v="7"/>
    <x v="2"/>
    <n v="1200"/>
    <n v="1"/>
    <n v="1200"/>
    <n v="1200"/>
    <x v="3"/>
  </r>
  <r>
    <n v="278"/>
    <x v="277"/>
    <x v="0"/>
    <x v="4"/>
    <x v="1"/>
    <n v="800"/>
    <n v="1"/>
    <n v="800"/>
    <n v="800"/>
    <x v="4"/>
  </r>
  <r>
    <n v="279"/>
    <x v="278"/>
    <x v="0"/>
    <x v="2"/>
    <x v="0"/>
    <n v="900"/>
    <n v="1"/>
    <n v="900"/>
    <n v="900"/>
    <x v="5"/>
  </r>
  <r>
    <n v="280"/>
    <x v="279"/>
    <x v="0"/>
    <x v="0"/>
    <x v="0"/>
    <n v="1100"/>
    <n v="1"/>
    <n v="1100"/>
    <n v="1100"/>
    <x v="6"/>
  </r>
  <r>
    <n v="281"/>
    <x v="280"/>
    <x v="0"/>
    <x v="1"/>
    <x v="0"/>
    <n v="900"/>
    <n v="1"/>
    <n v="900"/>
    <n v="765"/>
    <x v="0"/>
  </r>
  <r>
    <n v="282"/>
    <x v="281"/>
    <x v="0"/>
    <x v="0"/>
    <x v="0"/>
    <n v="1100"/>
    <n v="1"/>
    <n v="1100"/>
    <n v="1100"/>
    <x v="1"/>
  </r>
  <r>
    <n v="283"/>
    <x v="282"/>
    <x v="0"/>
    <x v="8"/>
    <x v="3"/>
    <n v="900"/>
    <n v="1"/>
    <n v="900"/>
    <n v="900"/>
    <x v="2"/>
  </r>
  <r>
    <n v="284"/>
    <x v="283"/>
    <x v="0"/>
    <x v="8"/>
    <x v="3"/>
    <n v="500"/>
    <n v="1"/>
    <n v="500"/>
    <n v="500"/>
    <x v="3"/>
  </r>
  <r>
    <n v="285"/>
    <x v="284"/>
    <x v="0"/>
    <x v="3"/>
    <x v="0"/>
    <n v="1000"/>
    <n v="1"/>
    <n v="1000"/>
    <n v="1000"/>
    <x v="4"/>
  </r>
  <r>
    <n v="286"/>
    <x v="285"/>
    <x v="0"/>
    <x v="9"/>
    <x v="3"/>
    <n v="600"/>
    <n v="1"/>
    <n v="600"/>
    <n v="600"/>
    <x v="5"/>
  </r>
  <r>
    <n v="287"/>
    <x v="286"/>
    <x v="0"/>
    <x v="1"/>
    <x v="0"/>
    <n v="900"/>
    <n v="2"/>
    <n v="1800"/>
    <n v="1530"/>
    <x v="6"/>
  </r>
  <r>
    <n v="288"/>
    <x v="287"/>
    <x v="0"/>
    <x v="6"/>
    <x v="2"/>
    <n v="850"/>
    <n v="1"/>
    <n v="850"/>
    <n v="850"/>
    <x v="0"/>
  </r>
  <r>
    <n v="289"/>
    <x v="288"/>
    <x v="0"/>
    <x v="4"/>
    <x v="1"/>
    <n v="800"/>
    <n v="1"/>
    <n v="800"/>
    <n v="800"/>
    <x v="1"/>
  </r>
  <r>
    <n v="290"/>
    <x v="289"/>
    <x v="0"/>
    <x v="1"/>
    <x v="0"/>
    <n v="900"/>
    <n v="1"/>
    <n v="900"/>
    <n v="765"/>
    <x v="2"/>
  </r>
  <r>
    <n v="291"/>
    <x v="290"/>
    <x v="0"/>
    <x v="1"/>
    <x v="0"/>
    <n v="900"/>
    <n v="1"/>
    <n v="900"/>
    <n v="765"/>
    <x v="3"/>
  </r>
  <r>
    <n v="292"/>
    <x v="291"/>
    <x v="0"/>
    <x v="0"/>
    <x v="0"/>
    <n v="1100"/>
    <n v="1"/>
    <n v="1100"/>
    <n v="1100"/>
    <x v="4"/>
  </r>
  <r>
    <n v="293"/>
    <x v="292"/>
    <x v="0"/>
    <x v="2"/>
    <x v="0"/>
    <n v="900"/>
    <n v="1"/>
    <n v="900"/>
    <n v="900"/>
    <x v="5"/>
  </r>
  <r>
    <n v="294"/>
    <x v="293"/>
    <x v="0"/>
    <x v="5"/>
    <x v="1"/>
    <n v="600"/>
    <n v="1"/>
    <n v="600"/>
    <n v="600"/>
    <x v="6"/>
  </r>
  <r>
    <n v="295"/>
    <x v="294"/>
    <x v="0"/>
    <x v="5"/>
    <x v="1"/>
    <n v="600"/>
    <n v="1"/>
    <n v="600"/>
    <n v="600"/>
    <x v="0"/>
  </r>
  <r>
    <n v="296"/>
    <x v="295"/>
    <x v="0"/>
    <x v="2"/>
    <x v="0"/>
    <n v="900"/>
    <n v="1"/>
    <n v="900"/>
    <n v="900"/>
    <x v="1"/>
  </r>
  <r>
    <n v="297"/>
    <x v="296"/>
    <x v="0"/>
    <x v="6"/>
    <x v="2"/>
    <n v="850"/>
    <n v="1"/>
    <n v="850"/>
    <n v="850"/>
    <x v="2"/>
  </r>
  <r>
    <n v="298"/>
    <x v="297"/>
    <x v="0"/>
    <x v="2"/>
    <x v="0"/>
    <n v="900"/>
    <n v="1"/>
    <n v="900"/>
    <n v="900"/>
    <x v="3"/>
  </r>
  <r>
    <n v="299"/>
    <x v="298"/>
    <x v="0"/>
    <x v="5"/>
    <x v="1"/>
    <n v="600"/>
    <n v="1"/>
    <n v="600"/>
    <n v="600"/>
    <x v="4"/>
  </r>
  <r>
    <n v="300"/>
    <x v="299"/>
    <x v="0"/>
    <x v="5"/>
    <x v="1"/>
    <n v="600"/>
    <n v="1"/>
    <n v="600"/>
    <n v="600"/>
    <x v="5"/>
  </r>
  <r>
    <n v="301"/>
    <x v="300"/>
    <x v="0"/>
    <x v="0"/>
    <x v="0"/>
    <n v="1100"/>
    <n v="1"/>
    <n v="1100"/>
    <n v="1100"/>
    <x v="6"/>
  </r>
  <r>
    <n v="302"/>
    <x v="301"/>
    <x v="0"/>
    <x v="1"/>
    <x v="0"/>
    <n v="900"/>
    <n v="1"/>
    <n v="900"/>
    <n v="765"/>
    <x v="0"/>
  </r>
  <r>
    <n v="303"/>
    <x v="302"/>
    <x v="0"/>
    <x v="0"/>
    <x v="0"/>
    <n v="1100"/>
    <n v="1"/>
    <n v="1100"/>
    <n v="1100"/>
    <x v="1"/>
  </r>
  <r>
    <n v="304"/>
    <x v="303"/>
    <x v="0"/>
    <x v="5"/>
    <x v="1"/>
    <n v="600"/>
    <n v="1"/>
    <n v="600"/>
    <n v="600"/>
    <x v="2"/>
  </r>
  <r>
    <n v="305"/>
    <x v="304"/>
    <x v="0"/>
    <x v="7"/>
    <x v="2"/>
    <n v="1200"/>
    <n v="1"/>
    <n v="1200"/>
    <n v="1200"/>
    <x v="3"/>
  </r>
  <r>
    <n v="306"/>
    <x v="305"/>
    <x v="0"/>
    <x v="9"/>
    <x v="3"/>
    <n v="600"/>
    <n v="1"/>
    <n v="600"/>
    <n v="600"/>
    <x v="4"/>
  </r>
  <r>
    <n v="307"/>
    <x v="306"/>
    <x v="0"/>
    <x v="0"/>
    <x v="0"/>
    <n v="1100"/>
    <n v="1"/>
    <n v="1100"/>
    <n v="1100"/>
    <x v="5"/>
  </r>
  <r>
    <n v="308"/>
    <x v="307"/>
    <x v="0"/>
    <x v="8"/>
    <x v="3"/>
    <n v="500"/>
    <n v="1"/>
    <n v="500"/>
    <n v="500"/>
    <x v="6"/>
  </r>
  <r>
    <n v="309"/>
    <x v="308"/>
    <x v="0"/>
    <x v="1"/>
    <x v="0"/>
    <n v="900"/>
    <n v="1"/>
    <n v="900"/>
    <n v="765"/>
    <x v="0"/>
  </r>
  <r>
    <n v="310"/>
    <x v="309"/>
    <x v="0"/>
    <x v="6"/>
    <x v="2"/>
    <n v="850"/>
    <n v="1"/>
    <n v="850"/>
    <n v="850"/>
    <x v="1"/>
  </r>
  <r>
    <n v="311"/>
    <x v="310"/>
    <x v="0"/>
    <x v="5"/>
    <x v="1"/>
    <n v="600"/>
    <n v="1"/>
    <n v="600"/>
    <n v="600"/>
    <x v="2"/>
  </r>
  <r>
    <n v="312"/>
    <x v="311"/>
    <x v="0"/>
    <x v="0"/>
    <x v="0"/>
    <n v="1100"/>
    <n v="1"/>
    <n v="1100"/>
    <n v="1100"/>
    <x v="3"/>
  </r>
  <r>
    <n v="313"/>
    <x v="312"/>
    <x v="0"/>
    <x v="8"/>
    <x v="3"/>
    <n v="500"/>
    <n v="1"/>
    <n v="500"/>
    <n v="500"/>
    <x v="4"/>
  </r>
  <r>
    <n v="314"/>
    <x v="313"/>
    <x v="0"/>
    <x v="5"/>
    <x v="1"/>
    <n v="600"/>
    <n v="1"/>
    <n v="600"/>
    <n v="600"/>
    <x v="5"/>
  </r>
  <r>
    <n v="315"/>
    <x v="314"/>
    <x v="0"/>
    <x v="3"/>
    <x v="0"/>
    <n v="1000"/>
    <n v="1"/>
    <n v="1000"/>
    <n v="1000"/>
    <x v="6"/>
  </r>
  <r>
    <n v="316"/>
    <x v="315"/>
    <x v="1"/>
    <x v="5"/>
    <x v="1"/>
    <n v="600"/>
    <n v="1"/>
    <n v="600"/>
    <n v="600"/>
    <x v="0"/>
  </r>
  <r>
    <n v="317"/>
    <x v="316"/>
    <x v="1"/>
    <x v="0"/>
    <x v="0"/>
    <n v="1100"/>
    <n v="1"/>
    <n v="1100"/>
    <n v="1100"/>
    <x v="1"/>
  </r>
  <r>
    <n v="318"/>
    <x v="317"/>
    <x v="1"/>
    <x v="8"/>
    <x v="3"/>
    <n v="500"/>
    <n v="1"/>
    <n v="500"/>
    <n v="500"/>
    <x v="2"/>
  </r>
  <r>
    <n v="319"/>
    <x v="318"/>
    <x v="1"/>
    <x v="0"/>
    <x v="0"/>
    <n v="1100"/>
    <n v="2"/>
    <n v="2200"/>
    <n v="2200"/>
    <x v="3"/>
  </r>
  <r>
    <n v="320"/>
    <x v="319"/>
    <x v="1"/>
    <x v="5"/>
    <x v="1"/>
    <n v="600"/>
    <n v="1"/>
    <n v="600"/>
    <n v="600"/>
    <x v="4"/>
  </r>
  <r>
    <n v="321"/>
    <x v="320"/>
    <x v="1"/>
    <x v="4"/>
    <x v="1"/>
    <n v="800"/>
    <n v="1"/>
    <n v="800"/>
    <n v="800"/>
    <x v="5"/>
  </r>
  <r>
    <n v="322"/>
    <x v="321"/>
    <x v="1"/>
    <x v="2"/>
    <x v="0"/>
    <n v="900"/>
    <n v="1"/>
    <n v="900"/>
    <n v="900"/>
    <x v="6"/>
  </r>
  <r>
    <n v="323"/>
    <x v="322"/>
    <x v="1"/>
    <x v="9"/>
    <x v="3"/>
    <n v="600"/>
    <n v="1"/>
    <n v="600"/>
    <n v="600"/>
    <x v="0"/>
  </r>
  <r>
    <n v="324"/>
    <x v="323"/>
    <x v="1"/>
    <x v="0"/>
    <x v="0"/>
    <n v="1100"/>
    <n v="2"/>
    <n v="2200"/>
    <n v="2200"/>
    <x v="1"/>
  </r>
  <r>
    <n v="325"/>
    <x v="324"/>
    <x v="0"/>
    <x v="5"/>
    <x v="1"/>
    <n v="600"/>
    <n v="1"/>
    <n v="600"/>
    <n v="600"/>
    <x v="2"/>
  </r>
  <r>
    <n v="326"/>
    <x v="325"/>
    <x v="0"/>
    <x v="0"/>
    <x v="0"/>
    <n v="1100"/>
    <n v="1"/>
    <n v="1100"/>
    <n v="1100"/>
    <x v="3"/>
  </r>
  <r>
    <n v="327"/>
    <x v="326"/>
    <x v="0"/>
    <x v="3"/>
    <x v="0"/>
    <n v="1000"/>
    <n v="1"/>
    <n v="1000"/>
    <n v="1000"/>
    <x v="4"/>
  </r>
  <r>
    <n v="328"/>
    <x v="327"/>
    <x v="0"/>
    <x v="0"/>
    <x v="0"/>
    <n v="1100"/>
    <n v="1"/>
    <n v="1100"/>
    <n v="1100"/>
    <x v="5"/>
  </r>
  <r>
    <n v="329"/>
    <x v="328"/>
    <x v="0"/>
    <x v="7"/>
    <x v="2"/>
    <n v="1200"/>
    <n v="1"/>
    <n v="1200"/>
    <n v="1200"/>
    <x v="6"/>
  </r>
  <r>
    <n v="330"/>
    <x v="329"/>
    <x v="0"/>
    <x v="2"/>
    <x v="0"/>
    <n v="900"/>
    <n v="1"/>
    <n v="900"/>
    <n v="900"/>
    <x v="0"/>
  </r>
  <r>
    <n v="331"/>
    <x v="330"/>
    <x v="0"/>
    <x v="9"/>
    <x v="3"/>
    <n v="600"/>
    <n v="1"/>
    <n v="600"/>
    <n v="600"/>
    <x v="1"/>
  </r>
  <r>
    <n v="332"/>
    <x v="331"/>
    <x v="0"/>
    <x v="0"/>
    <x v="0"/>
    <n v="1100"/>
    <n v="2"/>
    <n v="2200"/>
    <n v="2200"/>
    <x v="2"/>
  </r>
  <r>
    <n v="333"/>
    <x v="332"/>
    <x v="0"/>
    <x v="3"/>
    <x v="0"/>
    <n v="1000"/>
    <n v="1"/>
    <n v="1000"/>
    <n v="1000"/>
    <x v="3"/>
  </r>
  <r>
    <n v="334"/>
    <x v="333"/>
    <x v="0"/>
    <x v="3"/>
    <x v="0"/>
    <n v="1000"/>
    <n v="1"/>
    <n v="1000"/>
    <n v="1000"/>
    <x v="4"/>
  </r>
  <r>
    <n v="335"/>
    <x v="334"/>
    <x v="0"/>
    <x v="8"/>
    <x v="3"/>
    <n v="500"/>
    <n v="1"/>
    <n v="500"/>
    <n v="500"/>
    <x v="5"/>
  </r>
  <r>
    <n v="336"/>
    <x v="335"/>
    <x v="0"/>
    <x v="3"/>
    <x v="0"/>
    <n v="1000"/>
    <n v="1"/>
    <n v="1000"/>
    <n v="1000"/>
    <x v="6"/>
  </r>
  <r>
    <n v="337"/>
    <x v="336"/>
    <x v="0"/>
    <x v="7"/>
    <x v="2"/>
    <n v="1200"/>
    <n v="1"/>
    <n v="1200"/>
    <n v="1200"/>
    <x v="0"/>
  </r>
  <r>
    <n v="338"/>
    <x v="337"/>
    <x v="0"/>
    <x v="7"/>
    <x v="2"/>
    <n v="1000"/>
    <n v="1"/>
    <n v="1000"/>
    <n v="1000"/>
    <x v="1"/>
  </r>
  <r>
    <n v="339"/>
    <x v="338"/>
    <x v="0"/>
    <x v="1"/>
    <x v="0"/>
    <n v="1000"/>
    <n v="1"/>
    <n v="1000"/>
    <n v="850"/>
    <x v="2"/>
  </r>
  <r>
    <n v="340"/>
    <x v="339"/>
    <x v="0"/>
    <x v="3"/>
    <x v="0"/>
    <n v="1000"/>
    <n v="1"/>
    <n v="1000"/>
    <n v="1000"/>
    <x v="3"/>
  </r>
  <r>
    <n v="341"/>
    <x v="340"/>
    <x v="0"/>
    <x v="5"/>
    <x v="1"/>
    <n v="650"/>
    <n v="1"/>
    <n v="650"/>
    <n v="650"/>
    <x v="4"/>
  </r>
  <r>
    <n v="342"/>
    <x v="341"/>
    <x v="0"/>
    <x v="5"/>
    <x v="1"/>
    <n v="650"/>
    <n v="1"/>
    <n v="650"/>
    <n v="650"/>
    <x v="5"/>
  </r>
  <r>
    <n v="343"/>
    <x v="342"/>
    <x v="0"/>
    <x v="3"/>
    <x v="0"/>
    <n v="1000"/>
    <n v="1"/>
    <n v="1000"/>
    <n v="1000"/>
    <x v="6"/>
  </r>
  <r>
    <n v="344"/>
    <x v="343"/>
    <x v="0"/>
    <x v="2"/>
    <x v="0"/>
    <n v="900"/>
    <n v="2"/>
    <n v="1800"/>
    <n v="1800"/>
    <x v="0"/>
  </r>
  <r>
    <n v="345"/>
    <x v="344"/>
    <x v="0"/>
    <x v="0"/>
    <x v="0"/>
    <n v="1100"/>
    <n v="2"/>
    <n v="2200"/>
    <n v="2200"/>
    <x v="1"/>
  </r>
  <r>
    <n v="346"/>
    <x v="345"/>
    <x v="1"/>
    <x v="2"/>
    <x v="0"/>
    <n v="900"/>
    <n v="2"/>
    <n v="1800"/>
    <n v="1800"/>
    <x v="2"/>
  </r>
  <r>
    <n v="347"/>
    <x v="346"/>
    <x v="0"/>
    <x v="8"/>
    <x v="3"/>
    <n v="800"/>
    <n v="1"/>
    <n v="800"/>
    <n v="800"/>
    <x v="3"/>
  </r>
  <r>
    <n v="348"/>
    <x v="347"/>
    <x v="0"/>
    <x v="0"/>
    <x v="0"/>
    <n v="1100"/>
    <n v="1"/>
    <n v="1100"/>
    <n v="1100"/>
    <x v="4"/>
  </r>
  <r>
    <n v="349"/>
    <x v="348"/>
    <x v="0"/>
    <x v="9"/>
    <x v="3"/>
    <n v="600"/>
    <n v="1"/>
    <n v="600"/>
    <n v="600"/>
    <x v="5"/>
  </r>
  <r>
    <n v="350"/>
    <x v="349"/>
    <x v="1"/>
    <x v="0"/>
    <x v="0"/>
    <n v="1100"/>
    <n v="3"/>
    <n v="3300"/>
    <n v="3300"/>
    <x v="6"/>
  </r>
  <r>
    <n v="351"/>
    <x v="350"/>
    <x v="1"/>
    <x v="6"/>
    <x v="2"/>
    <n v="850"/>
    <n v="1"/>
    <n v="850"/>
    <n v="850"/>
    <x v="0"/>
  </r>
  <r>
    <n v="352"/>
    <x v="351"/>
    <x v="1"/>
    <x v="9"/>
    <x v="3"/>
    <n v="600"/>
    <n v="1"/>
    <n v="600"/>
    <n v="600"/>
    <x v="1"/>
  </r>
  <r>
    <n v="353"/>
    <x v="352"/>
    <x v="1"/>
    <x v="9"/>
    <x v="3"/>
    <n v="600"/>
    <n v="1"/>
    <n v="600"/>
    <n v="600"/>
    <x v="2"/>
  </r>
  <r>
    <n v="354"/>
    <x v="353"/>
    <x v="0"/>
    <x v="0"/>
    <x v="0"/>
    <n v="1100"/>
    <n v="1"/>
    <n v="1100"/>
    <n v="1100"/>
    <x v="3"/>
  </r>
  <r>
    <n v="355"/>
    <x v="354"/>
    <x v="0"/>
    <x v="3"/>
    <x v="0"/>
    <n v="1000"/>
    <n v="1"/>
    <n v="1000"/>
    <n v="1000"/>
    <x v="4"/>
  </r>
  <r>
    <n v="356"/>
    <x v="355"/>
    <x v="0"/>
    <x v="2"/>
    <x v="0"/>
    <n v="900"/>
    <n v="1"/>
    <n v="900"/>
    <n v="900"/>
    <x v="5"/>
  </r>
  <r>
    <n v="357"/>
    <x v="356"/>
    <x v="0"/>
    <x v="9"/>
    <x v="3"/>
    <n v="600"/>
    <n v="1"/>
    <n v="600"/>
    <n v="600"/>
    <x v="6"/>
  </r>
  <r>
    <n v="358"/>
    <x v="357"/>
    <x v="0"/>
    <x v="2"/>
    <x v="0"/>
    <n v="900"/>
    <n v="1"/>
    <n v="900"/>
    <n v="900"/>
    <x v="0"/>
  </r>
  <r>
    <n v="359"/>
    <x v="358"/>
    <x v="0"/>
    <x v="5"/>
    <x v="1"/>
    <n v="600"/>
    <n v="1"/>
    <n v="600"/>
    <n v="600"/>
    <x v="1"/>
  </r>
  <r>
    <n v="360"/>
    <x v="359"/>
    <x v="0"/>
    <x v="1"/>
    <x v="0"/>
    <n v="900"/>
    <n v="1"/>
    <n v="900"/>
    <n v="765"/>
    <x v="2"/>
  </r>
  <r>
    <n v="361"/>
    <x v="360"/>
    <x v="0"/>
    <x v="5"/>
    <x v="1"/>
    <n v="600"/>
    <n v="1"/>
    <n v="600"/>
    <n v="600"/>
    <x v="3"/>
  </r>
  <r>
    <n v="362"/>
    <x v="361"/>
    <x v="0"/>
    <x v="2"/>
    <x v="0"/>
    <n v="900"/>
    <n v="1"/>
    <n v="900"/>
    <n v="900"/>
    <x v="4"/>
  </r>
  <r>
    <n v="363"/>
    <x v="362"/>
    <x v="0"/>
    <x v="9"/>
    <x v="3"/>
    <n v="600"/>
    <n v="1"/>
    <n v="600"/>
    <n v="600"/>
    <x v="5"/>
  </r>
  <r>
    <n v="364"/>
    <x v="363"/>
    <x v="0"/>
    <x v="0"/>
    <x v="0"/>
    <n v="1100"/>
    <n v="2"/>
    <n v="2200"/>
    <n v="2200"/>
    <x v="6"/>
  </r>
  <r>
    <n v="365"/>
    <x v="364"/>
    <x v="0"/>
    <x v="0"/>
    <x v="0"/>
    <n v="1100"/>
    <n v="1"/>
    <n v="1100"/>
    <n v="1100"/>
    <x v="0"/>
  </r>
  <r>
    <n v="366"/>
    <x v="365"/>
    <x v="0"/>
    <x v="0"/>
    <x v="0"/>
    <n v="1100"/>
    <n v="1"/>
    <n v="1100"/>
    <n v="1100"/>
    <x v="1"/>
  </r>
  <r>
    <n v="367"/>
    <x v="366"/>
    <x v="0"/>
    <x v="5"/>
    <x v="1"/>
    <n v="600"/>
    <n v="2"/>
    <n v="1200"/>
    <n v="1200"/>
    <x v="2"/>
  </r>
  <r>
    <n v="368"/>
    <x v="367"/>
    <x v="0"/>
    <x v="0"/>
    <x v="0"/>
    <n v="1100"/>
    <n v="1"/>
    <n v="1100"/>
    <n v="1100"/>
    <x v="3"/>
  </r>
  <r>
    <n v="369"/>
    <x v="368"/>
    <x v="0"/>
    <x v="9"/>
    <x v="3"/>
    <n v="600"/>
    <n v="1"/>
    <n v="600"/>
    <n v="600"/>
    <x v="4"/>
  </r>
  <r>
    <n v="370"/>
    <x v="369"/>
    <x v="0"/>
    <x v="0"/>
    <x v="0"/>
    <n v="1100"/>
    <n v="1"/>
    <n v="1100"/>
    <n v="1100"/>
    <x v="5"/>
  </r>
  <r>
    <n v="371"/>
    <x v="370"/>
    <x v="1"/>
    <x v="5"/>
    <x v="1"/>
    <n v="600"/>
    <n v="1"/>
    <n v="600"/>
    <n v="600"/>
    <x v="6"/>
  </r>
  <r>
    <n v="372"/>
    <x v="371"/>
    <x v="1"/>
    <x v="0"/>
    <x v="0"/>
    <n v="1100"/>
    <n v="1"/>
    <n v="1100"/>
    <n v="1100"/>
    <x v="0"/>
  </r>
  <r>
    <n v="373"/>
    <x v="372"/>
    <x v="1"/>
    <x v="2"/>
    <x v="0"/>
    <n v="900"/>
    <n v="1"/>
    <n v="900"/>
    <n v="900"/>
    <x v="1"/>
  </r>
  <r>
    <n v="374"/>
    <x v="373"/>
    <x v="1"/>
    <x v="7"/>
    <x v="2"/>
    <n v="1200"/>
    <n v="1"/>
    <n v="1200"/>
    <n v="1200"/>
    <x v="2"/>
  </r>
  <r>
    <n v="375"/>
    <x v="374"/>
    <x v="1"/>
    <x v="8"/>
    <x v="3"/>
    <n v="500"/>
    <n v="1"/>
    <n v="500"/>
    <n v="500"/>
    <x v="3"/>
  </r>
  <r>
    <n v="376"/>
    <x v="375"/>
    <x v="1"/>
    <x v="5"/>
    <x v="1"/>
    <n v="600"/>
    <n v="1"/>
    <n v="600"/>
    <n v="600"/>
    <x v="4"/>
  </r>
  <r>
    <n v="377"/>
    <x v="376"/>
    <x v="1"/>
    <x v="5"/>
    <x v="1"/>
    <n v="600"/>
    <n v="1"/>
    <n v="600"/>
    <n v="600"/>
    <x v="5"/>
  </r>
  <r>
    <n v="378"/>
    <x v="377"/>
    <x v="1"/>
    <x v="0"/>
    <x v="0"/>
    <n v="1100"/>
    <n v="1"/>
    <n v="1100"/>
    <n v="1100"/>
    <x v="6"/>
  </r>
  <r>
    <n v="379"/>
    <x v="378"/>
    <x v="1"/>
    <x v="0"/>
    <x v="0"/>
    <n v="1100"/>
    <n v="1"/>
    <n v="1100"/>
    <n v="1100"/>
    <x v="0"/>
  </r>
  <r>
    <n v="380"/>
    <x v="379"/>
    <x v="0"/>
    <x v="8"/>
    <x v="3"/>
    <n v="900"/>
    <n v="1"/>
    <n v="900"/>
    <n v="900"/>
    <x v="1"/>
  </r>
  <r>
    <n v="381"/>
    <x v="380"/>
    <x v="0"/>
    <x v="9"/>
    <x v="3"/>
    <n v="600"/>
    <n v="1"/>
    <n v="600"/>
    <n v="600"/>
    <x v="2"/>
  </r>
  <r>
    <n v="382"/>
    <x v="381"/>
    <x v="1"/>
    <x v="0"/>
    <x v="0"/>
    <n v="1100"/>
    <n v="1"/>
    <n v="1100"/>
    <n v="1100"/>
    <x v="3"/>
  </r>
  <r>
    <n v="383"/>
    <x v="382"/>
    <x v="1"/>
    <x v="5"/>
    <x v="1"/>
    <n v="600"/>
    <n v="1"/>
    <n v="600"/>
    <n v="600"/>
    <x v="4"/>
  </r>
  <r>
    <n v="384"/>
    <x v="383"/>
    <x v="1"/>
    <x v="2"/>
    <x v="0"/>
    <n v="900"/>
    <n v="1"/>
    <n v="900"/>
    <n v="900"/>
    <x v="5"/>
  </r>
  <r>
    <n v="385"/>
    <x v="384"/>
    <x v="1"/>
    <x v="5"/>
    <x v="1"/>
    <n v="600"/>
    <n v="1"/>
    <n v="600"/>
    <n v="600"/>
    <x v="6"/>
  </r>
  <r>
    <n v="386"/>
    <x v="385"/>
    <x v="0"/>
    <x v="5"/>
    <x v="1"/>
    <n v="600"/>
    <n v="1"/>
    <n v="600"/>
    <n v="600"/>
    <x v="0"/>
  </r>
  <r>
    <n v="387"/>
    <x v="386"/>
    <x v="0"/>
    <x v="5"/>
    <x v="1"/>
    <n v="600"/>
    <n v="1"/>
    <n v="600"/>
    <n v="600"/>
    <x v="1"/>
  </r>
  <r>
    <n v="388"/>
    <x v="387"/>
    <x v="0"/>
    <x v="8"/>
    <x v="3"/>
    <n v="500"/>
    <n v="1"/>
    <n v="500"/>
    <n v="500"/>
    <x v="2"/>
  </r>
  <r>
    <n v="389"/>
    <x v="388"/>
    <x v="0"/>
    <x v="5"/>
    <x v="1"/>
    <n v="600"/>
    <n v="1"/>
    <n v="600"/>
    <n v="600"/>
    <x v="3"/>
  </r>
  <r>
    <n v="390"/>
    <x v="389"/>
    <x v="1"/>
    <x v="2"/>
    <x v="0"/>
    <n v="900"/>
    <n v="1"/>
    <n v="900"/>
    <n v="900"/>
    <x v="4"/>
  </r>
  <r>
    <n v="391"/>
    <x v="390"/>
    <x v="0"/>
    <x v="7"/>
    <x v="2"/>
    <n v="1200"/>
    <n v="2"/>
    <n v="2400"/>
    <n v="2400"/>
    <x v="5"/>
  </r>
  <r>
    <n v="392"/>
    <x v="391"/>
    <x v="0"/>
    <x v="0"/>
    <x v="0"/>
    <n v="1100"/>
    <n v="1"/>
    <n v="1100"/>
    <n v="1100"/>
    <x v="6"/>
  </r>
  <r>
    <n v="393"/>
    <x v="392"/>
    <x v="0"/>
    <x v="4"/>
    <x v="1"/>
    <n v="800"/>
    <n v="1"/>
    <n v="800"/>
    <n v="800"/>
    <x v="0"/>
  </r>
  <r>
    <n v="394"/>
    <x v="393"/>
    <x v="0"/>
    <x v="4"/>
    <x v="1"/>
    <n v="800"/>
    <n v="1"/>
    <n v="800"/>
    <n v="800"/>
    <x v="1"/>
  </r>
  <r>
    <n v="395"/>
    <x v="394"/>
    <x v="0"/>
    <x v="0"/>
    <x v="0"/>
    <n v="1100"/>
    <n v="1"/>
    <n v="1100"/>
    <n v="1100"/>
    <x v="2"/>
  </r>
  <r>
    <n v="396"/>
    <x v="395"/>
    <x v="0"/>
    <x v="3"/>
    <x v="0"/>
    <n v="1000"/>
    <n v="1"/>
    <n v="1000"/>
    <n v="1000"/>
    <x v="3"/>
  </r>
  <r>
    <n v="397"/>
    <x v="396"/>
    <x v="0"/>
    <x v="8"/>
    <x v="3"/>
    <n v="500"/>
    <n v="1"/>
    <n v="500"/>
    <n v="500"/>
    <x v="4"/>
  </r>
  <r>
    <n v="398"/>
    <x v="397"/>
    <x v="0"/>
    <x v="1"/>
    <x v="0"/>
    <n v="900"/>
    <n v="1"/>
    <n v="900"/>
    <n v="765"/>
    <x v="5"/>
  </r>
  <r>
    <n v="399"/>
    <x v="398"/>
    <x v="0"/>
    <x v="5"/>
    <x v="1"/>
    <n v="600"/>
    <n v="1"/>
    <n v="600"/>
    <n v="600"/>
    <x v="6"/>
  </r>
  <r>
    <n v="400"/>
    <x v="399"/>
    <x v="0"/>
    <x v="1"/>
    <x v="0"/>
    <n v="900"/>
    <n v="1"/>
    <n v="900"/>
    <n v="765"/>
    <x v="0"/>
  </r>
  <r>
    <n v="401"/>
    <x v="400"/>
    <x v="0"/>
    <x v="7"/>
    <x v="2"/>
    <n v="1200"/>
    <n v="1"/>
    <n v="1200"/>
    <n v="1200"/>
    <x v="1"/>
  </r>
  <r>
    <n v="402"/>
    <x v="401"/>
    <x v="0"/>
    <x v="0"/>
    <x v="0"/>
    <n v="1100"/>
    <n v="1"/>
    <n v="1100"/>
    <n v="1100"/>
    <x v="2"/>
  </r>
  <r>
    <n v="403"/>
    <x v="402"/>
    <x v="0"/>
    <x v="4"/>
    <x v="1"/>
    <n v="800"/>
    <n v="1"/>
    <n v="800"/>
    <n v="800"/>
    <x v="3"/>
  </r>
  <r>
    <n v="404"/>
    <x v="403"/>
    <x v="0"/>
    <x v="1"/>
    <x v="0"/>
    <n v="900"/>
    <n v="1"/>
    <n v="900"/>
    <n v="765"/>
    <x v="4"/>
  </r>
  <r>
    <n v="405"/>
    <x v="404"/>
    <x v="0"/>
    <x v="0"/>
    <x v="0"/>
    <n v="1100"/>
    <n v="1"/>
    <n v="1100"/>
    <n v="1100"/>
    <x v="5"/>
  </r>
  <r>
    <n v="406"/>
    <x v="405"/>
    <x v="1"/>
    <x v="4"/>
    <x v="1"/>
    <n v="800"/>
    <n v="1"/>
    <n v="800"/>
    <n v="800"/>
    <x v="6"/>
  </r>
  <r>
    <n v="407"/>
    <x v="406"/>
    <x v="0"/>
    <x v="6"/>
    <x v="2"/>
    <n v="1000"/>
    <n v="1"/>
    <n v="1000"/>
    <n v="1000"/>
    <x v="0"/>
  </r>
  <r>
    <n v="408"/>
    <x v="407"/>
    <x v="0"/>
    <x v="2"/>
    <x v="0"/>
    <n v="1000"/>
    <n v="1"/>
    <n v="1000"/>
    <n v="1000"/>
    <x v="1"/>
  </r>
  <r>
    <n v="409"/>
    <x v="408"/>
    <x v="0"/>
    <x v="0"/>
    <x v="0"/>
    <n v="1000"/>
    <n v="1"/>
    <n v="1000"/>
    <n v="1000"/>
    <x v="2"/>
  </r>
  <r>
    <n v="410"/>
    <x v="409"/>
    <x v="0"/>
    <x v="5"/>
    <x v="1"/>
    <n v="600"/>
    <n v="1"/>
    <n v="600"/>
    <n v="600"/>
    <x v="3"/>
  </r>
  <r>
    <n v="411"/>
    <x v="410"/>
    <x v="0"/>
    <x v="7"/>
    <x v="2"/>
    <n v="1200"/>
    <n v="1"/>
    <n v="1200"/>
    <n v="1200"/>
    <x v="4"/>
  </r>
  <r>
    <n v="412"/>
    <x v="411"/>
    <x v="0"/>
    <x v="5"/>
    <x v="1"/>
    <n v="600"/>
    <n v="1"/>
    <n v="600"/>
    <n v="600"/>
    <x v="5"/>
  </r>
  <r>
    <n v="413"/>
    <x v="412"/>
    <x v="0"/>
    <x v="5"/>
    <x v="1"/>
    <n v="600"/>
    <n v="1"/>
    <n v="600"/>
    <n v="600"/>
    <x v="6"/>
  </r>
  <r>
    <n v="414"/>
    <x v="413"/>
    <x v="0"/>
    <x v="0"/>
    <x v="0"/>
    <n v="1100"/>
    <n v="1"/>
    <n v="1100"/>
    <n v="1100"/>
    <x v="0"/>
  </r>
  <r>
    <n v="415"/>
    <x v="414"/>
    <x v="0"/>
    <x v="1"/>
    <x v="0"/>
    <n v="900"/>
    <n v="1"/>
    <n v="900"/>
    <n v="765"/>
    <x v="1"/>
  </r>
  <r>
    <n v="416"/>
    <x v="415"/>
    <x v="0"/>
    <x v="3"/>
    <x v="0"/>
    <n v="1000"/>
    <n v="1"/>
    <n v="1000"/>
    <n v="1000"/>
    <x v="2"/>
  </r>
  <r>
    <n v="417"/>
    <x v="416"/>
    <x v="0"/>
    <x v="1"/>
    <x v="0"/>
    <n v="900"/>
    <n v="1"/>
    <n v="900"/>
    <n v="765"/>
    <x v="3"/>
  </r>
  <r>
    <n v="418"/>
    <x v="417"/>
    <x v="0"/>
    <x v="5"/>
    <x v="1"/>
    <n v="600"/>
    <n v="1"/>
    <n v="600"/>
    <n v="600"/>
    <x v="4"/>
  </r>
  <r>
    <n v="419"/>
    <x v="418"/>
    <x v="0"/>
    <x v="6"/>
    <x v="2"/>
    <n v="850"/>
    <n v="1"/>
    <n v="850"/>
    <n v="850"/>
    <x v="5"/>
  </r>
  <r>
    <n v="420"/>
    <x v="419"/>
    <x v="0"/>
    <x v="8"/>
    <x v="3"/>
    <n v="500"/>
    <n v="1"/>
    <n v="500"/>
    <n v="500"/>
    <x v="6"/>
  </r>
  <r>
    <n v="421"/>
    <x v="420"/>
    <x v="0"/>
    <x v="3"/>
    <x v="0"/>
    <n v="1000"/>
    <n v="1"/>
    <n v="1000"/>
    <n v="1000"/>
    <x v="0"/>
  </r>
  <r>
    <n v="422"/>
    <x v="421"/>
    <x v="0"/>
    <x v="0"/>
    <x v="0"/>
    <n v="1100"/>
    <n v="1"/>
    <n v="1100"/>
    <n v="1100"/>
    <x v="1"/>
  </r>
  <r>
    <n v="423"/>
    <x v="422"/>
    <x v="0"/>
    <x v="0"/>
    <x v="0"/>
    <n v="1100"/>
    <n v="2"/>
    <n v="2200"/>
    <n v="2200"/>
    <x v="2"/>
  </r>
  <r>
    <n v="424"/>
    <x v="423"/>
    <x v="0"/>
    <x v="2"/>
    <x v="0"/>
    <n v="900"/>
    <n v="1"/>
    <n v="900"/>
    <n v="900"/>
    <x v="3"/>
  </r>
  <r>
    <n v="425"/>
    <x v="424"/>
    <x v="0"/>
    <x v="2"/>
    <x v="0"/>
    <n v="900"/>
    <n v="1"/>
    <n v="900"/>
    <n v="900"/>
    <x v="4"/>
  </r>
  <r>
    <n v="426"/>
    <x v="425"/>
    <x v="0"/>
    <x v="5"/>
    <x v="1"/>
    <n v="600"/>
    <n v="1"/>
    <n v="600"/>
    <n v="600"/>
    <x v="5"/>
  </r>
  <r>
    <n v="427"/>
    <x v="426"/>
    <x v="0"/>
    <x v="8"/>
    <x v="3"/>
    <n v="900"/>
    <n v="1"/>
    <n v="900"/>
    <n v="900"/>
    <x v="6"/>
  </r>
  <r>
    <n v="428"/>
    <x v="427"/>
    <x v="0"/>
    <x v="0"/>
    <x v="0"/>
    <n v="1100"/>
    <n v="1"/>
    <n v="1100"/>
    <n v="1100"/>
    <x v="0"/>
  </r>
  <r>
    <n v="429"/>
    <x v="428"/>
    <x v="0"/>
    <x v="5"/>
    <x v="1"/>
    <n v="600"/>
    <n v="1"/>
    <n v="600"/>
    <n v="600"/>
    <x v="1"/>
  </r>
  <r>
    <n v="430"/>
    <x v="429"/>
    <x v="0"/>
    <x v="5"/>
    <x v="1"/>
    <n v="600"/>
    <n v="1"/>
    <n v="600"/>
    <n v="600"/>
    <x v="2"/>
  </r>
  <r>
    <n v="431"/>
    <x v="430"/>
    <x v="0"/>
    <x v="8"/>
    <x v="3"/>
    <n v="500"/>
    <n v="1"/>
    <n v="500"/>
    <n v="500"/>
    <x v="3"/>
  </r>
  <r>
    <n v="432"/>
    <x v="431"/>
    <x v="0"/>
    <x v="2"/>
    <x v="0"/>
    <n v="900"/>
    <n v="1"/>
    <n v="900"/>
    <n v="900"/>
    <x v="4"/>
  </r>
  <r>
    <n v="433"/>
    <x v="432"/>
    <x v="0"/>
    <x v="7"/>
    <x v="2"/>
    <n v="1200"/>
    <n v="1"/>
    <n v="1200"/>
    <n v="1200"/>
    <x v="5"/>
  </r>
  <r>
    <n v="434"/>
    <x v="433"/>
    <x v="0"/>
    <x v="5"/>
    <x v="1"/>
    <n v="600"/>
    <n v="2"/>
    <n v="1200"/>
    <n v="1200"/>
    <x v="6"/>
  </r>
  <r>
    <n v="435"/>
    <x v="434"/>
    <x v="0"/>
    <x v="2"/>
    <x v="0"/>
    <n v="900"/>
    <n v="1"/>
    <n v="900"/>
    <n v="900"/>
    <x v="0"/>
  </r>
  <r>
    <n v="436"/>
    <x v="435"/>
    <x v="0"/>
    <x v="0"/>
    <x v="0"/>
    <n v="1100"/>
    <n v="2"/>
    <n v="2200"/>
    <n v="2200"/>
    <x v="1"/>
  </r>
  <r>
    <n v="437"/>
    <x v="436"/>
    <x v="0"/>
    <x v="9"/>
    <x v="3"/>
    <n v="600"/>
    <n v="1"/>
    <n v="600"/>
    <n v="600"/>
    <x v="2"/>
  </r>
  <r>
    <n v="438"/>
    <x v="437"/>
    <x v="0"/>
    <x v="5"/>
    <x v="1"/>
    <n v="600"/>
    <n v="1"/>
    <n v="600"/>
    <n v="600"/>
    <x v="3"/>
  </r>
  <r>
    <n v="439"/>
    <x v="438"/>
    <x v="0"/>
    <x v="9"/>
    <x v="3"/>
    <n v="300"/>
    <n v="2"/>
    <n v="600"/>
    <n v="600"/>
    <x v="4"/>
  </r>
  <r>
    <n v="440"/>
    <x v="439"/>
    <x v="0"/>
    <x v="0"/>
    <x v="0"/>
    <n v="1100"/>
    <n v="2"/>
    <n v="2200"/>
    <n v="2200"/>
    <x v="5"/>
  </r>
  <r>
    <n v="441"/>
    <x v="440"/>
    <x v="0"/>
    <x v="3"/>
    <x v="0"/>
    <n v="1000"/>
    <n v="1"/>
    <n v="1000"/>
    <n v="1000"/>
    <x v="6"/>
  </r>
  <r>
    <n v="442"/>
    <x v="441"/>
    <x v="0"/>
    <x v="5"/>
    <x v="1"/>
    <n v="600"/>
    <n v="1"/>
    <n v="600"/>
    <n v="600"/>
    <x v="0"/>
  </r>
  <r>
    <n v="443"/>
    <x v="442"/>
    <x v="0"/>
    <x v="2"/>
    <x v="0"/>
    <n v="900"/>
    <n v="1"/>
    <n v="900"/>
    <n v="900"/>
    <x v="1"/>
  </r>
  <r>
    <n v="444"/>
    <x v="443"/>
    <x v="0"/>
    <x v="7"/>
    <x v="2"/>
    <n v="1200"/>
    <n v="1"/>
    <n v="1200"/>
    <n v="1200"/>
    <x v="2"/>
  </r>
  <r>
    <n v="445"/>
    <x v="444"/>
    <x v="0"/>
    <x v="0"/>
    <x v="0"/>
    <n v="1100"/>
    <n v="1"/>
    <n v="1100"/>
    <n v="1100"/>
    <x v="3"/>
  </r>
  <r>
    <n v="446"/>
    <x v="445"/>
    <x v="0"/>
    <x v="6"/>
    <x v="2"/>
    <n v="850"/>
    <n v="1"/>
    <n v="850"/>
    <n v="850"/>
    <x v="4"/>
  </r>
  <r>
    <n v="447"/>
    <x v="446"/>
    <x v="0"/>
    <x v="0"/>
    <x v="0"/>
    <n v="1100"/>
    <n v="1"/>
    <n v="1100"/>
    <n v="1100"/>
    <x v="5"/>
  </r>
  <r>
    <n v="448"/>
    <x v="447"/>
    <x v="0"/>
    <x v="0"/>
    <x v="0"/>
    <n v="1100"/>
    <n v="2"/>
    <n v="2200"/>
    <n v="2200"/>
    <x v="6"/>
  </r>
  <r>
    <n v="449"/>
    <x v="448"/>
    <x v="0"/>
    <x v="2"/>
    <x v="0"/>
    <n v="900"/>
    <n v="1"/>
    <n v="900"/>
    <n v="900"/>
    <x v="0"/>
  </r>
  <r>
    <n v="450"/>
    <x v="449"/>
    <x v="0"/>
    <x v="5"/>
    <x v="1"/>
    <n v="600"/>
    <n v="1"/>
    <n v="600"/>
    <n v="600"/>
    <x v="1"/>
  </r>
  <r>
    <n v="451"/>
    <x v="450"/>
    <x v="0"/>
    <x v="5"/>
    <x v="1"/>
    <n v="600"/>
    <n v="1"/>
    <n v="600"/>
    <n v="600"/>
    <x v="2"/>
  </r>
  <r>
    <n v="452"/>
    <x v="451"/>
    <x v="0"/>
    <x v="7"/>
    <x v="2"/>
    <n v="1200"/>
    <n v="1"/>
    <n v="1200"/>
    <n v="1200"/>
    <x v="3"/>
  </r>
  <r>
    <n v="453"/>
    <x v="452"/>
    <x v="0"/>
    <x v="2"/>
    <x v="0"/>
    <n v="900"/>
    <n v="1"/>
    <n v="900"/>
    <n v="900"/>
    <x v="4"/>
  </r>
  <r>
    <n v="454"/>
    <x v="453"/>
    <x v="0"/>
    <x v="4"/>
    <x v="1"/>
    <n v="800"/>
    <n v="1"/>
    <n v="800"/>
    <n v="800"/>
    <x v="5"/>
  </r>
  <r>
    <n v="455"/>
    <x v="454"/>
    <x v="0"/>
    <x v="2"/>
    <x v="0"/>
    <n v="900"/>
    <n v="1"/>
    <n v="900"/>
    <n v="900"/>
    <x v="6"/>
  </r>
  <r>
    <n v="456"/>
    <x v="455"/>
    <x v="0"/>
    <x v="0"/>
    <x v="0"/>
    <n v="1100"/>
    <n v="1"/>
    <n v="1100"/>
    <n v="1100"/>
    <x v="0"/>
  </r>
  <r>
    <n v="457"/>
    <x v="456"/>
    <x v="0"/>
    <x v="9"/>
    <x v="3"/>
    <n v="600"/>
    <n v="1"/>
    <n v="600"/>
    <n v="600"/>
    <x v="1"/>
  </r>
  <r>
    <n v="458"/>
    <x v="457"/>
    <x v="0"/>
    <x v="0"/>
    <x v="0"/>
    <n v="1100"/>
    <n v="1"/>
    <n v="1100"/>
    <n v="1100"/>
    <x v="2"/>
  </r>
  <r>
    <n v="459"/>
    <x v="458"/>
    <x v="0"/>
    <x v="4"/>
    <x v="1"/>
    <n v="800"/>
    <n v="1"/>
    <n v="800"/>
    <n v="800"/>
    <x v="3"/>
  </r>
  <r>
    <n v="460"/>
    <x v="459"/>
    <x v="0"/>
    <x v="2"/>
    <x v="0"/>
    <n v="900"/>
    <n v="1"/>
    <n v="900"/>
    <n v="900"/>
    <x v="4"/>
  </r>
  <r>
    <n v="461"/>
    <x v="460"/>
    <x v="0"/>
    <x v="0"/>
    <x v="0"/>
    <n v="1100"/>
    <n v="1"/>
    <n v="1100"/>
    <n v="1100"/>
    <x v="5"/>
  </r>
  <r>
    <n v="462"/>
    <x v="461"/>
    <x v="0"/>
    <x v="2"/>
    <x v="0"/>
    <n v="900"/>
    <n v="1"/>
    <n v="900"/>
    <n v="900"/>
    <x v="6"/>
  </r>
  <r>
    <n v="463"/>
    <x v="462"/>
    <x v="0"/>
    <x v="5"/>
    <x v="1"/>
    <n v="600"/>
    <n v="1"/>
    <n v="600"/>
    <n v="600"/>
    <x v="0"/>
  </r>
  <r>
    <n v="464"/>
    <x v="463"/>
    <x v="0"/>
    <x v="0"/>
    <x v="0"/>
    <n v="1100"/>
    <n v="1"/>
    <n v="1100"/>
    <n v="1100"/>
    <x v="1"/>
  </r>
  <r>
    <n v="465"/>
    <x v="464"/>
    <x v="0"/>
    <x v="0"/>
    <x v="0"/>
    <n v="1100"/>
    <n v="2"/>
    <n v="2200"/>
    <n v="2200"/>
    <x v="2"/>
  </r>
  <r>
    <n v="466"/>
    <x v="465"/>
    <x v="0"/>
    <x v="0"/>
    <x v="0"/>
    <n v="1100"/>
    <n v="1"/>
    <n v="1100"/>
    <n v="1100"/>
    <x v="3"/>
  </r>
  <r>
    <n v="467"/>
    <x v="466"/>
    <x v="0"/>
    <x v="0"/>
    <x v="0"/>
    <n v="1100"/>
    <n v="1"/>
    <n v="1100"/>
    <n v="1100"/>
    <x v="4"/>
  </r>
  <r>
    <n v="468"/>
    <x v="467"/>
    <x v="0"/>
    <x v="0"/>
    <x v="0"/>
    <n v="1100"/>
    <n v="1"/>
    <n v="1100"/>
    <n v="1100"/>
    <x v="5"/>
  </r>
  <r>
    <n v="469"/>
    <x v="468"/>
    <x v="0"/>
    <x v="5"/>
    <x v="1"/>
    <n v="600"/>
    <n v="1"/>
    <n v="600"/>
    <n v="600"/>
    <x v="6"/>
  </r>
  <r>
    <n v="470"/>
    <x v="469"/>
    <x v="0"/>
    <x v="0"/>
    <x v="0"/>
    <n v="1100"/>
    <n v="1"/>
    <n v="1100"/>
    <n v="1100"/>
    <x v="0"/>
  </r>
  <r>
    <n v="471"/>
    <x v="470"/>
    <x v="0"/>
    <x v="5"/>
    <x v="1"/>
    <n v="600"/>
    <n v="1"/>
    <n v="600"/>
    <n v="600"/>
    <x v="1"/>
  </r>
  <r>
    <n v="472"/>
    <x v="471"/>
    <x v="0"/>
    <x v="2"/>
    <x v="0"/>
    <n v="900"/>
    <n v="1"/>
    <n v="900"/>
    <n v="900"/>
    <x v="2"/>
  </r>
  <r>
    <n v="473"/>
    <x v="472"/>
    <x v="0"/>
    <x v="0"/>
    <x v="0"/>
    <n v="1100"/>
    <n v="1"/>
    <n v="1100"/>
    <n v="1100"/>
    <x v="3"/>
  </r>
  <r>
    <n v="474"/>
    <x v="473"/>
    <x v="0"/>
    <x v="5"/>
    <x v="1"/>
    <n v="600"/>
    <n v="1"/>
    <n v="600"/>
    <n v="600"/>
    <x v="4"/>
  </r>
  <r>
    <n v="475"/>
    <x v="474"/>
    <x v="0"/>
    <x v="5"/>
    <x v="1"/>
    <n v="600"/>
    <n v="1"/>
    <n v="600"/>
    <n v="600"/>
    <x v="5"/>
  </r>
  <r>
    <n v="476"/>
    <x v="475"/>
    <x v="0"/>
    <x v="6"/>
    <x v="2"/>
    <n v="850"/>
    <n v="1"/>
    <n v="850"/>
    <n v="850"/>
    <x v="6"/>
  </r>
  <r>
    <n v="477"/>
    <x v="476"/>
    <x v="0"/>
    <x v="5"/>
    <x v="1"/>
    <n v="600"/>
    <n v="1"/>
    <n v="600"/>
    <n v="600"/>
    <x v="0"/>
  </r>
  <r>
    <n v="478"/>
    <x v="477"/>
    <x v="0"/>
    <x v="0"/>
    <x v="0"/>
    <n v="1100"/>
    <n v="1"/>
    <n v="1100"/>
    <n v="1100"/>
    <x v="1"/>
  </r>
  <r>
    <n v="479"/>
    <x v="478"/>
    <x v="0"/>
    <x v="9"/>
    <x v="3"/>
    <n v="300"/>
    <n v="1"/>
    <n v="300"/>
    <n v="300"/>
    <x v="2"/>
  </r>
  <r>
    <n v="480"/>
    <x v="479"/>
    <x v="0"/>
    <x v="9"/>
    <x v="3"/>
    <n v="300"/>
    <n v="1"/>
    <n v="300"/>
    <n v="300"/>
    <x v="3"/>
  </r>
  <r>
    <n v="481"/>
    <x v="480"/>
    <x v="0"/>
    <x v="5"/>
    <x v="1"/>
    <n v="600"/>
    <n v="1"/>
    <n v="600"/>
    <n v="600"/>
    <x v="4"/>
  </r>
  <r>
    <n v="482"/>
    <x v="481"/>
    <x v="0"/>
    <x v="8"/>
    <x v="3"/>
    <n v="800"/>
    <n v="1"/>
    <n v="800"/>
    <n v="800"/>
    <x v="5"/>
  </r>
  <r>
    <n v="483"/>
    <x v="482"/>
    <x v="0"/>
    <x v="5"/>
    <x v="1"/>
    <n v="600"/>
    <n v="1"/>
    <n v="600"/>
    <n v="600"/>
    <x v="6"/>
  </r>
  <r>
    <n v="484"/>
    <x v="483"/>
    <x v="0"/>
    <x v="8"/>
    <x v="3"/>
    <n v="500"/>
    <n v="1"/>
    <n v="500"/>
    <n v="500"/>
    <x v="0"/>
  </r>
  <r>
    <n v="485"/>
    <x v="484"/>
    <x v="0"/>
    <x v="0"/>
    <x v="0"/>
    <n v="1100"/>
    <n v="1"/>
    <n v="1100"/>
    <n v="1100"/>
    <x v="1"/>
  </r>
  <r>
    <n v="486"/>
    <x v="485"/>
    <x v="0"/>
    <x v="5"/>
    <x v="1"/>
    <n v="600"/>
    <n v="1"/>
    <n v="600"/>
    <n v="600"/>
    <x v="2"/>
  </r>
  <r>
    <n v="487"/>
    <x v="486"/>
    <x v="0"/>
    <x v="1"/>
    <x v="0"/>
    <n v="900"/>
    <n v="1"/>
    <n v="900"/>
    <n v="765"/>
    <x v="3"/>
  </r>
  <r>
    <n v="488"/>
    <x v="487"/>
    <x v="0"/>
    <x v="0"/>
    <x v="0"/>
    <n v="1100"/>
    <n v="1"/>
    <n v="1100"/>
    <n v="1100"/>
    <x v="4"/>
  </r>
  <r>
    <n v="489"/>
    <x v="488"/>
    <x v="0"/>
    <x v="7"/>
    <x v="2"/>
    <n v="1200"/>
    <n v="1"/>
    <n v="1200"/>
    <n v="1200"/>
    <x v="5"/>
  </r>
  <r>
    <n v="490"/>
    <x v="489"/>
    <x v="0"/>
    <x v="0"/>
    <x v="0"/>
    <n v="1100"/>
    <n v="1"/>
    <n v="1100"/>
    <n v="1100"/>
    <x v="6"/>
  </r>
  <r>
    <n v="491"/>
    <x v="490"/>
    <x v="0"/>
    <x v="1"/>
    <x v="0"/>
    <n v="900"/>
    <n v="1"/>
    <n v="900"/>
    <n v="765"/>
    <x v="0"/>
  </r>
  <r>
    <n v="492"/>
    <x v="491"/>
    <x v="0"/>
    <x v="8"/>
    <x v="3"/>
    <n v="900"/>
    <n v="1"/>
    <n v="900"/>
    <n v="900"/>
    <x v="1"/>
  </r>
  <r>
    <n v="493"/>
    <x v="492"/>
    <x v="0"/>
    <x v="9"/>
    <x v="3"/>
    <n v="600"/>
    <n v="1"/>
    <n v="600"/>
    <n v="600"/>
    <x v="2"/>
  </r>
  <r>
    <n v="494"/>
    <x v="493"/>
    <x v="0"/>
    <x v="0"/>
    <x v="0"/>
    <n v="1100"/>
    <n v="1"/>
    <n v="1100"/>
    <n v="1100"/>
    <x v="3"/>
  </r>
  <r>
    <n v="495"/>
    <x v="494"/>
    <x v="0"/>
    <x v="0"/>
    <x v="0"/>
    <n v="1100"/>
    <n v="1"/>
    <n v="1100"/>
    <n v="1100"/>
    <x v="4"/>
  </r>
  <r>
    <n v="496"/>
    <x v="495"/>
    <x v="0"/>
    <x v="8"/>
    <x v="3"/>
    <n v="500"/>
    <n v="1"/>
    <n v="500"/>
    <n v="500"/>
    <x v="5"/>
  </r>
  <r>
    <n v="497"/>
    <x v="496"/>
    <x v="0"/>
    <x v="6"/>
    <x v="2"/>
    <n v="850"/>
    <n v="1"/>
    <n v="850"/>
    <n v="850"/>
    <x v="6"/>
  </r>
  <r>
    <n v="498"/>
    <x v="497"/>
    <x v="0"/>
    <x v="0"/>
    <x v="0"/>
    <n v="1100"/>
    <n v="1"/>
    <n v="1100"/>
    <n v="1100"/>
    <x v="0"/>
  </r>
  <r>
    <n v="499"/>
    <x v="498"/>
    <x v="0"/>
    <x v="9"/>
    <x v="3"/>
    <n v="300"/>
    <n v="1"/>
    <n v="300"/>
    <n v="300"/>
    <x v="1"/>
  </r>
  <r>
    <n v="500"/>
    <x v="499"/>
    <x v="0"/>
    <x v="4"/>
    <x v="1"/>
    <n v="800"/>
    <n v="1"/>
    <n v="800"/>
    <n v="800"/>
    <x v="2"/>
  </r>
  <r>
    <n v="501"/>
    <x v="500"/>
    <x v="0"/>
    <x v="1"/>
    <x v="0"/>
    <n v="900"/>
    <n v="1"/>
    <n v="900"/>
    <n v="765"/>
    <x v="3"/>
  </r>
  <r>
    <n v="502"/>
    <x v="501"/>
    <x v="0"/>
    <x v="0"/>
    <x v="0"/>
    <n v="1100"/>
    <n v="1"/>
    <n v="1100"/>
    <n v="1100"/>
    <x v="4"/>
  </r>
  <r>
    <n v="503"/>
    <x v="502"/>
    <x v="0"/>
    <x v="8"/>
    <x v="3"/>
    <n v="500"/>
    <n v="1"/>
    <n v="500"/>
    <n v="500"/>
    <x v="5"/>
  </r>
  <r>
    <n v="504"/>
    <x v="503"/>
    <x v="0"/>
    <x v="5"/>
    <x v="1"/>
    <n v="600"/>
    <n v="1"/>
    <n v="600"/>
    <n v="600"/>
    <x v="6"/>
  </r>
  <r>
    <n v="505"/>
    <x v="504"/>
    <x v="0"/>
    <x v="2"/>
    <x v="0"/>
    <n v="900"/>
    <n v="1"/>
    <n v="900"/>
    <n v="900"/>
    <x v="0"/>
  </r>
  <r>
    <n v="506"/>
    <x v="505"/>
    <x v="0"/>
    <x v="9"/>
    <x v="3"/>
    <n v="600"/>
    <n v="1"/>
    <n v="600"/>
    <n v="600"/>
    <x v="1"/>
  </r>
  <r>
    <n v="507"/>
    <x v="506"/>
    <x v="0"/>
    <x v="5"/>
    <x v="1"/>
    <n v="600"/>
    <n v="1"/>
    <n v="600"/>
    <n v="600"/>
    <x v="2"/>
  </r>
  <r>
    <n v="508"/>
    <x v="507"/>
    <x v="0"/>
    <x v="0"/>
    <x v="0"/>
    <n v="1100"/>
    <n v="1"/>
    <n v="1100"/>
    <n v="1100"/>
    <x v="3"/>
  </r>
  <r>
    <n v="509"/>
    <x v="508"/>
    <x v="0"/>
    <x v="0"/>
    <x v="0"/>
    <n v="1100"/>
    <n v="2"/>
    <n v="2200"/>
    <n v="2200"/>
    <x v="4"/>
  </r>
  <r>
    <n v="510"/>
    <x v="509"/>
    <x v="0"/>
    <x v="0"/>
    <x v="0"/>
    <n v="1100"/>
    <n v="1"/>
    <n v="1100"/>
    <n v="1100"/>
    <x v="5"/>
  </r>
  <r>
    <n v="511"/>
    <x v="510"/>
    <x v="0"/>
    <x v="6"/>
    <x v="2"/>
    <n v="850"/>
    <n v="1"/>
    <n v="850"/>
    <n v="850"/>
    <x v="6"/>
  </r>
  <r>
    <n v="512"/>
    <x v="511"/>
    <x v="0"/>
    <x v="0"/>
    <x v="0"/>
    <n v="1100"/>
    <n v="1"/>
    <n v="1100"/>
    <n v="1100"/>
    <x v="0"/>
  </r>
  <r>
    <n v="513"/>
    <x v="512"/>
    <x v="0"/>
    <x v="1"/>
    <x v="0"/>
    <n v="900"/>
    <n v="1"/>
    <n v="900"/>
    <n v="765"/>
    <x v="1"/>
  </r>
  <r>
    <n v="514"/>
    <x v="513"/>
    <x v="0"/>
    <x v="2"/>
    <x v="0"/>
    <n v="900"/>
    <n v="1"/>
    <n v="900"/>
    <n v="900"/>
    <x v="2"/>
  </r>
  <r>
    <n v="515"/>
    <x v="514"/>
    <x v="0"/>
    <x v="1"/>
    <x v="0"/>
    <n v="900"/>
    <n v="1"/>
    <n v="900"/>
    <n v="765"/>
    <x v="3"/>
  </r>
  <r>
    <n v="516"/>
    <x v="515"/>
    <x v="0"/>
    <x v="3"/>
    <x v="0"/>
    <n v="1000"/>
    <n v="1"/>
    <n v="1000"/>
    <n v="1000"/>
    <x v="4"/>
  </r>
  <r>
    <n v="517"/>
    <x v="516"/>
    <x v="0"/>
    <x v="7"/>
    <x v="2"/>
    <n v="1200"/>
    <n v="1"/>
    <n v="1200"/>
    <n v="1200"/>
    <x v="5"/>
  </r>
  <r>
    <n v="518"/>
    <x v="517"/>
    <x v="0"/>
    <x v="2"/>
    <x v="0"/>
    <n v="900"/>
    <n v="1"/>
    <n v="900"/>
    <n v="900"/>
    <x v="6"/>
  </r>
  <r>
    <n v="519"/>
    <x v="518"/>
    <x v="0"/>
    <x v="5"/>
    <x v="1"/>
    <n v="600"/>
    <n v="1"/>
    <n v="600"/>
    <n v="600"/>
    <x v="0"/>
  </r>
  <r>
    <n v="520"/>
    <x v="519"/>
    <x v="0"/>
    <x v="9"/>
    <x v="3"/>
    <n v="600"/>
    <n v="1"/>
    <n v="600"/>
    <n v="600"/>
    <x v="1"/>
  </r>
  <r>
    <n v="521"/>
    <x v="520"/>
    <x v="0"/>
    <x v="4"/>
    <x v="1"/>
    <n v="800"/>
    <n v="1"/>
    <n v="800"/>
    <n v="800"/>
    <x v="2"/>
  </r>
  <r>
    <n v="522"/>
    <x v="521"/>
    <x v="0"/>
    <x v="9"/>
    <x v="3"/>
    <n v="600"/>
    <n v="1"/>
    <n v="600"/>
    <n v="600"/>
    <x v="3"/>
  </r>
  <r>
    <n v="523"/>
    <x v="522"/>
    <x v="0"/>
    <x v="0"/>
    <x v="0"/>
    <n v="1100"/>
    <n v="1"/>
    <n v="1100"/>
    <n v="1100"/>
    <x v="4"/>
  </r>
  <r>
    <n v="524"/>
    <x v="523"/>
    <x v="0"/>
    <x v="0"/>
    <x v="0"/>
    <n v="1100"/>
    <n v="1"/>
    <n v="1100"/>
    <n v="1100"/>
    <x v="5"/>
  </r>
  <r>
    <n v="525"/>
    <x v="524"/>
    <x v="0"/>
    <x v="6"/>
    <x v="2"/>
    <n v="850"/>
    <n v="1"/>
    <n v="850"/>
    <n v="850"/>
    <x v="6"/>
  </r>
  <r>
    <n v="526"/>
    <x v="525"/>
    <x v="0"/>
    <x v="0"/>
    <x v="0"/>
    <n v="1100"/>
    <n v="1"/>
    <n v="1100"/>
    <n v="1100"/>
    <x v="0"/>
  </r>
  <r>
    <n v="527"/>
    <x v="526"/>
    <x v="0"/>
    <x v="0"/>
    <x v="0"/>
    <n v="1100"/>
    <n v="2"/>
    <n v="2200"/>
    <n v="2200"/>
    <x v="1"/>
  </r>
  <r>
    <n v="528"/>
    <x v="527"/>
    <x v="0"/>
    <x v="9"/>
    <x v="3"/>
    <n v="300"/>
    <n v="1"/>
    <n v="300"/>
    <n v="300"/>
    <x v="2"/>
  </r>
  <r>
    <n v="529"/>
    <x v="528"/>
    <x v="0"/>
    <x v="5"/>
    <x v="1"/>
    <n v="600"/>
    <n v="1"/>
    <n v="600"/>
    <n v="600"/>
    <x v="3"/>
  </r>
  <r>
    <n v="530"/>
    <x v="529"/>
    <x v="0"/>
    <x v="5"/>
    <x v="1"/>
    <n v="600"/>
    <n v="1"/>
    <n v="600"/>
    <n v="600"/>
    <x v="4"/>
  </r>
  <r>
    <n v="531"/>
    <x v="530"/>
    <x v="0"/>
    <x v="0"/>
    <x v="0"/>
    <n v="1100"/>
    <n v="1"/>
    <n v="1100"/>
    <n v="1100"/>
    <x v="5"/>
  </r>
  <r>
    <n v="532"/>
    <x v="531"/>
    <x v="0"/>
    <x v="2"/>
    <x v="0"/>
    <n v="900"/>
    <n v="1"/>
    <n v="900"/>
    <n v="900"/>
    <x v="6"/>
  </r>
  <r>
    <n v="533"/>
    <x v="532"/>
    <x v="0"/>
    <x v="1"/>
    <x v="0"/>
    <n v="900"/>
    <n v="1"/>
    <n v="900"/>
    <n v="765"/>
    <x v="0"/>
  </r>
  <r>
    <n v="534"/>
    <x v="533"/>
    <x v="0"/>
    <x v="1"/>
    <x v="0"/>
    <n v="900"/>
    <n v="1"/>
    <n v="900"/>
    <n v="765"/>
    <x v="1"/>
  </r>
  <r>
    <n v="535"/>
    <x v="534"/>
    <x v="0"/>
    <x v="0"/>
    <x v="0"/>
    <n v="1100"/>
    <n v="1"/>
    <n v="1100"/>
    <n v="1100"/>
    <x v="2"/>
  </r>
  <r>
    <n v="536"/>
    <x v="535"/>
    <x v="0"/>
    <x v="9"/>
    <x v="3"/>
    <n v="600"/>
    <n v="2"/>
    <n v="1200"/>
    <n v="1200"/>
    <x v="3"/>
  </r>
  <r>
    <n v="537"/>
    <x v="536"/>
    <x v="0"/>
    <x v="6"/>
    <x v="2"/>
    <n v="850"/>
    <n v="1"/>
    <n v="850"/>
    <n v="850"/>
    <x v="4"/>
  </r>
  <r>
    <n v="538"/>
    <x v="537"/>
    <x v="0"/>
    <x v="1"/>
    <x v="0"/>
    <n v="900"/>
    <n v="1"/>
    <n v="900"/>
    <n v="765"/>
    <x v="5"/>
  </r>
  <r>
    <n v="539"/>
    <x v="538"/>
    <x v="0"/>
    <x v="5"/>
    <x v="1"/>
    <n v="600"/>
    <n v="1"/>
    <n v="600"/>
    <n v="600"/>
    <x v="6"/>
  </r>
  <r>
    <n v="540"/>
    <x v="539"/>
    <x v="0"/>
    <x v="5"/>
    <x v="1"/>
    <n v="600"/>
    <n v="1"/>
    <n v="600"/>
    <n v="600"/>
    <x v="0"/>
  </r>
  <r>
    <n v="541"/>
    <x v="540"/>
    <x v="0"/>
    <x v="0"/>
    <x v="0"/>
    <n v="1100"/>
    <n v="1"/>
    <n v="1100"/>
    <n v="1100"/>
    <x v="1"/>
  </r>
  <r>
    <n v="542"/>
    <x v="541"/>
    <x v="0"/>
    <x v="0"/>
    <x v="0"/>
    <n v="1100"/>
    <n v="1"/>
    <n v="1100"/>
    <n v="1100"/>
    <x v="2"/>
  </r>
  <r>
    <n v="543"/>
    <x v="542"/>
    <x v="0"/>
    <x v="0"/>
    <x v="0"/>
    <n v="1100"/>
    <n v="1"/>
    <n v="1100"/>
    <n v="1100"/>
    <x v="3"/>
  </r>
  <r>
    <n v="544"/>
    <x v="543"/>
    <x v="0"/>
    <x v="0"/>
    <x v="0"/>
    <n v="1100"/>
    <n v="1"/>
    <n v="1100"/>
    <n v="1100"/>
    <x v="4"/>
  </r>
  <r>
    <n v="545"/>
    <x v="544"/>
    <x v="0"/>
    <x v="1"/>
    <x v="0"/>
    <n v="1100"/>
    <n v="1"/>
    <n v="1100"/>
    <n v="935"/>
    <x v="5"/>
  </r>
  <r>
    <n v="546"/>
    <x v="545"/>
    <x v="0"/>
    <x v="1"/>
    <x v="0"/>
    <n v="1100"/>
    <n v="1"/>
    <n v="1100"/>
    <n v="935"/>
    <x v="6"/>
  </r>
  <r>
    <n v="547"/>
    <x v="546"/>
    <x v="0"/>
    <x v="1"/>
    <x v="0"/>
    <n v="1100"/>
    <n v="1"/>
    <n v="1100"/>
    <n v="935"/>
    <x v="0"/>
  </r>
  <r>
    <n v="548"/>
    <x v="547"/>
    <x v="0"/>
    <x v="1"/>
    <x v="0"/>
    <n v="1100"/>
    <n v="2"/>
    <n v="2200"/>
    <n v="1870"/>
    <x v="1"/>
  </r>
  <r>
    <n v="549"/>
    <x v="548"/>
    <x v="0"/>
    <x v="1"/>
    <x v="0"/>
    <n v="1100"/>
    <n v="1"/>
    <n v="1100"/>
    <n v="935"/>
    <x v="2"/>
  </r>
  <r>
    <n v="550"/>
    <x v="549"/>
    <x v="0"/>
    <x v="1"/>
    <x v="0"/>
    <n v="1100"/>
    <n v="1"/>
    <n v="1100"/>
    <n v="935"/>
    <x v="3"/>
  </r>
  <r>
    <n v="551"/>
    <x v="550"/>
    <x v="0"/>
    <x v="1"/>
    <x v="0"/>
    <n v="900"/>
    <n v="1"/>
    <n v="900"/>
    <n v="765"/>
    <x v="4"/>
  </r>
  <r>
    <n v="552"/>
    <x v="551"/>
    <x v="0"/>
    <x v="1"/>
    <x v="0"/>
    <n v="900"/>
    <n v="1"/>
    <n v="900"/>
    <n v="765"/>
    <x v="5"/>
  </r>
  <r>
    <n v="553"/>
    <x v="552"/>
    <x v="0"/>
    <x v="1"/>
    <x v="0"/>
    <n v="900"/>
    <n v="1"/>
    <n v="900"/>
    <n v="765"/>
    <x v="6"/>
  </r>
  <r>
    <n v="554"/>
    <x v="553"/>
    <x v="0"/>
    <x v="1"/>
    <x v="0"/>
    <n v="900"/>
    <n v="2"/>
    <n v="1800"/>
    <n v="1530"/>
    <x v="0"/>
  </r>
  <r>
    <n v="555"/>
    <x v="554"/>
    <x v="0"/>
    <x v="1"/>
    <x v="0"/>
    <n v="900"/>
    <n v="1"/>
    <n v="900"/>
    <n v="765"/>
    <x v="1"/>
  </r>
  <r>
    <n v="556"/>
    <x v="555"/>
    <x v="0"/>
    <x v="1"/>
    <x v="0"/>
    <n v="900"/>
    <n v="1"/>
    <n v="900"/>
    <n v="765"/>
    <x v="2"/>
  </r>
  <r>
    <n v="557"/>
    <x v="556"/>
    <x v="0"/>
    <x v="1"/>
    <x v="0"/>
    <n v="1100"/>
    <n v="1"/>
    <n v="1100"/>
    <n v="935"/>
    <x v="3"/>
  </r>
  <r>
    <n v="558"/>
    <x v="557"/>
    <x v="1"/>
    <x v="1"/>
    <x v="0"/>
    <n v="900"/>
    <n v="1"/>
    <n v="900"/>
    <n v="765"/>
    <x v="4"/>
  </r>
  <r>
    <n v="559"/>
    <x v="558"/>
    <x v="1"/>
    <x v="1"/>
    <x v="0"/>
    <n v="1100"/>
    <n v="2"/>
    <n v="2200"/>
    <n v="1870"/>
    <x v="5"/>
  </r>
  <r>
    <n v="560"/>
    <x v="559"/>
    <x v="1"/>
    <x v="1"/>
    <x v="0"/>
    <n v="1100"/>
    <n v="1"/>
    <n v="1100"/>
    <n v="935"/>
    <x v="6"/>
  </r>
  <r>
    <n v="561"/>
    <x v="560"/>
    <x v="1"/>
    <x v="1"/>
    <x v="0"/>
    <n v="900"/>
    <n v="1"/>
    <n v="900"/>
    <n v="765"/>
    <x v="0"/>
  </r>
  <r>
    <n v="562"/>
    <x v="561"/>
    <x v="1"/>
    <x v="1"/>
    <x v="0"/>
    <n v="900"/>
    <n v="1"/>
    <n v="900"/>
    <n v="765"/>
    <x v="1"/>
  </r>
  <r>
    <n v="563"/>
    <x v="562"/>
    <x v="1"/>
    <x v="2"/>
    <x v="0"/>
    <n v="900"/>
    <n v="1"/>
    <n v="900"/>
    <n v="900"/>
    <x v="2"/>
  </r>
  <r>
    <n v="564"/>
    <x v="563"/>
    <x v="1"/>
    <x v="1"/>
    <x v="0"/>
    <n v="1100"/>
    <n v="1"/>
    <n v="1100"/>
    <n v="935"/>
    <x v="3"/>
  </r>
  <r>
    <n v="565"/>
    <x v="564"/>
    <x v="1"/>
    <x v="1"/>
    <x v="0"/>
    <n v="1100"/>
    <n v="1"/>
    <n v="1100"/>
    <n v="935"/>
    <x v="4"/>
  </r>
  <r>
    <n v="566"/>
    <x v="565"/>
    <x v="1"/>
    <x v="2"/>
    <x v="0"/>
    <n v="900"/>
    <n v="1"/>
    <n v="900"/>
    <n v="900"/>
    <x v="5"/>
  </r>
  <r>
    <n v="567"/>
    <x v="566"/>
    <x v="0"/>
    <x v="1"/>
    <x v="0"/>
    <n v="900"/>
    <n v="1"/>
    <n v="900"/>
    <n v="765"/>
    <x v="6"/>
  </r>
  <r>
    <n v="568"/>
    <x v="567"/>
    <x v="0"/>
    <x v="2"/>
    <x v="0"/>
    <n v="900"/>
    <n v="1"/>
    <n v="900"/>
    <n v="900"/>
    <x v="0"/>
  </r>
  <r>
    <n v="569"/>
    <x v="568"/>
    <x v="0"/>
    <x v="1"/>
    <x v="0"/>
    <n v="1100"/>
    <n v="1"/>
    <n v="1100"/>
    <n v="935"/>
    <x v="1"/>
  </r>
  <r>
    <n v="570"/>
    <x v="569"/>
    <x v="0"/>
    <x v="1"/>
    <x v="0"/>
    <n v="1100"/>
    <n v="1"/>
    <n v="1100"/>
    <n v="935"/>
    <x v="2"/>
  </r>
  <r>
    <n v="571"/>
    <x v="570"/>
    <x v="0"/>
    <x v="2"/>
    <x v="0"/>
    <n v="900"/>
    <n v="1"/>
    <n v="900"/>
    <n v="900"/>
    <x v="3"/>
  </r>
  <r>
    <n v="572"/>
    <x v="571"/>
    <x v="0"/>
    <x v="2"/>
    <x v="0"/>
    <n v="900"/>
    <n v="1"/>
    <n v="900"/>
    <n v="900"/>
    <x v="4"/>
  </r>
  <r>
    <n v="573"/>
    <x v="572"/>
    <x v="0"/>
    <x v="2"/>
    <x v="0"/>
    <n v="900"/>
    <n v="1"/>
    <n v="900"/>
    <n v="900"/>
    <x v="5"/>
  </r>
  <r>
    <n v="574"/>
    <x v="573"/>
    <x v="0"/>
    <x v="2"/>
    <x v="0"/>
    <n v="900"/>
    <n v="1"/>
    <n v="900"/>
    <n v="900"/>
    <x v="6"/>
  </r>
  <r>
    <n v="575"/>
    <x v="574"/>
    <x v="0"/>
    <x v="2"/>
    <x v="0"/>
    <n v="900"/>
    <n v="1"/>
    <n v="900"/>
    <n v="900"/>
    <x v="0"/>
  </r>
  <r>
    <n v="576"/>
    <x v="575"/>
    <x v="0"/>
    <x v="1"/>
    <x v="0"/>
    <n v="900"/>
    <n v="1"/>
    <n v="900"/>
    <n v="765"/>
    <x v="1"/>
  </r>
  <r>
    <n v="577"/>
    <x v="576"/>
    <x v="0"/>
    <x v="1"/>
    <x v="0"/>
    <n v="900"/>
    <n v="1"/>
    <n v="900"/>
    <n v="765"/>
    <x v="2"/>
  </r>
  <r>
    <n v="578"/>
    <x v="577"/>
    <x v="0"/>
    <x v="1"/>
    <x v="0"/>
    <n v="900"/>
    <n v="1"/>
    <n v="900"/>
    <n v="765"/>
    <x v="3"/>
  </r>
  <r>
    <n v="579"/>
    <x v="578"/>
    <x v="0"/>
    <x v="1"/>
    <x v="0"/>
    <n v="1100"/>
    <n v="1"/>
    <n v="1100"/>
    <n v="935"/>
    <x v="4"/>
  </r>
  <r>
    <n v="580"/>
    <x v="579"/>
    <x v="0"/>
    <x v="1"/>
    <x v="0"/>
    <n v="1100"/>
    <n v="1"/>
    <n v="1100"/>
    <n v="935"/>
    <x v="5"/>
  </r>
  <r>
    <n v="581"/>
    <x v="580"/>
    <x v="0"/>
    <x v="3"/>
    <x v="0"/>
    <n v="1000"/>
    <n v="1"/>
    <n v="1000"/>
    <n v="1000"/>
    <x v="6"/>
  </r>
  <r>
    <n v="582"/>
    <x v="581"/>
    <x v="0"/>
    <x v="3"/>
    <x v="0"/>
    <n v="1000"/>
    <n v="1"/>
    <n v="1000"/>
    <n v="1000"/>
    <x v="0"/>
  </r>
  <r>
    <n v="583"/>
    <x v="582"/>
    <x v="0"/>
    <x v="1"/>
    <x v="0"/>
    <n v="1100"/>
    <n v="1"/>
    <n v="1100"/>
    <n v="935"/>
    <x v="1"/>
  </r>
  <r>
    <n v="584"/>
    <x v="583"/>
    <x v="0"/>
    <x v="3"/>
    <x v="0"/>
    <n v="1000"/>
    <n v="1"/>
    <n v="1000"/>
    <n v="1000"/>
    <x v="2"/>
  </r>
  <r>
    <n v="585"/>
    <x v="584"/>
    <x v="0"/>
    <x v="1"/>
    <x v="0"/>
    <n v="900"/>
    <n v="1"/>
    <n v="900"/>
    <n v="765"/>
    <x v="3"/>
  </r>
  <r>
    <n v="586"/>
    <x v="585"/>
    <x v="0"/>
    <x v="1"/>
    <x v="0"/>
    <n v="900"/>
    <n v="2"/>
    <n v="1800"/>
    <n v="1530"/>
    <x v="4"/>
  </r>
  <r>
    <n v="587"/>
    <x v="586"/>
    <x v="0"/>
    <x v="1"/>
    <x v="0"/>
    <n v="1100"/>
    <n v="1"/>
    <n v="1100"/>
    <n v="935"/>
    <x v="5"/>
  </r>
  <r>
    <n v="588"/>
    <x v="587"/>
    <x v="0"/>
    <x v="1"/>
    <x v="0"/>
    <n v="900"/>
    <n v="1"/>
    <n v="900"/>
    <n v="765"/>
    <x v="6"/>
  </r>
  <r>
    <n v="589"/>
    <x v="588"/>
    <x v="0"/>
    <x v="1"/>
    <x v="0"/>
    <n v="1100"/>
    <n v="1"/>
    <n v="1100"/>
    <n v="935"/>
    <x v="0"/>
  </r>
  <r>
    <n v="590"/>
    <x v="589"/>
    <x v="0"/>
    <x v="4"/>
    <x v="1"/>
    <n v="800"/>
    <n v="1"/>
    <n v="800"/>
    <n v="800"/>
    <x v="1"/>
  </r>
  <r>
    <n v="591"/>
    <x v="590"/>
    <x v="0"/>
    <x v="4"/>
    <x v="1"/>
    <n v="800"/>
    <n v="2"/>
    <n v="1600"/>
    <n v="1600"/>
    <x v="2"/>
  </r>
  <r>
    <n v="592"/>
    <x v="591"/>
    <x v="0"/>
    <x v="2"/>
    <x v="0"/>
    <n v="900"/>
    <n v="1"/>
    <n v="900"/>
    <n v="900"/>
    <x v="3"/>
  </r>
  <r>
    <n v="593"/>
    <x v="592"/>
    <x v="0"/>
    <x v="1"/>
    <x v="0"/>
    <n v="1100"/>
    <n v="1"/>
    <n v="1100"/>
    <n v="935"/>
    <x v="4"/>
  </r>
  <r>
    <n v="594"/>
    <x v="593"/>
    <x v="0"/>
    <x v="4"/>
    <x v="1"/>
    <n v="800"/>
    <n v="1"/>
    <n v="800"/>
    <n v="800"/>
    <x v="5"/>
  </r>
  <r>
    <n v="595"/>
    <x v="594"/>
    <x v="0"/>
    <x v="3"/>
    <x v="0"/>
    <n v="1000"/>
    <n v="1"/>
    <n v="1000"/>
    <n v="1000"/>
    <x v="6"/>
  </r>
  <r>
    <n v="596"/>
    <x v="595"/>
    <x v="0"/>
    <x v="4"/>
    <x v="1"/>
    <n v="800"/>
    <n v="1"/>
    <n v="800"/>
    <n v="800"/>
    <x v="0"/>
  </r>
  <r>
    <n v="597"/>
    <x v="596"/>
    <x v="0"/>
    <x v="5"/>
    <x v="1"/>
    <n v="600"/>
    <n v="1"/>
    <n v="600"/>
    <n v="600"/>
    <x v="1"/>
  </r>
  <r>
    <n v="598"/>
    <x v="597"/>
    <x v="0"/>
    <x v="1"/>
    <x v="0"/>
    <n v="900"/>
    <n v="1"/>
    <n v="900"/>
    <n v="765"/>
    <x v="2"/>
  </r>
  <r>
    <n v="599"/>
    <x v="598"/>
    <x v="0"/>
    <x v="1"/>
    <x v="0"/>
    <n v="1100"/>
    <n v="1"/>
    <n v="1100"/>
    <n v="935"/>
    <x v="3"/>
  </r>
  <r>
    <n v="600"/>
    <x v="599"/>
    <x v="0"/>
    <x v="3"/>
    <x v="0"/>
    <n v="1000"/>
    <n v="1"/>
    <n v="1000"/>
    <n v="1000"/>
    <x v="4"/>
  </r>
  <r>
    <n v="601"/>
    <x v="600"/>
    <x v="0"/>
    <x v="1"/>
    <x v="0"/>
    <n v="900"/>
    <n v="1"/>
    <n v="900"/>
    <n v="765"/>
    <x v="5"/>
  </r>
  <r>
    <n v="602"/>
    <x v="601"/>
    <x v="0"/>
    <x v="1"/>
    <x v="0"/>
    <n v="1100"/>
    <n v="2"/>
    <n v="2200"/>
    <n v="1870"/>
    <x v="6"/>
  </r>
  <r>
    <n v="603"/>
    <x v="602"/>
    <x v="0"/>
    <x v="5"/>
    <x v="1"/>
    <n v="600"/>
    <n v="1"/>
    <n v="600"/>
    <n v="600"/>
    <x v="0"/>
  </r>
  <r>
    <n v="604"/>
    <x v="603"/>
    <x v="0"/>
    <x v="5"/>
    <x v="1"/>
    <n v="600"/>
    <n v="1"/>
    <n v="600"/>
    <n v="600"/>
    <x v="1"/>
  </r>
  <r>
    <n v="605"/>
    <x v="604"/>
    <x v="0"/>
    <x v="5"/>
    <x v="1"/>
    <n v="600"/>
    <n v="1"/>
    <n v="600"/>
    <n v="600"/>
    <x v="2"/>
  </r>
  <r>
    <n v="606"/>
    <x v="605"/>
    <x v="0"/>
    <x v="1"/>
    <x v="0"/>
    <n v="900"/>
    <n v="1"/>
    <n v="900"/>
    <n v="765"/>
    <x v="3"/>
  </r>
  <r>
    <n v="607"/>
    <x v="606"/>
    <x v="0"/>
    <x v="5"/>
    <x v="1"/>
    <n v="600"/>
    <n v="1"/>
    <n v="600"/>
    <n v="600"/>
    <x v="4"/>
  </r>
  <r>
    <n v="608"/>
    <x v="607"/>
    <x v="0"/>
    <x v="5"/>
    <x v="1"/>
    <n v="600"/>
    <n v="1"/>
    <n v="600"/>
    <n v="600"/>
    <x v="5"/>
  </r>
  <r>
    <n v="609"/>
    <x v="608"/>
    <x v="0"/>
    <x v="1"/>
    <x v="0"/>
    <n v="1100"/>
    <n v="1"/>
    <n v="1100"/>
    <n v="935"/>
    <x v="6"/>
  </r>
  <r>
    <n v="610"/>
    <x v="609"/>
    <x v="0"/>
    <x v="2"/>
    <x v="0"/>
    <n v="900"/>
    <n v="3"/>
    <n v="2700"/>
    <n v="2700"/>
    <x v="0"/>
  </r>
  <r>
    <n v="611"/>
    <x v="610"/>
    <x v="0"/>
    <x v="1"/>
    <x v="0"/>
    <n v="1100"/>
    <n v="2"/>
    <n v="2200"/>
    <n v="1870"/>
    <x v="1"/>
  </r>
  <r>
    <n v="612"/>
    <x v="611"/>
    <x v="0"/>
    <x v="1"/>
    <x v="0"/>
    <n v="1100"/>
    <n v="1"/>
    <n v="1100"/>
    <n v="935"/>
    <x v="2"/>
  </r>
  <r>
    <n v="613"/>
    <x v="612"/>
    <x v="0"/>
    <x v="5"/>
    <x v="1"/>
    <n v="600"/>
    <n v="1"/>
    <n v="600"/>
    <n v="600"/>
    <x v="3"/>
  </r>
  <r>
    <n v="614"/>
    <x v="613"/>
    <x v="0"/>
    <x v="1"/>
    <x v="0"/>
    <n v="900"/>
    <n v="1"/>
    <n v="900"/>
    <n v="765"/>
    <x v="4"/>
  </r>
  <r>
    <n v="615"/>
    <x v="614"/>
    <x v="0"/>
    <x v="5"/>
    <x v="1"/>
    <n v="600"/>
    <n v="1"/>
    <n v="600"/>
    <n v="600"/>
    <x v="5"/>
  </r>
  <r>
    <n v="616"/>
    <x v="615"/>
    <x v="0"/>
    <x v="5"/>
    <x v="1"/>
    <n v="600"/>
    <n v="1"/>
    <n v="600"/>
    <n v="600"/>
    <x v="6"/>
  </r>
  <r>
    <n v="617"/>
    <x v="616"/>
    <x v="0"/>
    <x v="1"/>
    <x v="0"/>
    <n v="900"/>
    <n v="3"/>
    <n v="2700"/>
    <n v="2295"/>
    <x v="0"/>
  </r>
  <r>
    <n v="618"/>
    <x v="617"/>
    <x v="0"/>
    <x v="5"/>
    <x v="1"/>
    <n v="600"/>
    <n v="1"/>
    <n v="600"/>
    <n v="600"/>
    <x v="1"/>
  </r>
  <r>
    <n v="619"/>
    <x v="618"/>
    <x v="0"/>
    <x v="4"/>
    <x v="1"/>
    <n v="800"/>
    <n v="1"/>
    <n v="800"/>
    <n v="800"/>
    <x v="2"/>
  </r>
  <r>
    <n v="620"/>
    <x v="619"/>
    <x v="0"/>
    <x v="5"/>
    <x v="1"/>
    <n v="600"/>
    <n v="1"/>
    <n v="600"/>
    <n v="600"/>
    <x v="3"/>
  </r>
  <r>
    <n v="621"/>
    <x v="620"/>
    <x v="0"/>
    <x v="1"/>
    <x v="0"/>
    <n v="1100"/>
    <n v="1"/>
    <n v="1100"/>
    <n v="935"/>
    <x v="4"/>
  </r>
  <r>
    <n v="622"/>
    <x v="621"/>
    <x v="0"/>
    <x v="2"/>
    <x v="0"/>
    <n v="900"/>
    <n v="1"/>
    <n v="900"/>
    <n v="900"/>
    <x v="5"/>
  </r>
  <r>
    <n v="623"/>
    <x v="622"/>
    <x v="0"/>
    <x v="1"/>
    <x v="0"/>
    <n v="1100"/>
    <n v="1"/>
    <n v="1100"/>
    <n v="935"/>
    <x v="6"/>
  </r>
  <r>
    <n v="624"/>
    <x v="623"/>
    <x v="0"/>
    <x v="1"/>
    <x v="0"/>
    <n v="1100"/>
    <n v="1"/>
    <n v="1100"/>
    <n v="935"/>
    <x v="0"/>
  </r>
  <r>
    <n v="625"/>
    <x v="624"/>
    <x v="0"/>
    <x v="1"/>
    <x v="0"/>
    <n v="1100"/>
    <n v="1"/>
    <n v="1100"/>
    <n v="935"/>
    <x v="1"/>
  </r>
  <r>
    <n v="626"/>
    <x v="625"/>
    <x v="0"/>
    <x v="3"/>
    <x v="0"/>
    <n v="1000"/>
    <n v="1"/>
    <n v="1000"/>
    <n v="1000"/>
    <x v="2"/>
  </r>
  <r>
    <n v="627"/>
    <x v="626"/>
    <x v="0"/>
    <x v="5"/>
    <x v="1"/>
    <n v="600"/>
    <n v="1"/>
    <n v="600"/>
    <n v="600"/>
    <x v="3"/>
  </r>
  <r>
    <n v="628"/>
    <x v="627"/>
    <x v="0"/>
    <x v="4"/>
    <x v="1"/>
    <n v="800"/>
    <n v="1"/>
    <n v="800"/>
    <n v="800"/>
    <x v="4"/>
  </r>
  <r>
    <n v="629"/>
    <x v="628"/>
    <x v="0"/>
    <x v="1"/>
    <x v="0"/>
    <n v="1100"/>
    <n v="1"/>
    <n v="1100"/>
    <n v="935"/>
    <x v="5"/>
  </r>
  <r>
    <n v="630"/>
    <x v="629"/>
    <x v="0"/>
    <x v="5"/>
    <x v="1"/>
    <n v="600"/>
    <n v="1"/>
    <n v="600"/>
    <n v="600"/>
    <x v="6"/>
  </r>
  <r>
    <n v="631"/>
    <x v="630"/>
    <x v="0"/>
    <x v="6"/>
    <x v="2"/>
    <n v="850"/>
    <n v="1"/>
    <n v="850"/>
    <n v="850"/>
    <x v="0"/>
  </r>
  <r>
    <n v="632"/>
    <x v="631"/>
    <x v="0"/>
    <x v="2"/>
    <x v="0"/>
    <n v="900"/>
    <n v="1"/>
    <n v="900"/>
    <n v="900"/>
    <x v="1"/>
  </r>
  <r>
    <n v="633"/>
    <x v="632"/>
    <x v="0"/>
    <x v="3"/>
    <x v="0"/>
    <n v="1000"/>
    <n v="1"/>
    <n v="1000"/>
    <n v="1000"/>
    <x v="2"/>
  </r>
  <r>
    <n v="634"/>
    <x v="633"/>
    <x v="0"/>
    <x v="6"/>
    <x v="2"/>
    <n v="850"/>
    <n v="1"/>
    <n v="850"/>
    <n v="850"/>
    <x v="3"/>
  </r>
  <r>
    <n v="635"/>
    <x v="634"/>
    <x v="0"/>
    <x v="6"/>
    <x v="2"/>
    <n v="850"/>
    <n v="1"/>
    <n v="850"/>
    <n v="850"/>
    <x v="4"/>
  </r>
  <r>
    <n v="636"/>
    <x v="635"/>
    <x v="0"/>
    <x v="3"/>
    <x v="0"/>
    <n v="1000"/>
    <n v="1"/>
    <n v="1000"/>
    <n v="1000"/>
    <x v="5"/>
  </r>
  <r>
    <n v="637"/>
    <x v="636"/>
    <x v="0"/>
    <x v="4"/>
    <x v="1"/>
    <n v="800"/>
    <n v="1"/>
    <n v="800"/>
    <n v="800"/>
    <x v="6"/>
  </r>
  <r>
    <n v="638"/>
    <x v="637"/>
    <x v="0"/>
    <x v="1"/>
    <x v="0"/>
    <n v="1100"/>
    <n v="1"/>
    <n v="1100"/>
    <n v="935"/>
    <x v="0"/>
  </r>
  <r>
    <n v="639"/>
    <x v="638"/>
    <x v="0"/>
    <x v="1"/>
    <x v="0"/>
    <n v="1100"/>
    <n v="1"/>
    <n v="1100"/>
    <n v="935"/>
    <x v="1"/>
  </r>
  <r>
    <n v="640"/>
    <x v="639"/>
    <x v="0"/>
    <x v="1"/>
    <x v="0"/>
    <n v="1100"/>
    <n v="1"/>
    <n v="1100"/>
    <n v="935"/>
    <x v="2"/>
  </r>
  <r>
    <n v="641"/>
    <x v="640"/>
    <x v="0"/>
    <x v="1"/>
    <x v="0"/>
    <n v="1100"/>
    <n v="1"/>
    <n v="1100"/>
    <n v="935"/>
    <x v="3"/>
  </r>
  <r>
    <n v="642"/>
    <x v="641"/>
    <x v="0"/>
    <x v="1"/>
    <x v="0"/>
    <n v="1100"/>
    <n v="1"/>
    <n v="1100"/>
    <n v="935"/>
    <x v="4"/>
  </r>
  <r>
    <n v="643"/>
    <x v="642"/>
    <x v="0"/>
    <x v="1"/>
    <x v="0"/>
    <n v="1100"/>
    <n v="1"/>
    <n v="1100"/>
    <n v="935"/>
    <x v="5"/>
  </r>
  <r>
    <n v="644"/>
    <x v="643"/>
    <x v="0"/>
    <x v="1"/>
    <x v="0"/>
    <n v="1100"/>
    <n v="2"/>
    <n v="2200"/>
    <n v="1870"/>
    <x v="6"/>
  </r>
  <r>
    <n v="645"/>
    <x v="644"/>
    <x v="0"/>
    <x v="1"/>
    <x v="0"/>
    <n v="1100"/>
    <n v="1"/>
    <n v="1100"/>
    <n v="935"/>
    <x v="0"/>
  </r>
  <r>
    <n v="646"/>
    <x v="645"/>
    <x v="0"/>
    <x v="1"/>
    <x v="0"/>
    <n v="1100"/>
    <n v="1"/>
    <n v="1100"/>
    <n v="935"/>
    <x v="1"/>
  </r>
  <r>
    <n v="647"/>
    <x v="646"/>
    <x v="0"/>
    <x v="1"/>
    <x v="0"/>
    <n v="900"/>
    <n v="1"/>
    <n v="900"/>
    <n v="765"/>
    <x v="2"/>
  </r>
  <r>
    <n v="648"/>
    <x v="647"/>
    <x v="0"/>
    <x v="1"/>
    <x v="0"/>
    <n v="900"/>
    <n v="1"/>
    <n v="900"/>
    <n v="765"/>
    <x v="3"/>
  </r>
  <r>
    <n v="649"/>
    <x v="648"/>
    <x v="0"/>
    <x v="1"/>
    <x v="0"/>
    <n v="900"/>
    <n v="1"/>
    <n v="900"/>
    <n v="765"/>
    <x v="4"/>
  </r>
  <r>
    <n v="650"/>
    <x v="649"/>
    <x v="0"/>
    <x v="1"/>
    <x v="0"/>
    <n v="900"/>
    <n v="2"/>
    <n v="1800"/>
    <n v="1530"/>
    <x v="5"/>
  </r>
  <r>
    <n v="651"/>
    <x v="650"/>
    <x v="0"/>
    <x v="1"/>
    <x v="0"/>
    <n v="900"/>
    <n v="1"/>
    <n v="900"/>
    <n v="765"/>
    <x v="6"/>
  </r>
  <r>
    <n v="652"/>
    <x v="651"/>
    <x v="0"/>
    <x v="1"/>
    <x v="0"/>
    <n v="900"/>
    <n v="1"/>
    <n v="900"/>
    <n v="765"/>
    <x v="0"/>
  </r>
  <r>
    <n v="653"/>
    <x v="652"/>
    <x v="0"/>
    <x v="1"/>
    <x v="0"/>
    <n v="1100"/>
    <n v="1"/>
    <n v="1100"/>
    <n v="935"/>
    <x v="1"/>
  </r>
  <r>
    <n v="654"/>
    <x v="653"/>
    <x v="0"/>
    <x v="1"/>
    <x v="0"/>
    <n v="900"/>
    <n v="1"/>
    <n v="900"/>
    <n v="765"/>
    <x v="2"/>
  </r>
  <r>
    <n v="655"/>
    <x v="654"/>
    <x v="0"/>
    <x v="1"/>
    <x v="0"/>
    <n v="1100"/>
    <n v="2"/>
    <n v="2200"/>
    <n v="1870"/>
    <x v="3"/>
  </r>
  <r>
    <n v="656"/>
    <x v="655"/>
    <x v="0"/>
    <x v="1"/>
    <x v="0"/>
    <n v="1100"/>
    <n v="1"/>
    <n v="1100"/>
    <n v="935"/>
    <x v="4"/>
  </r>
  <r>
    <n v="657"/>
    <x v="656"/>
    <x v="0"/>
    <x v="1"/>
    <x v="0"/>
    <n v="900"/>
    <n v="1"/>
    <n v="900"/>
    <n v="765"/>
    <x v="5"/>
  </r>
  <r>
    <n v="658"/>
    <x v="657"/>
    <x v="0"/>
    <x v="1"/>
    <x v="0"/>
    <n v="900"/>
    <n v="1"/>
    <n v="900"/>
    <n v="765"/>
    <x v="6"/>
  </r>
  <r>
    <n v="659"/>
    <x v="658"/>
    <x v="0"/>
    <x v="2"/>
    <x v="0"/>
    <n v="900"/>
    <n v="1"/>
    <n v="900"/>
    <n v="900"/>
    <x v="0"/>
  </r>
  <r>
    <n v="660"/>
    <x v="659"/>
    <x v="0"/>
    <x v="1"/>
    <x v="0"/>
    <n v="1100"/>
    <n v="1"/>
    <n v="1100"/>
    <n v="935"/>
    <x v="1"/>
  </r>
  <r>
    <n v="661"/>
    <x v="660"/>
    <x v="0"/>
    <x v="1"/>
    <x v="0"/>
    <n v="1100"/>
    <n v="1"/>
    <n v="1100"/>
    <n v="935"/>
    <x v="2"/>
  </r>
  <r>
    <n v="662"/>
    <x v="661"/>
    <x v="0"/>
    <x v="2"/>
    <x v="0"/>
    <n v="900"/>
    <n v="1"/>
    <n v="900"/>
    <n v="900"/>
    <x v="3"/>
  </r>
  <r>
    <n v="663"/>
    <x v="662"/>
    <x v="0"/>
    <x v="1"/>
    <x v="0"/>
    <n v="900"/>
    <n v="1"/>
    <n v="900"/>
    <n v="765"/>
    <x v="4"/>
  </r>
  <r>
    <n v="664"/>
    <x v="663"/>
    <x v="0"/>
    <x v="2"/>
    <x v="0"/>
    <n v="900"/>
    <n v="1"/>
    <n v="900"/>
    <n v="900"/>
    <x v="5"/>
  </r>
  <r>
    <n v="665"/>
    <x v="664"/>
    <x v="0"/>
    <x v="1"/>
    <x v="0"/>
    <n v="1100"/>
    <n v="1"/>
    <n v="1100"/>
    <n v="935"/>
    <x v="6"/>
  </r>
  <r>
    <n v="666"/>
    <x v="665"/>
    <x v="0"/>
    <x v="1"/>
    <x v="0"/>
    <n v="1100"/>
    <n v="1"/>
    <n v="1100"/>
    <n v="935"/>
    <x v="0"/>
  </r>
  <r>
    <n v="667"/>
    <x v="666"/>
    <x v="0"/>
    <x v="2"/>
    <x v="0"/>
    <n v="900"/>
    <n v="1"/>
    <n v="900"/>
    <n v="900"/>
    <x v="1"/>
  </r>
  <r>
    <n v="668"/>
    <x v="667"/>
    <x v="0"/>
    <x v="2"/>
    <x v="0"/>
    <n v="900"/>
    <n v="1"/>
    <n v="900"/>
    <n v="900"/>
    <x v="2"/>
  </r>
  <r>
    <n v="669"/>
    <x v="668"/>
    <x v="0"/>
    <x v="2"/>
    <x v="0"/>
    <n v="900"/>
    <n v="1"/>
    <n v="900"/>
    <n v="900"/>
    <x v="3"/>
  </r>
  <r>
    <n v="670"/>
    <x v="669"/>
    <x v="0"/>
    <x v="2"/>
    <x v="0"/>
    <n v="900"/>
    <n v="1"/>
    <n v="900"/>
    <n v="900"/>
    <x v="4"/>
  </r>
  <r>
    <n v="671"/>
    <x v="670"/>
    <x v="0"/>
    <x v="2"/>
    <x v="0"/>
    <n v="900"/>
    <n v="1"/>
    <n v="900"/>
    <n v="900"/>
    <x v="5"/>
  </r>
  <r>
    <n v="672"/>
    <x v="671"/>
    <x v="0"/>
    <x v="1"/>
    <x v="0"/>
    <n v="900"/>
    <n v="1"/>
    <n v="900"/>
    <n v="765"/>
    <x v="6"/>
  </r>
  <r>
    <n v="673"/>
    <x v="672"/>
    <x v="0"/>
    <x v="1"/>
    <x v="0"/>
    <n v="900"/>
    <n v="1"/>
    <n v="900"/>
    <n v="765"/>
    <x v="0"/>
  </r>
  <r>
    <n v="674"/>
    <x v="673"/>
    <x v="0"/>
    <x v="1"/>
    <x v="0"/>
    <n v="900"/>
    <n v="1"/>
    <n v="900"/>
    <n v="765"/>
    <x v="1"/>
  </r>
  <r>
    <n v="675"/>
    <x v="674"/>
    <x v="0"/>
    <x v="1"/>
    <x v="0"/>
    <n v="1100"/>
    <n v="1"/>
    <n v="1100"/>
    <n v="935"/>
    <x v="2"/>
  </r>
  <r>
    <n v="676"/>
    <x v="675"/>
    <x v="0"/>
    <x v="1"/>
    <x v="0"/>
    <n v="1100"/>
    <n v="1"/>
    <n v="1100"/>
    <n v="935"/>
    <x v="3"/>
  </r>
  <r>
    <n v="677"/>
    <x v="676"/>
    <x v="0"/>
    <x v="3"/>
    <x v="0"/>
    <n v="1000"/>
    <n v="1"/>
    <n v="1000"/>
    <n v="1000"/>
    <x v="4"/>
  </r>
  <r>
    <n v="678"/>
    <x v="677"/>
    <x v="0"/>
    <x v="3"/>
    <x v="0"/>
    <n v="1000"/>
    <n v="1"/>
    <n v="1000"/>
    <n v="1000"/>
    <x v="5"/>
  </r>
  <r>
    <n v="679"/>
    <x v="678"/>
    <x v="0"/>
    <x v="1"/>
    <x v="0"/>
    <n v="1100"/>
    <n v="1"/>
    <n v="1100"/>
    <n v="935"/>
    <x v="6"/>
  </r>
  <r>
    <n v="680"/>
    <x v="679"/>
    <x v="0"/>
    <x v="3"/>
    <x v="0"/>
    <n v="1000"/>
    <n v="1"/>
    <n v="1000"/>
    <n v="1000"/>
    <x v="0"/>
  </r>
  <r>
    <n v="681"/>
    <x v="680"/>
    <x v="0"/>
    <x v="1"/>
    <x v="0"/>
    <n v="900"/>
    <n v="1"/>
    <n v="900"/>
    <n v="765"/>
    <x v="1"/>
  </r>
  <r>
    <n v="682"/>
    <x v="681"/>
    <x v="0"/>
    <x v="1"/>
    <x v="0"/>
    <n v="900"/>
    <n v="2"/>
    <n v="1800"/>
    <n v="1530"/>
    <x v="2"/>
  </r>
  <r>
    <n v="683"/>
    <x v="682"/>
    <x v="0"/>
    <x v="1"/>
    <x v="0"/>
    <n v="1100"/>
    <n v="1"/>
    <n v="1100"/>
    <n v="935"/>
    <x v="3"/>
  </r>
  <r>
    <n v="684"/>
    <x v="683"/>
    <x v="0"/>
    <x v="1"/>
    <x v="0"/>
    <n v="900"/>
    <n v="1"/>
    <n v="900"/>
    <n v="765"/>
    <x v="4"/>
  </r>
  <r>
    <n v="685"/>
    <x v="684"/>
    <x v="0"/>
    <x v="1"/>
    <x v="0"/>
    <n v="1100"/>
    <n v="1"/>
    <n v="1100"/>
    <n v="935"/>
    <x v="5"/>
  </r>
  <r>
    <n v="686"/>
    <x v="685"/>
    <x v="0"/>
    <x v="4"/>
    <x v="1"/>
    <n v="800"/>
    <n v="1"/>
    <n v="800"/>
    <n v="800"/>
    <x v="6"/>
  </r>
  <r>
    <n v="687"/>
    <x v="686"/>
    <x v="0"/>
    <x v="4"/>
    <x v="1"/>
    <n v="800"/>
    <n v="2"/>
    <n v="1600"/>
    <n v="1600"/>
    <x v="0"/>
  </r>
  <r>
    <n v="688"/>
    <x v="687"/>
    <x v="0"/>
    <x v="2"/>
    <x v="0"/>
    <n v="900"/>
    <n v="1"/>
    <n v="900"/>
    <n v="900"/>
    <x v="1"/>
  </r>
  <r>
    <n v="689"/>
    <x v="688"/>
    <x v="0"/>
    <x v="1"/>
    <x v="0"/>
    <n v="1100"/>
    <n v="1"/>
    <n v="1100"/>
    <n v="935"/>
    <x v="2"/>
  </r>
  <r>
    <n v="690"/>
    <x v="689"/>
    <x v="0"/>
    <x v="4"/>
    <x v="1"/>
    <n v="800"/>
    <n v="1"/>
    <n v="800"/>
    <n v="800"/>
    <x v="3"/>
  </r>
  <r>
    <n v="691"/>
    <x v="690"/>
    <x v="0"/>
    <x v="3"/>
    <x v="0"/>
    <n v="1000"/>
    <n v="1"/>
    <n v="1000"/>
    <n v="1000"/>
    <x v="4"/>
  </r>
  <r>
    <n v="692"/>
    <x v="691"/>
    <x v="0"/>
    <x v="4"/>
    <x v="1"/>
    <n v="800"/>
    <n v="1"/>
    <n v="800"/>
    <n v="800"/>
    <x v="5"/>
  </r>
  <r>
    <n v="693"/>
    <x v="692"/>
    <x v="0"/>
    <x v="5"/>
    <x v="1"/>
    <n v="600"/>
    <n v="1"/>
    <n v="600"/>
    <n v="600"/>
    <x v="6"/>
  </r>
  <r>
    <n v="694"/>
    <x v="693"/>
    <x v="0"/>
    <x v="1"/>
    <x v="0"/>
    <n v="900"/>
    <n v="1"/>
    <n v="900"/>
    <n v="765"/>
    <x v="0"/>
  </r>
  <r>
    <n v="695"/>
    <x v="694"/>
    <x v="0"/>
    <x v="1"/>
    <x v="0"/>
    <n v="1100"/>
    <n v="1"/>
    <n v="1100"/>
    <n v="935"/>
    <x v="1"/>
  </r>
  <r>
    <n v="696"/>
    <x v="695"/>
    <x v="0"/>
    <x v="3"/>
    <x v="0"/>
    <n v="1000"/>
    <n v="1"/>
    <n v="1000"/>
    <n v="1000"/>
    <x v="2"/>
  </r>
  <r>
    <n v="697"/>
    <x v="696"/>
    <x v="0"/>
    <x v="1"/>
    <x v="0"/>
    <n v="900"/>
    <n v="1"/>
    <n v="900"/>
    <n v="765"/>
    <x v="3"/>
  </r>
  <r>
    <n v="698"/>
    <x v="697"/>
    <x v="0"/>
    <x v="1"/>
    <x v="0"/>
    <n v="1100"/>
    <n v="2"/>
    <n v="2200"/>
    <n v="1870"/>
    <x v="4"/>
  </r>
  <r>
    <n v="699"/>
    <x v="698"/>
    <x v="0"/>
    <x v="5"/>
    <x v="1"/>
    <n v="600"/>
    <n v="1"/>
    <n v="600"/>
    <n v="600"/>
    <x v="5"/>
  </r>
  <r>
    <n v="700"/>
    <x v="699"/>
    <x v="0"/>
    <x v="5"/>
    <x v="1"/>
    <n v="600"/>
    <n v="1"/>
    <n v="600"/>
    <n v="600"/>
    <x v="6"/>
  </r>
  <r>
    <n v="701"/>
    <x v="700"/>
    <x v="0"/>
    <x v="5"/>
    <x v="1"/>
    <n v="600"/>
    <n v="1"/>
    <n v="600"/>
    <n v="600"/>
    <x v="0"/>
  </r>
  <r>
    <n v="702"/>
    <x v="701"/>
    <x v="0"/>
    <x v="1"/>
    <x v="0"/>
    <n v="900"/>
    <n v="1"/>
    <n v="900"/>
    <n v="765"/>
    <x v="1"/>
  </r>
  <r>
    <n v="703"/>
    <x v="702"/>
    <x v="0"/>
    <x v="5"/>
    <x v="1"/>
    <n v="600"/>
    <n v="1"/>
    <n v="600"/>
    <n v="600"/>
    <x v="2"/>
  </r>
  <r>
    <n v="704"/>
    <x v="703"/>
    <x v="0"/>
    <x v="5"/>
    <x v="1"/>
    <n v="600"/>
    <n v="1"/>
    <n v="600"/>
    <n v="600"/>
    <x v="3"/>
  </r>
  <r>
    <n v="705"/>
    <x v="704"/>
    <x v="0"/>
    <x v="1"/>
    <x v="0"/>
    <n v="1100"/>
    <n v="1"/>
    <n v="1100"/>
    <n v="935"/>
    <x v="4"/>
  </r>
  <r>
    <n v="706"/>
    <x v="705"/>
    <x v="0"/>
    <x v="2"/>
    <x v="0"/>
    <n v="900"/>
    <n v="3"/>
    <n v="2700"/>
    <n v="2700"/>
    <x v="5"/>
  </r>
  <r>
    <n v="707"/>
    <x v="706"/>
    <x v="0"/>
    <x v="0"/>
    <x v="0"/>
    <n v="1100"/>
    <n v="2"/>
    <n v="2200"/>
    <n v="2200"/>
    <x v="6"/>
  </r>
  <r>
    <n v="708"/>
    <x v="707"/>
    <x v="0"/>
    <x v="0"/>
    <x v="0"/>
    <n v="1100"/>
    <n v="1"/>
    <n v="1100"/>
    <n v="1100"/>
    <x v="0"/>
  </r>
  <r>
    <n v="709"/>
    <x v="708"/>
    <x v="0"/>
    <x v="5"/>
    <x v="1"/>
    <n v="600"/>
    <n v="1"/>
    <n v="600"/>
    <n v="600"/>
    <x v="1"/>
  </r>
  <r>
    <n v="710"/>
    <x v="709"/>
    <x v="0"/>
    <x v="1"/>
    <x v="0"/>
    <n v="900"/>
    <n v="1"/>
    <n v="900"/>
    <n v="765"/>
    <x v="2"/>
  </r>
  <r>
    <n v="711"/>
    <x v="710"/>
    <x v="0"/>
    <x v="5"/>
    <x v="1"/>
    <n v="600"/>
    <n v="1"/>
    <n v="600"/>
    <n v="600"/>
    <x v="3"/>
  </r>
  <r>
    <n v="712"/>
    <x v="711"/>
    <x v="0"/>
    <x v="5"/>
    <x v="1"/>
    <n v="600"/>
    <n v="1"/>
    <n v="600"/>
    <n v="600"/>
    <x v="4"/>
  </r>
  <r>
    <n v="713"/>
    <x v="712"/>
    <x v="1"/>
    <x v="1"/>
    <x v="0"/>
    <n v="900"/>
    <n v="3"/>
    <n v="2700"/>
    <n v="2295"/>
    <x v="5"/>
  </r>
  <r>
    <n v="714"/>
    <x v="713"/>
    <x v="1"/>
    <x v="5"/>
    <x v="1"/>
    <n v="600"/>
    <n v="1"/>
    <n v="600"/>
    <n v="600"/>
    <x v="6"/>
  </r>
  <r>
    <n v="715"/>
    <x v="714"/>
    <x v="1"/>
    <x v="4"/>
    <x v="1"/>
    <n v="800"/>
    <n v="1"/>
    <n v="800"/>
    <n v="800"/>
    <x v="0"/>
  </r>
  <r>
    <n v="716"/>
    <x v="715"/>
    <x v="1"/>
    <x v="5"/>
    <x v="1"/>
    <n v="600"/>
    <n v="1"/>
    <n v="600"/>
    <n v="600"/>
    <x v="1"/>
  </r>
  <r>
    <n v="717"/>
    <x v="716"/>
    <x v="1"/>
    <x v="0"/>
    <x v="0"/>
    <n v="1100"/>
    <n v="1"/>
    <n v="1100"/>
    <n v="1100"/>
    <x v="2"/>
  </r>
  <r>
    <n v="718"/>
    <x v="717"/>
    <x v="1"/>
    <x v="2"/>
    <x v="0"/>
    <n v="900"/>
    <n v="1"/>
    <n v="900"/>
    <n v="900"/>
    <x v="3"/>
  </r>
  <r>
    <n v="719"/>
    <x v="718"/>
    <x v="1"/>
    <x v="0"/>
    <x v="0"/>
    <n v="1100"/>
    <n v="1"/>
    <n v="1100"/>
    <n v="1100"/>
    <x v="4"/>
  </r>
  <r>
    <n v="720"/>
    <x v="719"/>
    <x v="1"/>
    <x v="0"/>
    <x v="0"/>
    <n v="1100"/>
    <n v="1"/>
    <n v="1100"/>
    <n v="1100"/>
    <x v="5"/>
  </r>
  <r>
    <n v="721"/>
    <x v="720"/>
    <x v="1"/>
    <x v="0"/>
    <x v="0"/>
    <n v="1100"/>
    <n v="1"/>
    <n v="1100"/>
    <n v="1100"/>
    <x v="6"/>
  </r>
  <r>
    <n v="722"/>
    <x v="721"/>
    <x v="0"/>
    <x v="3"/>
    <x v="0"/>
    <n v="1000"/>
    <n v="1"/>
    <n v="1000"/>
    <n v="1000"/>
    <x v="0"/>
  </r>
  <r>
    <n v="723"/>
    <x v="722"/>
    <x v="0"/>
    <x v="5"/>
    <x v="1"/>
    <n v="600"/>
    <n v="1"/>
    <n v="600"/>
    <n v="600"/>
    <x v="1"/>
  </r>
  <r>
    <n v="724"/>
    <x v="723"/>
    <x v="0"/>
    <x v="4"/>
    <x v="1"/>
    <n v="800"/>
    <n v="1"/>
    <n v="800"/>
    <n v="800"/>
    <x v="2"/>
  </r>
  <r>
    <n v="725"/>
    <x v="724"/>
    <x v="0"/>
    <x v="0"/>
    <x v="0"/>
    <n v="1100"/>
    <n v="1"/>
    <n v="1100"/>
    <n v="1100"/>
    <x v="3"/>
  </r>
  <r>
    <n v="726"/>
    <x v="725"/>
    <x v="0"/>
    <x v="5"/>
    <x v="1"/>
    <n v="600"/>
    <n v="1"/>
    <n v="600"/>
    <n v="600"/>
    <x v="4"/>
  </r>
  <r>
    <n v="727"/>
    <x v="726"/>
    <x v="0"/>
    <x v="6"/>
    <x v="2"/>
    <n v="850"/>
    <n v="1"/>
    <n v="850"/>
    <n v="850"/>
    <x v="5"/>
  </r>
  <r>
    <n v="728"/>
    <x v="727"/>
    <x v="0"/>
    <x v="2"/>
    <x v="0"/>
    <n v="900"/>
    <n v="1"/>
    <n v="900"/>
    <n v="900"/>
    <x v="6"/>
  </r>
  <r>
    <n v="729"/>
    <x v="728"/>
    <x v="0"/>
    <x v="3"/>
    <x v="0"/>
    <n v="1000"/>
    <n v="1"/>
    <n v="1000"/>
    <n v="1000"/>
    <x v="0"/>
  </r>
  <r>
    <n v="730"/>
    <x v="729"/>
    <x v="0"/>
    <x v="6"/>
    <x v="2"/>
    <n v="850"/>
    <n v="1"/>
    <n v="850"/>
    <n v="850"/>
    <x v="1"/>
  </r>
  <r>
    <n v="731"/>
    <x v="730"/>
    <x v="0"/>
    <x v="6"/>
    <x v="2"/>
    <n v="850"/>
    <n v="1"/>
    <n v="850"/>
    <n v="850"/>
    <x v="2"/>
  </r>
  <r>
    <n v="732"/>
    <x v="731"/>
    <x v="0"/>
    <x v="3"/>
    <x v="0"/>
    <n v="1000"/>
    <n v="1"/>
    <n v="1000"/>
    <n v="1000"/>
    <x v="3"/>
  </r>
  <r>
    <n v="733"/>
    <x v="732"/>
    <x v="0"/>
    <x v="4"/>
    <x v="1"/>
    <n v="800"/>
    <n v="1"/>
    <n v="800"/>
    <n v="800"/>
    <x v="4"/>
  </r>
  <r>
    <n v="734"/>
    <x v="733"/>
    <x v="0"/>
    <x v="5"/>
    <x v="1"/>
    <n v="600"/>
    <n v="1"/>
    <n v="600"/>
    <n v="600"/>
    <x v="5"/>
  </r>
  <r>
    <n v="735"/>
    <x v="734"/>
    <x v="0"/>
    <x v="4"/>
    <x v="1"/>
    <n v="800"/>
    <n v="1"/>
    <n v="800"/>
    <n v="800"/>
    <x v="6"/>
  </r>
  <r>
    <n v="736"/>
    <x v="735"/>
    <x v="0"/>
    <x v="0"/>
    <x v="0"/>
    <n v="1100"/>
    <n v="1"/>
    <n v="1100"/>
    <n v="1100"/>
    <x v="0"/>
  </r>
  <r>
    <n v="737"/>
    <x v="736"/>
    <x v="0"/>
    <x v="6"/>
    <x v="2"/>
    <n v="850"/>
    <n v="1"/>
    <n v="850"/>
    <n v="850"/>
    <x v="1"/>
  </r>
  <r>
    <n v="738"/>
    <x v="737"/>
    <x v="0"/>
    <x v="6"/>
    <x v="2"/>
    <n v="850"/>
    <n v="1"/>
    <n v="850"/>
    <n v="850"/>
    <x v="2"/>
  </r>
  <r>
    <n v="739"/>
    <x v="738"/>
    <x v="0"/>
    <x v="6"/>
    <x v="2"/>
    <n v="850"/>
    <n v="1"/>
    <n v="850"/>
    <n v="850"/>
    <x v="3"/>
  </r>
  <r>
    <n v="740"/>
    <x v="739"/>
    <x v="0"/>
    <x v="5"/>
    <x v="1"/>
    <n v="600"/>
    <n v="1"/>
    <n v="600"/>
    <n v="600"/>
    <x v="4"/>
  </r>
  <r>
    <n v="741"/>
    <x v="740"/>
    <x v="0"/>
    <x v="6"/>
    <x v="2"/>
    <n v="850"/>
    <n v="1"/>
    <n v="850"/>
    <n v="850"/>
    <x v="5"/>
  </r>
  <r>
    <n v="742"/>
    <x v="741"/>
    <x v="0"/>
    <x v="6"/>
    <x v="2"/>
    <n v="850"/>
    <n v="1"/>
    <n v="850"/>
    <n v="850"/>
    <x v="6"/>
  </r>
  <r>
    <n v="743"/>
    <x v="742"/>
    <x v="0"/>
    <x v="0"/>
    <x v="0"/>
    <n v="1100"/>
    <n v="1"/>
    <n v="1100"/>
    <n v="1100"/>
    <x v="0"/>
  </r>
  <r>
    <n v="744"/>
    <x v="743"/>
    <x v="0"/>
    <x v="3"/>
    <x v="0"/>
    <n v="1000"/>
    <n v="1"/>
    <n v="1000"/>
    <n v="1000"/>
    <x v="1"/>
  </r>
  <r>
    <n v="745"/>
    <x v="744"/>
    <x v="0"/>
    <x v="0"/>
    <x v="0"/>
    <n v="1100"/>
    <n v="1"/>
    <n v="1100"/>
    <n v="1100"/>
    <x v="2"/>
  </r>
  <r>
    <n v="746"/>
    <x v="745"/>
    <x v="0"/>
    <x v="5"/>
    <x v="1"/>
    <n v="600"/>
    <n v="1"/>
    <n v="600"/>
    <n v="600"/>
    <x v="3"/>
  </r>
  <r>
    <n v="747"/>
    <x v="746"/>
    <x v="0"/>
    <x v="5"/>
    <x v="1"/>
    <n v="600"/>
    <n v="2"/>
    <n v="1200"/>
    <n v="1200"/>
    <x v="4"/>
  </r>
  <r>
    <n v="748"/>
    <x v="747"/>
    <x v="0"/>
    <x v="5"/>
    <x v="1"/>
    <n v="600"/>
    <n v="1"/>
    <n v="600"/>
    <n v="600"/>
    <x v="5"/>
  </r>
  <r>
    <n v="749"/>
    <x v="748"/>
    <x v="0"/>
    <x v="5"/>
    <x v="1"/>
    <n v="600"/>
    <n v="1"/>
    <n v="600"/>
    <n v="600"/>
    <x v="6"/>
  </r>
  <r>
    <n v="750"/>
    <x v="749"/>
    <x v="0"/>
    <x v="0"/>
    <x v="0"/>
    <n v="1100"/>
    <n v="1"/>
    <n v="1100"/>
    <n v="1100"/>
    <x v="0"/>
  </r>
  <r>
    <n v="751"/>
    <x v="750"/>
    <x v="0"/>
    <x v="2"/>
    <x v="0"/>
    <n v="900"/>
    <n v="1"/>
    <n v="900"/>
    <n v="900"/>
    <x v="1"/>
  </r>
  <r>
    <n v="752"/>
    <x v="751"/>
    <x v="0"/>
    <x v="5"/>
    <x v="1"/>
    <n v="600"/>
    <n v="1"/>
    <n v="600"/>
    <n v="600"/>
    <x v="2"/>
  </r>
  <r>
    <n v="753"/>
    <x v="752"/>
    <x v="0"/>
    <x v="2"/>
    <x v="0"/>
    <n v="900"/>
    <n v="1"/>
    <n v="900"/>
    <n v="900"/>
    <x v="3"/>
  </r>
  <r>
    <n v="754"/>
    <x v="753"/>
    <x v="0"/>
    <x v="1"/>
    <x v="0"/>
    <n v="900"/>
    <n v="1"/>
    <n v="900"/>
    <n v="765"/>
    <x v="4"/>
  </r>
  <r>
    <n v="755"/>
    <x v="754"/>
    <x v="0"/>
    <x v="5"/>
    <x v="1"/>
    <n v="600"/>
    <n v="1"/>
    <n v="600"/>
    <n v="600"/>
    <x v="5"/>
  </r>
  <r>
    <n v="756"/>
    <x v="755"/>
    <x v="0"/>
    <x v="5"/>
    <x v="1"/>
    <n v="600"/>
    <n v="1"/>
    <n v="600"/>
    <n v="600"/>
    <x v="6"/>
  </r>
  <r>
    <n v="757"/>
    <x v="756"/>
    <x v="0"/>
    <x v="5"/>
    <x v="1"/>
    <n v="600"/>
    <n v="1"/>
    <n v="600"/>
    <n v="600"/>
    <x v="0"/>
  </r>
  <r>
    <n v="758"/>
    <x v="757"/>
    <x v="0"/>
    <x v="0"/>
    <x v="0"/>
    <n v="1100"/>
    <n v="1"/>
    <n v="1100"/>
    <n v="1100"/>
    <x v="1"/>
  </r>
  <r>
    <n v="759"/>
    <x v="758"/>
    <x v="0"/>
    <x v="5"/>
    <x v="1"/>
    <n v="600"/>
    <n v="1"/>
    <n v="600"/>
    <n v="600"/>
    <x v="2"/>
  </r>
  <r>
    <n v="760"/>
    <x v="759"/>
    <x v="0"/>
    <x v="5"/>
    <x v="1"/>
    <n v="600"/>
    <n v="1"/>
    <n v="600"/>
    <n v="600"/>
    <x v="3"/>
  </r>
  <r>
    <n v="761"/>
    <x v="760"/>
    <x v="0"/>
    <x v="5"/>
    <x v="1"/>
    <n v="600"/>
    <n v="1"/>
    <n v="600"/>
    <n v="600"/>
    <x v="4"/>
  </r>
  <r>
    <n v="762"/>
    <x v="761"/>
    <x v="0"/>
    <x v="1"/>
    <x v="0"/>
    <n v="900"/>
    <n v="1"/>
    <n v="900"/>
    <n v="765"/>
    <x v="5"/>
  </r>
  <r>
    <n v="763"/>
    <x v="762"/>
    <x v="0"/>
    <x v="5"/>
    <x v="1"/>
    <n v="600"/>
    <n v="1"/>
    <n v="600"/>
    <n v="600"/>
    <x v="6"/>
  </r>
  <r>
    <n v="764"/>
    <x v="763"/>
    <x v="0"/>
    <x v="2"/>
    <x v="0"/>
    <n v="900"/>
    <n v="1"/>
    <n v="900"/>
    <n v="900"/>
    <x v="0"/>
  </r>
  <r>
    <n v="765"/>
    <x v="764"/>
    <x v="0"/>
    <x v="7"/>
    <x v="2"/>
    <n v="1200"/>
    <n v="1"/>
    <n v="1200"/>
    <n v="1200"/>
    <x v="1"/>
  </r>
  <r>
    <n v="766"/>
    <x v="765"/>
    <x v="0"/>
    <x v="0"/>
    <x v="0"/>
    <n v="1100"/>
    <n v="1"/>
    <n v="1100"/>
    <n v="1100"/>
    <x v="2"/>
  </r>
  <r>
    <n v="767"/>
    <x v="766"/>
    <x v="0"/>
    <x v="0"/>
    <x v="0"/>
    <n v="1100"/>
    <n v="1"/>
    <n v="1100"/>
    <n v="1100"/>
    <x v="3"/>
  </r>
  <r>
    <n v="768"/>
    <x v="767"/>
    <x v="0"/>
    <x v="5"/>
    <x v="1"/>
    <n v="600"/>
    <n v="1"/>
    <n v="600"/>
    <n v="600"/>
    <x v="4"/>
  </r>
  <r>
    <n v="769"/>
    <x v="768"/>
    <x v="0"/>
    <x v="5"/>
    <x v="1"/>
    <n v="600"/>
    <n v="2"/>
    <n v="1200"/>
    <n v="1200"/>
    <x v="5"/>
  </r>
  <r>
    <n v="770"/>
    <x v="769"/>
    <x v="0"/>
    <x v="7"/>
    <x v="2"/>
    <n v="1200"/>
    <n v="1"/>
    <n v="1200"/>
    <n v="1200"/>
    <x v="6"/>
  </r>
  <r>
    <n v="771"/>
    <x v="770"/>
    <x v="0"/>
    <x v="7"/>
    <x v="2"/>
    <n v="1200"/>
    <n v="1"/>
    <n v="1200"/>
    <n v="1200"/>
    <x v="0"/>
  </r>
  <r>
    <n v="772"/>
    <x v="771"/>
    <x v="0"/>
    <x v="3"/>
    <x v="0"/>
    <n v="1000"/>
    <n v="1"/>
    <n v="1000"/>
    <n v="1000"/>
    <x v="1"/>
  </r>
  <r>
    <n v="773"/>
    <x v="772"/>
    <x v="0"/>
    <x v="4"/>
    <x v="1"/>
    <n v="800"/>
    <n v="2"/>
    <n v="1600"/>
    <n v="1600"/>
    <x v="2"/>
  </r>
  <r>
    <n v="774"/>
    <x v="773"/>
    <x v="0"/>
    <x v="7"/>
    <x v="2"/>
    <n v="1200"/>
    <n v="1"/>
    <n v="1200"/>
    <n v="1200"/>
    <x v="3"/>
  </r>
  <r>
    <n v="775"/>
    <x v="774"/>
    <x v="0"/>
    <x v="2"/>
    <x v="0"/>
    <n v="900"/>
    <n v="1"/>
    <n v="900"/>
    <n v="900"/>
    <x v="4"/>
  </r>
  <r>
    <n v="776"/>
    <x v="775"/>
    <x v="0"/>
    <x v="3"/>
    <x v="0"/>
    <n v="1000"/>
    <n v="1"/>
    <n v="1000"/>
    <n v="1000"/>
    <x v="5"/>
  </r>
  <r>
    <n v="777"/>
    <x v="776"/>
    <x v="0"/>
    <x v="4"/>
    <x v="1"/>
    <n v="800"/>
    <n v="1"/>
    <n v="800"/>
    <n v="800"/>
    <x v="6"/>
  </r>
  <r>
    <n v="778"/>
    <x v="777"/>
    <x v="0"/>
    <x v="7"/>
    <x v="2"/>
    <n v="1200"/>
    <n v="1"/>
    <n v="1200"/>
    <n v="1200"/>
    <x v="0"/>
  </r>
  <r>
    <n v="779"/>
    <x v="778"/>
    <x v="0"/>
    <x v="7"/>
    <x v="2"/>
    <n v="1200"/>
    <n v="1"/>
    <n v="1200"/>
    <n v="1200"/>
    <x v="1"/>
  </r>
  <r>
    <n v="780"/>
    <x v="779"/>
    <x v="0"/>
    <x v="4"/>
    <x v="1"/>
    <n v="800"/>
    <n v="2"/>
    <n v="1600"/>
    <n v="1600"/>
    <x v="2"/>
  </r>
  <r>
    <n v="781"/>
    <x v="780"/>
    <x v="0"/>
    <x v="1"/>
    <x v="0"/>
    <n v="900"/>
    <n v="1"/>
    <n v="900"/>
    <n v="765"/>
    <x v="3"/>
  </r>
  <r>
    <n v="782"/>
    <x v="781"/>
    <x v="0"/>
    <x v="3"/>
    <x v="0"/>
    <n v="1000"/>
    <n v="1"/>
    <n v="1000"/>
    <n v="1000"/>
    <x v="4"/>
  </r>
  <r>
    <n v="783"/>
    <x v="782"/>
    <x v="0"/>
    <x v="3"/>
    <x v="0"/>
    <n v="1000"/>
    <n v="1"/>
    <n v="1000"/>
    <n v="1000"/>
    <x v="5"/>
  </r>
  <r>
    <n v="784"/>
    <x v="783"/>
    <x v="0"/>
    <x v="5"/>
    <x v="1"/>
    <n v="600"/>
    <n v="1"/>
    <n v="600"/>
    <n v="600"/>
    <x v="6"/>
  </r>
  <r>
    <n v="785"/>
    <x v="784"/>
    <x v="0"/>
    <x v="6"/>
    <x v="2"/>
    <n v="850"/>
    <n v="1"/>
    <n v="850"/>
    <n v="850"/>
    <x v="0"/>
  </r>
  <r>
    <n v="786"/>
    <x v="785"/>
    <x v="0"/>
    <x v="5"/>
    <x v="1"/>
    <n v="600"/>
    <n v="1"/>
    <n v="600"/>
    <n v="600"/>
    <x v="1"/>
  </r>
  <r>
    <n v="787"/>
    <x v="786"/>
    <x v="0"/>
    <x v="6"/>
    <x v="2"/>
    <n v="850"/>
    <n v="1"/>
    <n v="850"/>
    <n v="850"/>
    <x v="2"/>
  </r>
  <r>
    <n v="788"/>
    <x v="787"/>
    <x v="0"/>
    <x v="6"/>
    <x v="2"/>
    <n v="850"/>
    <n v="1"/>
    <n v="850"/>
    <n v="850"/>
    <x v="3"/>
  </r>
  <r>
    <n v="789"/>
    <x v="788"/>
    <x v="0"/>
    <x v="1"/>
    <x v="0"/>
    <n v="900"/>
    <n v="1"/>
    <n v="900"/>
    <n v="765"/>
    <x v="4"/>
  </r>
  <r>
    <n v="790"/>
    <x v="789"/>
    <x v="0"/>
    <x v="7"/>
    <x v="2"/>
    <n v="1200"/>
    <n v="2"/>
    <n v="2400"/>
    <n v="2400"/>
    <x v="5"/>
  </r>
  <r>
    <n v="791"/>
    <x v="790"/>
    <x v="0"/>
    <x v="4"/>
    <x v="1"/>
    <n v="800"/>
    <n v="1"/>
    <n v="800"/>
    <n v="800"/>
    <x v="6"/>
  </r>
  <r>
    <n v="792"/>
    <x v="791"/>
    <x v="0"/>
    <x v="4"/>
    <x v="1"/>
    <n v="800"/>
    <n v="1"/>
    <n v="800"/>
    <n v="800"/>
    <x v="0"/>
  </r>
  <r>
    <n v="793"/>
    <x v="792"/>
    <x v="0"/>
    <x v="2"/>
    <x v="0"/>
    <n v="900"/>
    <n v="1"/>
    <n v="900"/>
    <n v="900"/>
    <x v="1"/>
  </r>
  <r>
    <n v="794"/>
    <x v="793"/>
    <x v="0"/>
    <x v="4"/>
    <x v="1"/>
    <n v="800"/>
    <n v="1"/>
    <n v="800"/>
    <n v="800"/>
    <x v="2"/>
  </r>
  <r>
    <n v="795"/>
    <x v="794"/>
    <x v="0"/>
    <x v="5"/>
    <x v="1"/>
    <n v="600"/>
    <n v="1"/>
    <n v="600"/>
    <n v="600"/>
    <x v="3"/>
  </r>
  <r>
    <n v="796"/>
    <x v="795"/>
    <x v="0"/>
    <x v="1"/>
    <x v="0"/>
    <n v="900"/>
    <n v="3"/>
    <n v="2700"/>
    <n v="2295"/>
    <x v="4"/>
  </r>
  <r>
    <n v="797"/>
    <x v="796"/>
    <x v="0"/>
    <x v="5"/>
    <x v="1"/>
    <n v="600"/>
    <n v="1"/>
    <n v="600"/>
    <n v="600"/>
    <x v="5"/>
  </r>
  <r>
    <n v="798"/>
    <x v="797"/>
    <x v="0"/>
    <x v="4"/>
    <x v="1"/>
    <n v="800"/>
    <n v="1"/>
    <n v="800"/>
    <n v="800"/>
    <x v="6"/>
  </r>
  <r>
    <n v="799"/>
    <x v="798"/>
    <x v="0"/>
    <x v="5"/>
    <x v="1"/>
    <n v="600"/>
    <n v="1"/>
    <n v="600"/>
    <n v="600"/>
    <x v="0"/>
  </r>
  <r>
    <n v="800"/>
    <x v="799"/>
    <x v="0"/>
    <x v="0"/>
    <x v="0"/>
    <n v="1100"/>
    <n v="1"/>
    <n v="1100"/>
    <n v="1100"/>
    <x v="1"/>
  </r>
  <r>
    <n v="801"/>
    <x v="800"/>
    <x v="0"/>
    <x v="2"/>
    <x v="0"/>
    <n v="900"/>
    <n v="1"/>
    <n v="900"/>
    <n v="900"/>
    <x v="2"/>
  </r>
  <r>
    <n v="802"/>
    <x v="801"/>
    <x v="0"/>
    <x v="0"/>
    <x v="0"/>
    <n v="1100"/>
    <n v="1"/>
    <n v="1100"/>
    <n v="1100"/>
    <x v="3"/>
  </r>
  <r>
    <n v="803"/>
    <x v="802"/>
    <x v="0"/>
    <x v="0"/>
    <x v="0"/>
    <n v="1100"/>
    <n v="1"/>
    <n v="1100"/>
    <n v="1100"/>
    <x v="4"/>
  </r>
  <r>
    <n v="804"/>
    <x v="803"/>
    <x v="0"/>
    <x v="7"/>
    <x v="2"/>
    <n v="1200"/>
    <n v="1"/>
    <n v="1200"/>
    <n v="1200"/>
    <x v="5"/>
  </r>
  <r>
    <n v="805"/>
    <x v="804"/>
    <x v="0"/>
    <x v="7"/>
    <x v="2"/>
    <n v="1200"/>
    <n v="1"/>
    <n v="1200"/>
    <n v="1200"/>
    <x v="6"/>
  </r>
  <r>
    <n v="806"/>
    <x v="805"/>
    <x v="0"/>
    <x v="0"/>
    <x v="0"/>
    <n v="1100"/>
    <n v="1"/>
    <n v="1100"/>
    <n v="1100"/>
    <x v="0"/>
  </r>
  <r>
    <n v="807"/>
    <x v="806"/>
    <x v="0"/>
    <x v="0"/>
    <x v="0"/>
    <n v="1100"/>
    <n v="1"/>
    <n v="1100"/>
    <n v="1100"/>
    <x v="1"/>
  </r>
  <r>
    <n v="808"/>
    <x v="807"/>
    <x v="0"/>
    <x v="8"/>
    <x v="3"/>
    <n v="900"/>
    <n v="1"/>
    <n v="900"/>
    <n v="900"/>
    <x v="2"/>
  </r>
  <r>
    <n v="809"/>
    <x v="808"/>
    <x v="0"/>
    <x v="2"/>
    <x v="0"/>
    <n v="900"/>
    <n v="1"/>
    <n v="900"/>
    <n v="900"/>
    <x v="3"/>
  </r>
  <r>
    <n v="810"/>
    <x v="809"/>
    <x v="0"/>
    <x v="8"/>
    <x v="3"/>
    <n v="800"/>
    <n v="1"/>
    <n v="800"/>
    <n v="800"/>
    <x v="4"/>
  </r>
  <r>
    <n v="811"/>
    <x v="810"/>
    <x v="0"/>
    <x v="5"/>
    <x v="1"/>
    <n v="600"/>
    <n v="1"/>
    <n v="600"/>
    <n v="600"/>
    <x v="5"/>
  </r>
  <r>
    <n v="812"/>
    <x v="811"/>
    <x v="0"/>
    <x v="8"/>
    <x v="3"/>
    <n v="800"/>
    <n v="1"/>
    <n v="800"/>
    <n v="800"/>
    <x v="6"/>
  </r>
  <r>
    <n v="813"/>
    <x v="812"/>
    <x v="0"/>
    <x v="2"/>
    <x v="0"/>
    <n v="900"/>
    <n v="1"/>
    <n v="900"/>
    <n v="900"/>
    <x v="0"/>
  </r>
  <r>
    <n v="814"/>
    <x v="813"/>
    <x v="0"/>
    <x v="7"/>
    <x v="2"/>
    <n v="1200"/>
    <n v="1"/>
    <n v="1200"/>
    <n v="1200"/>
    <x v="1"/>
  </r>
  <r>
    <n v="815"/>
    <x v="814"/>
    <x v="0"/>
    <x v="8"/>
    <x v="3"/>
    <n v="800"/>
    <n v="1"/>
    <n v="800"/>
    <n v="800"/>
    <x v="2"/>
  </r>
  <r>
    <n v="816"/>
    <x v="815"/>
    <x v="0"/>
    <x v="1"/>
    <x v="0"/>
    <n v="900"/>
    <n v="1"/>
    <n v="900"/>
    <n v="765"/>
    <x v="3"/>
  </r>
  <r>
    <n v="817"/>
    <x v="816"/>
    <x v="0"/>
    <x v="7"/>
    <x v="2"/>
    <n v="1200"/>
    <n v="1"/>
    <n v="1200"/>
    <n v="1200"/>
    <x v="4"/>
  </r>
  <r>
    <n v="818"/>
    <x v="817"/>
    <x v="0"/>
    <x v="0"/>
    <x v="0"/>
    <n v="1100"/>
    <n v="1"/>
    <n v="1100"/>
    <n v="1100"/>
    <x v="5"/>
  </r>
  <r>
    <n v="819"/>
    <x v="818"/>
    <x v="0"/>
    <x v="7"/>
    <x v="2"/>
    <n v="1200"/>
    <n v="1"/>
    <n v="1200"/>
    <n v="1200"/>
    <x v="6"/>
  </r>
  <r>
    <n v="820"/>
    <x v="819"/>
    <x v="0"/>
    <x v="2"/>
    <x v="0"/>
    <n v="900"/>
    <n v="1"/>
    <n v="900"/>
    <n v="900"/>
    <x v="0"/>
  </r>
  <r>
    <n v="821"/>
    <x v="820"/>
    <x v="0"/>
    <x v="0"/>
    <x v="0"/>
    <n v="1100"/>
    <n v="2"/>
    <n v="2200"/>
    <n v="2200"/>
    <x v="1"/>
  </r>
  <r>
    <n v="822"/>
    <x v="821"/>
    <x v="0"/>
    <x v="7"/>
    <x v="2"/>
    <n v="1200"/>
    <n v="1"/>
    <n v="1200"/>
    <n v="1200"/>
    <x v="2"/>
  </r>
  <r>
    <n v="823"/>
    <x v="822"/>
    <x v="0"/>
    <x v="0"/>
    <x v="0"/>
    <n v="1100"/>
    <n v="1"/>
    <n v="1100"/>
    <n v="1100"/>
    <x v="3"/>
  </r>
  <r>
    <n v="824"/>
    <x v="823"/>
    <x v="0"/>
    <x v="1"/>
    <x v="0"/>
    <n v="900"/>
    <n v="1"/>
    <n v="900"/>
    <n v="765"/>
    <x v="4"/>
  </r>
  <r>
    <n v="825"/>
    <x v="824"/>
    <x v="0"/>
    <x v="5"/>
    <x v="1"/>
    <n v="600"/>
    <n v="1"/>
    <n v="600"/>
    <n v="600"/>
    <x v="5"/>
  </r>
  <r>
    <n v="826"/>
    <x v="825"/>
    <x v="0"/>
    <x v="8"/>
    <x v="3"/>
    <n v="900"/>
    <n v="1"/>
    <n v="900"/>
    <n v="900"/>
    <x v="6"/>
  </r>
  <r>
    <n v="827"/>
    <x v="826"/>
    <x v="0"/>
    <x v="4"/>
    <x v="1"/>
    <n v="800"/>
    <n v="1"/>
    <n v="800"/>
    <n v="800"/>
    <x v="0"/>
  </r>
  <r>
    <n v="828"/>
    <x v="827"/>
    <x v="0"/>
    <x v="0"/>
    <x v="0"/>
    <n v="1100"/>
    <n v="1"/>
    <n v="1100"/>
    <n v="1100"/>
    <x v="1"/>
  </r>
  <r>
    <n v="829"/>
    <x v="828"/>
    <x v="0"/>
    <x v="2"/>
    <x v="0"/>
    <n v="900"/>
    <n v="1"/>
    <n v="900"/>
    <n v="900"/>
    <x v="2"/>
  </r>
  <r>
    <n v="830"/>
    <x v="829"/>
    <x v="0"/>
    <x v="3"/>
    <x v="0"/>
    <n v="1000"/>
    <n v="1"/>
    <n v="1000"/>
    <n v="1000"/>
    <x v="3"/>
  </r>
  <r>
    <n v="831"/>
    <x v="830"/>
    <x v="0"/>
    <x v="6"/>
    <x v="2"/>
    <n v="850"/>
    <n v="1"/>
    <n v="850"/>
    <n v="850"/>
    <x v="4"/>
  </r>
  <r>
    <n v="832"/>
    <x v="831"/>
    <x v="0"/>
    <x v="5"/>
    <x v="1"/>
    <n v="600"/>
    <n v="1"/>
    <n v="600"/>
    <n v="600"/>
    <x v="5"/>
  </r>
  <r>
    <n v="833"/>
    <x v="832"/>
    <x v="0"/>
    <x v="2"/>
    <x v="0"/>
    <n v="900"/>
    <n v="1"/>
    <n v="900"/>
    <n v="900"/>
    <x v="6"/>
  </r>
  <r>
    <n v="834"/>
    <x v="833"/>
    <x v="0"/>
    <x v="3"/>
    <x v="0"/>
    <n v="1000"/>
    <n v="1"/>
    <n v="1000"/>
    <n v="1000"/>
    <x v="0"/>
  </r>
  <r>
    <n v="835"/>
    <x v="834"/>
    <x v="0"/>
    <x v="2"/>
    <x v="0"/>
    <n v="900"/>
    <n v="1"/>
    <n v="900"/>
    <n v="900"/>
    <x v="1"/>
  </r>
  <r>
    <n v="836"/>
    <x v="835"/>
    <x v="0"/>
    <x v="1"/>
    <x v="0"/>
    <n v="900"/>
    <n v="1"/>
    <n v="900"/>
    <n v="765"/>
    <x v="2"/>
  </r>
  <r>
    <n v="837"/>
    <x v="836"/>
    <x v="0"/>
    <x v="5"/>
    <x v="1"/>
    <n v="600"/>
    <n v="1"/>
    <n v="600"/>
    <n v="600"/>
    <x v="3"/>
  </r>
  <r>
    <n v="838"/>
    <x v="837"/>
    <x v="0"/>
    <x v="8"/>
    <x v="3"/>
    <n v="900"/>
    <n v="1"/>
    <n v="900"/>
    <n v="900"/>
    <x v="4"/>
  </r>
  <r>
    <n v="839"/>
    <x v="838"/>
    <x v="0"/>
    <x v="8"/>
    <x v="3"/>
    <n v="800"/>
    <n v="1"/>
    <n v="800"/>
    <n v="800"/>
    <x v="5"/>
  </r>
  <r>
    <n v="840"/>
    <x v="839"/>
    <x v="0"/>
    <x v="4"/>
    <x v="1"/>
    <n v="800"/>
    <n v="1"/>
    <n v="800"/>
    <n v="800"/>
    <x v="6"/>
  </r>
  <r>
    <n v="841"/>
    <x v="840"/>
    <x v="0"/>
    <x v="5"/>
    <x v="1"/>
    <n v="600"/>
    <n v="1"/>
    <n v="600"/>
    <n v="600"/>
    <x v="0"/>
  </r>
  <r>
    <n v="842"/>
    <x v="841"/>
    <x v="0"/>
    <x v="8"/>
    <x v="3"/>
    <n v="500"/>
    <n v="1"/>
    <n v="500"/>
    <n v="500"/>
    <x v="1"/>
  </r>
  <r>
    <n v="843"/>
    <x v="842"/>
    <x v="0"/>
    <x v="2"/>
    <x v="0"/>
    <n v="900"/>
    <n v="1"/>
    <n v="900"/>
    <n v="900"/>
    <x v="2"/>
  </r>
  <r>
    <n v="844"/>
    <x v="843"/>
    <x v="0"/>
    <x v="0"/>
    <x v="0"/>
    <n v="1100"/>
    <n v="1"/>
    <n v="1100"/>
    <n v="1100"/>
    <x v="3"/>
  </r>
  <r>
    <n v="845"/>
    <x v="844"/>
    <x v="0"/>
    <x v="8"/>
    <x v="3"/>
    <n v="500"/>
    <n v="1"/>
    <n v="500"/>
    <n v="500"/>
    <x v="4"/>
  </r>
  <r>
    <n v="846"/>
    <x v="845"/>
    <x v="0"/>
    <x v="5"/>
    <x v="1"/>
    <n v="600"/>
    <n v="1"/>
    <n v="600"/>
    <n v="600"/>
    <x v="5"/>
  </r>
  <r>
    <n v="847"/>
    <x v="846"/>
    <x v="0"/>
    <x v="2"/>
    <x v="0"/>
    <n v="900"/>
    <n v="1"/>
    <n v="900"/>
    <n v="900"/>
    <x v="6"/>
  </r>
  <r>
    <n v="848"/>
    <x v="847"/>
    <x v="0"/>
    <x v="8"/>
    <x v="3"/>
    <n v="500"/>
    <n v="1"/>
    <n v="500"/>
    <n v="500"/>
    <x v="0"/>
  </r>
  <r>
    <n v="849"/>
    <x v="848"/>
    <x v="0"/>
    <x v="8"/>
    <x v="3"/>
    <n v="500"/>
    <n v="1"/>
    <n v="500"/>
    <n v="500"/>
    <x v="1"/>
  </r>
  <r>
    <n v="850"/>
    <x v="849"/>
    <x v="0"/>
    <x v="5"/>
    <x v="1"/>
    <n v="600"/>
    <n v="1"/>
    <n v="600"/>
    <n v="600"/>
    <x v="2"/>
  </r>
  <r>
    <n v="851"/>
    <x v="850"/>
    <x v="0"/>
    <x v="5"/>
    <x v="1"/>
    <n v="600"/>
    <n v="1"/>
    <n v="600"/>
    <n v="600"/>
    <x v="3"/>
  </r>
  <r>
    <n v="852"/>
    <x v="851"/>
    <x v="0"/>
    <x v="4"/>
    <x v="1"/>
    <n v="800"/>
    <n v="1"/>
    <n v="800"/>
    <n v="800"/>
    <x v="4"/>
  </r>
  <r>
    <n v="853"/>
    <x v="852"/>
    <x v="0"/>
    <x v="6"/>
    <x v="2"/>
    <n v="850"/>
    <n v="1"/>
    <n v="850"/>
    <n v="850"/>
    <x v="5"/>
  </r>
  <r>
    <n v="854"/>
    <x v="853"/>
    <x v="0"/>
    <x v="8"/>
    <x v="3"/>
    <n v="500"/>
    <n v="1"/>
    <n v="500"/>
    <n v="500"/>
    <x v="6"/>
  </r>
  <r>
    <n v="855"/>
    <x v="854"/>
    <x v="0"/>
    <x v="8"/>
    <x v="3"/>
    <n v="500"/>
    <n v="1"/>
    <n v="500"/>
    <n v="500"/>
    <x v="0"/>
  </r>
  <r>
    <n v="856"/>
    <x v="855"/>
    <x v="0"/>
    <x v="0"/>
    <x v="0"/>
    <n v="1100"/>
    <n v="1"/>
    <n v="1100"/>
    <n v="1100"/>
    <x v="1"/>
  </r>
  <r>
    <n v="857"/>
    <x v="856"/>
    <x v="0"/>
    <x v="8"/>
    <x v="3"/>
    <n v="500"/>
    <n v="1"/>
    <n v="500"/>
    <n v="500"/>
    <x v="2"/>
  </r>
  <r>
    <n v="858"/>
    <x v="857"/>
    <x v="0"/>
    <x v="3"/>
    <x v="0"/>
    <n v="1000"/>
    <n v="1"/>
    <n v="1000"/>
    <n v="1000"/>
    <x v="3"/>
  </r>
  <r>
    <n v="859"/>
    <x v="858"/>
    <x v="0"/>
    <x v="4"/>
    <x v="1"/>
    <n v="800"/>
    <n v="1"/>
    <n v="800"/>
    <n v="800"/>
    <x v="4"/>
  </r>
  <r>
    <n v="860"/>
    <x v="859"/>
    <x v="0"/>
    <x v="9"/>
    <x v="3"/>
    <n v="600"/>
    <n v="1"/>
    <n v="600"/>
    <n v="600"/>
    <x v="5"/>
  </r>
  <r>
    <n v="861"/>
    <x v="860"/>
    <x v="0"/>
    <x v="9"/>
    <x v="3"/>
    <n v="600"/>
    <n v="1"/>
    <n v="600"/>
    <n v="600"/>
    <x v="6"/>
  </r>
  <r>
    <n v="862"/>
    <x v="861"/>
    <x v="0"/>
    <x v="6"/>
    <x v="2"/>
    <n v="850"/>
    <n v="1"/>
    <n v="850"/>
    <n v="850"/>
    <x v="0"/>
  </r>
  <r>
    <n v="863"/>
    <x v="862"/>
    <x v="0"/>
    <x v="9"/>
    <x v="3"/>
    <n v="600"/>
    <n v="1"/>
    <n v="600"/>
    <n v="600"/>
    <x v="1"/>
  </r>
  <r>
    <n v="864"/>
    <x v="863"/>
    <x v="0"/>
    <x v="5"/>
    <x v="1"/>
    <n v="600"/>
    <n v="1"/>
    <n v="600"/>
    <n v="600"/>
    <x v="2"/>
  </r>
  <r>
    <n v="865"/>
    <x v="864"/>
    <x v="0"/>
    <x v="9"/>
    <x v="3"/>
    <n v="600"/>
    <n v="1"/>
    <n v="600"/>
    <n v="600"/>
    <x v="3"/>
  </r>
  <r>
    <n v="866"/>
    <x v="865"/>
    <x v="0"/>
    <x v="0"/>
    <x v="0"/>
    <n v="1100"/>
    <n v="1"/>
    <n v="1100"/>
    <n v="1100"/>
    <x v="4"/>
  </r>
  <r>
    <n v="867"/>
    <x v="866"/>
    <x v="0"/>
    <x v="5"/>
    <x v="1"/>
    <n v="600"/>
    <n v="1"/>
    <n v="600"/>
    <n v="600"/>
    <x v="5"/>
  </r>
  <r>
    <n v="868"/>
    <x v="867"/>
    <x v="0"/>
    <x v="0"/>
    <x v="0"/>
    <n v="1100"/>
    <n v="1"/>
    <n v="1100"/>
    <n v="1100"/>
    <x v="6"/>
  </r>
  <r>
    <n v="869"/>
    <x v="868"/>
    <x v="0"/>
    <x v="0"/>
    <x v="0"/>
    <n v="1100"/>
    <n v="1"/>
    <n v="1100"/>
    <n v="1100"/>
    <x v="0"/>
  </r>
  <r>
    <n v="870"/>
    <x v="869"/>
    <x v="0"/>
    <x v="0"/>
    <x v="0"/>
    <n v="1100"/>
    <n v="1"/>
    <n v="1100"/>
    <n v="1100"/>
    <x v="1"/>
  </r>
  <r>
    <n v="871"/>
    <x v="870"/>
    <x v="0"/>
    <x v="6"/>
    <x v="2"/>
    <n v="850"/>
    <n v="1"/>
    <n v="850"/>
    <n v="850"/>
    <x v="2"/>
  </r>
  <r>
    <n v="872"/>
    <x v="871"/>
    <x v="0"/>
    <x v="5"/>
    <x v="1"/>
    <n v="600"/>
    <n v="1"/>
    <n v="600"/>
    <n v="600"/>
    <x v="3"/>
  </r>
  <r>
    <n v="873"/>
    <x v="872"/>
    <x v="0"/>
    <x v="5"/>
    <x v="1"/>
    <n v="600"/>
    <n v="1"/>
    <n v="600"/>
    <n v="600"/>
    <x v="4"/>
  </r>
  <r>
    <n v="874"/>
    <x v="873"/>
    <x v="0"/>
    <x v="4"/>
    <x v="1"/>
    <n v="800"/>
    <n v="1"/>
    <n v="800"/>
    <n v="800"/>
    <x v="5"/>
  </r>
  <r>
    <n v="875"/>
    <x v="874"/>
    <x v="0"/>
    <x v="7"/>
    <x v="2"/>
    <n v="1200"/>
    <n v="1"/>
    <n v="1200"/>
    <n v="1200"/>
    <x v="6"/>
  </r>
  <r>
    <n v="876"/>
    <x v="875"/>
    <x v="0"/>
    <x v="3"/>
    <x v="0"/>
    <n v="1000"/>
    <n v="1"/>
    <n v="1000"/>
    <n v="1000"/>
    <x v="0"/>
  </r>
  <r>
    <n v="877"/>
    <x v="876"/>
    <x v="0"/>
    <x v="9"/>
    <x v="3"/>
    <n v="600"/>
    <n v="1"/>
    <n v="600"/>
    <n v="600"/>
    <x v="1"/>
  </r>
  <r>
    <n v="878"/>
    <x v="877"/>
    <x v="0"/>
    <x v="2"/>
    <x v="0"/>
    <n v="900"/>
    <n v="1"/>
    <n v="900"/>
    <n v="900"/>
    <x v="2"/>
  </r>
  <r>
    <n v="879"/>
    <x v="878"/>
    <x v="0"/>
    <x v="5"/>
    <x v="1"/>
    <n v="600"/>
    <n v="1"/>
    <n v="600"/>
    <n v="600"/>
    <x v="3"/>
  </r>
  <r>
    <n v="880"/>
    <x v="879"/>
    <x v="0"/>
    <x v="1"/>
    <x v="0"/>
    <n v="900"/>
    <n v="1"/>
    <n v="900"/>
    <n v="765"/>
    <x v="4"/>
  </r>
  <r>
    <n v="881"/>
    <x v="880"/>
    <x v="0"/>
    <x v="9"/>
    <x v="3"/>
    <n v="600"/>
    <n v="1"/>
    <n v="600"/>
    <n v="600"/>
    <x v="5"/>
  </r>
  <r>
    <n v="882"/>
    <x v="881"/>
    <x v="0"/>
    <x v="6"/>
    <x v="2"/>
    <n v="850"/>
    <n v="1"/>
    <n v="850"/>
    <n v="850"/>
    <x v="6"/>
  </r>
  <r>
    <n v="883"/>
    <x v="882"/>
    <x v="0"/>
    <x v="2"/>
    <x v="0"/>
    <n v="900"/>
    <n v="1"/>
    <n v="900"/>
    <n v="900"/>
    <x v="0"/>
  </r>
  <r>
    <n v="884"/>
    <x v="883"/>
    <x v="0"/>
    <x v="0"/>
    <x v="0"/>
    <n v="1100"/>
    <n v="1"/>
    <n v="1100"/>
    <n v="1100"/>
    <x v="1"/>
  </r>
  <r>
    <n v="885"/>
    <x v="884"/>
    <x v="0"/>
    <x v="2"/>
    <x v="0"/>
    <n v="900"/>
    <n v="1"/>
    <n v="900"/>
    <n v="900"/>
    <x v="2"/>
  </r>
  <r>
    <n v="886"/>
    <x v="885"/>
    <x v="0"/>
    <x v="3"/>
    <x v="0"/>
    <n v="1000"/>
    <n v="1"/>
    <n v="1000"/>
    <n v="1000"/>
    <x v="3"/>
  </r>
  <r>
    <n v="887"/>
    <x v="886"/>
    <x v="0"/>
    <x v="0"/>
    <x v="0"/>
    <n v="1100"/>
    <n v="1"/>
    <n v="1100"/>
    <n v="1100"/>
    <x v="4"/>
  </r>
  <r>
    <n v="888"/>
    <x v="887"/>
    <x v="0"/>
    <x v="3"/>
    <x v="0"/>
    <n v="1000"/>
    <n v="1"/>
    <n v="1000"/>
    <n v="1000"/>
    <x v="5"/>
  </r>
  <r>
    <n v="889"/>
    <x v="888"/>
    <x v="0"/>
    <x v="0"/>
    <x v="0"/>
    <n v="1100"/>
    <n v="1"/>
    <n v="1100"/>
    <n v="1100"/>
    <x v="6"/>
  </r>
  <r>
    <n v="890"/>
    <x v="889"/>
    <x v="0"/>
    <x v="2"/>
    <x v="0"/>
    <n v="900"/>
    <n v="1"/>
    <n v="900"/>
    <n v="900"/>
    <x v="0"/>
  </r>
  <r>
    <n v="891"/>
    <x v="890"/>
    <x v="0"/>
    <x v="1"/>
    <x v="0"/>
    <n v="900"/>
    <n v="1"/>
    <n v="900"/>
    <n v="765"/>
    <x v="1"/>
  </r>
  <r>
    <n v="892"/>
    <x v="891"/>
    <x v="0"/>
    <x v="0"/>
    <x v="0"/>
    <n v="1100"/>
    <n v="1"/>
    <n v="1100"/>
    <n v="1100"/>
    <x v="2"/>
  </r>
  <r>
    <n v="893"/>
    <x v="892"/>
    <x v="0"/>
    <x v="0"/>
    <x v="0"/>
    <n v="1100"/>
    <n v="1"/>
    <n v="1100"/>
    <n v="1100"/>
    <x v="3"/>
  </r>
  <r>
    <n v="894"/>
    <x v="893"/>
    <x v="0"/>
    <x v="3"/>
    <x v="0"/>
    <n v="1000"/>
    <n v="1"/>
    <n v="1000"/>
    <n v="1000"/>
    <x v="4"/>
  </r>
  <r>
    <n v="895"/>
    <x v="894"/>
    <x v="0"/>
    <x v="1"/>
    <x v="0"/>
    <n v="900"/>
    <n v="1"/>
    <n v="900"/>
    <n v="765"/>
    <x v="5"/>
  </r>
  <r>
    <n v="896"/>
    <x v="895"/>
    <x v="0"/>
    <x v="5"/>
    <x v="1"/>
    <n v="600"/>
    <n v="1"/>
    <n v="600"/>
    <n v="600"/>
    <x v="6"/>
  </r>
  <r>
    <n v="897"/>
    <x v="896"/>
    <x v="0"/>
    <x v="1"/>
    <x v="0"/>
    <n v="900"/>
    <n v="1"/>
    <n v="900"/>
    <n v="765"/>
    <x v="0"/>
  </r>
  <r>
    <n v="898"/>
    <x v="897"/>
    <x v="0"/>
    <x v="5"/>
    <x v="1"/>
    <n v="600"/>
    <n v="1"/>
    <n v="600"/>
    <n v="600"/>
    <x v="1"/>
  </r>
  <r>
    <n v="899"/>
    <x v="898"/>
    <x v="0"/>
    <x v="2"/>
    <x v="0"/>
    <n v="900"/>
    <n v="1"/>
    <n v="900"/>
    <n v="900"/>
    <x v="2"/>
  </r>
  <r>
    <n v="900"/>
    <x v="899"/>
    <x v="0"/>
    <x v="0"/>
    <x v="0"/>
    <n v="1100"/>
    <n v="2"/>
    <n v="2200"/>
    <n v="2200"/>
    <x v="3"/>
  </r>
  <r>
    <n v="901"/>
    <x v="900"/>
    <x v="0"/>
    <x v="5"/>
    <x v="1"/>
    <n v="600"/>
    <n v="1"/>
    <n v="600"/>
    <n v="600"/>
    <x v="4"/>
  </r>
  <r>
    <n v="902"/>
    <x v="901"/>
    <x v="0"/>
    <x v="5"/>
    <x v="1"/>
    <n v="600"/>
    <n v="1"/>
    <n v="600"/>
    <n v="600"/>
    <x v="5"/>
  </r>
  <r>
    <n v="903"/>
    <x v="902"/>
    <x v="0"/>
    <x v="2"/>
    <x v="0"/>
    <n v="900"/>
    <n v="1"/>
    <n v="900"/>
    <n v="900"/>
    <x v="6"/>
  </r>
  <r>
    <n v="904"/>
    <x v="903"/>
    <x v="0"/>
    <x v="0"/>
    <x v="0"/>
    <n v="1100"/>
    <n v="1"/>
    <n v="1100"/>
    <n v="1100"/>
    <x v="0"/>
  </r>
  <r>
    <n v="905"/>
    <x v="904"/>
    <x v="0"/>
    <x v="5"/>
    <x v="1"/>
    <n v="600"/>
    <n v="1"/>
    <n v="600"/>
    <n v="600"/>
    <x v="1"/>
  </r>
  <r>
    <n v="906"/>
    <x v="905"/>
    <x v="0"/>
    <x v="9"/>
    <x v="3"/>
    <n v="600"/>
    <n v="1"/>
    <n v="600"/>
    <n v="600"/>
    <x v="2"/>
  </r>
  <r>
    <n v="907"/>
    <x v="906"/>
    <x v="0"/>
    <x v="5"/>
    <x v="1"/>
    <n v="600"/>
    <n v="1"/>
    <n v="600"/>
    <n v="600"/>
    <x v="3"/>
  </r>
  <r>
    <n v="908"/>
    <x v="907"/>
    <x v="0"/>
    <x v="9"/>
    <x v="3"/>
    <n v="600"/>
    <n v="1"/>
    <n v="600"/>
    <n v="600"/>
    <x v="4"/>
  </r>
  <r>
    <n v="909"/>
    <x v="908"/>
    <x v="0"/>
    <x v="9"/>
    <x v="3"/>
    <n v="600"/>
    <n v="2"/>
    <n v="1200"/>
    <n v="1200"/>
    <x v="5"/>
  </r>
  <r>
    <n v="910"/>
    <x v="909"/>
    <x v="0"/>
    <x v="5"/>
    <x v="1"/>
    <n v="600"/>
    <n v="1"/>
    <n v="600"/>
    <n v="600"/>
    <x v="6"/>
  </r>
  <r>
    <n v="911"/>
    <x v="910"/>
    <x v="0"/>
    <x v="0"/>
    <x v="0"/>
    <n v="1100"/>
    <n v="3"/>
    <n v="3300"/>
    <n v="3300"/>
    <x v="0"/>
  </r>
  <r>
    <n v="912"/>
    <x v="911"/>
    <x v="0"/>
    <x v="0"/>
    <x v="0"/>
    <n v="1100"/>
    <n v="1"/>
    <n v="1100"/>
    <n v="1100"/>
    <x v="1"/>
  </r>
  <r>
    <n v="913"/>
    <x v="912"/>
    <x v="0"/>
    <x v="6"/>
    <x v="2"/>
    <n v="850"/>
    <n v="1"/>
    <n v="850"/>
    <n v="850"/>
    <x v="2"/>
  </r>
  <r>
    <n v="914"/>
    <x v="913"/>
    <x v="0"/>
    <x v="7"/>
    <x v="2"/>
    <n v="1200"/>
    <n v="1"/>
    <n v="1200"/>
    <n v="1200"/>
    <x v="3"/>
  </r>
  <r>
    <n v="915"/>
    <x v="914"/>
    <x v="0"/>
    <x v="4"/>
    <x v="1"/>
    <n v="800"/>
    <n v="1"/>
    <n v="800"/>
    <n v="800"/>
    <x v="4"/>
  </r>
  <r>
    <n v="916"/>
    <x v="915"/>
    <x v="0"/>
    <x v="2"/>
    <x v="0"/>
    <n v="900"/>
    <n v="1"/>
    <n v="900"/>
    <n v="900"/>
    <x v="5"/>
  </r>
  <r>
    <n v="917"/>
    <x v="916"/>
    <x v="0"/>
    <x v="0"/>
    <x v="0"/>
    <n v="1100"/>
    <n v="1"/>
    <n v="1100"/>
    <n v="1100"/>
    <x v="6"/>
  </r>
  <r>
    <n v="918"/>
    <x v="917"/>
    <x v="0"/>
    <x v="1"/>
    <x v="0"/>
    <n v="900"/>
    <n v="1"/>
    <n v="900"/>
    <n v="765"/>
    <x v="0"/>
  </r>
  <r>
    <n v="919"/>
    <x v="918"/>
    <x v="0"/>
    <x v="0"/>
    <x v="0"/>
    <n v="1100"/>
    <n v="1"/>
    <n v="1100"/>
    <n v="1100"/>
    <x v="1"/>
  </r>
  <r>
    <n v="920"/>
    <x v="919"/>
    <x v="0"/>
    <x v="8"/>
    <x v="3"/>
    <n v="900"/>
    <n v="1"/>
    <n v="900"/>
    <n v="900"/>
    <x v="2"/>
  </r>
  <r>
    <n v="921"/>
    <x v="920"/>
    <x v="0"/>
    <x v="8"/>
    <x v="3"/>
    <n v="500"/>
    <n v="1"/>
    <n v="500"/>
    <n v="500"/>
    <x v="3"/>
  </r>
  <r>
    <n v="922"/>
    <x v="921"/>
    <x v="0"/>
    <x v="3"/>
    <x v="0"/>
    <n v="1000"/>
    <n v="1"/>
    <n v="1000"/>
    <n v="1000"/>
    <x v="4"/>
  </r>
  <r>
    <n v="923"/>
    <x v="922"/>
    <x v="0"/>
    <x v="9"/>
    <x v="3"/>
    <n v="600"/>
    <n v="1"/>
    <n v="600"/>
    <n v="600"/>
    <x v="5"/>
  </r>
  <r>
    <n v="924"/>
    <x v="923"/>
    <x v="0"/>
    <x v="1"/>
    <x v="0"/>
    <n v="900"/>
    <n v="2"/>
    <n v="1800"/>
    <n v="1530"/>
    <x v="6"/>
  </r>
  <r>
    <n v="925"/>
    <x v="924"/>
    <x v="0"/>
    <x v="6"/>
    <x v="2"/>
    <n v="850"/>
    <n v="1"/>
    <n v="850"/>
    <n v="850"/>
    <x v="0"/>
  </r>
  <r>
    <n v="926"/>
    <x v="925"/>
    <x v="0"/>
    <x v="4"/>
    <x v="1"/>
    <n v="800"/>
    <n v="1"/>
    <n v="800"/>
    <n v="800"/>
    <x v="1"/>
  </r>
  <r>
    <n v="927"/>
    <x v="926"/>
    <x v="0"/>
    <x v="1"/>
    <x v="0"/>
    <n v="900"/>
    <n v="1"/>
    <n v="900"/>
    <n v="765"/>
    <x v="2"/>
  </r>
  <r>
    <n v="928"/>
    <x v="927"/>
    <x v="0"/>
    <x v="1"/>
    <x v="0"/>
    <n v="900"/>
    <n v="1"/>
    <n v="900"/>
    <n v="765"/>
    <x v="3"/>
  </r>
  <r>
    <n v="929"/>
    <x v="928"/>
    <x v="0"/>
    <x v="0"/>
    <x v="0"/>
    <n v="1100"/>
    <n v="1"/>
    <n v="1100"/>
    <n v="1100"/>
    <x v="4"/>
  </r>
  <r>
    <n v="930"/>
    <x v="929"/>
    <x v="0"/>
    <x v="2"/>
    <x v="0"/>
    <n v="900"/>
    <n v="1"/>
    <n v="900"/>
    <n v="900"/>
    <x v="5"/>
  </r>
  <r>
    <n v="931"/>
    <x v="930"/>
    <x v="0"/>
    <x v="5"/>
    <x v="1"/>
    <n v="600"/>
    <n v="1"/>
    <n v="600"/>
    <n v="600"/>
    <x v="6"/>
  </r>
  <r>
    <n v="932"/>
    <x v="931"/>
    <x v="0"/>
    <x v="5"/>
    <x v="1"/>
    <n v="600"/>
    <n v="1"/>
    <n v="600"/>
    <n v="600"/>
    <x v="0"/>
  </r>
  <r>
    <n v="933"/>
    <x v="932"/>
    <x v="0"/>
    <x v="2"/>
    <x v="0"/>
    <n v="900"/>
    <n v="1"/>
    <n v="900"/>
    <n v="900"/>
    <x v="1"/>
  </r>
  <r>
    <n v="934"/>
    <x v="933"/>
    <x v="0"/>
    <x v="6"/>
    <x v="2"/>
    <n v="850"/>
    <n v="1"/>
    <n v="850"/>
    <n v="850"/>
    <x v="2"/>
  </r>
  <r>
    <n v="935"/>
    <x v="934"/>
    <x v="0"/>
    <x v="2"/>
    <x v="0"/>
    <n v="900"/>
    <n v="1"/>
    <n v="900"/>
    <n v="900"/>
    <x v="3"/>
  </r>
  <r>
    <n v="936"/>
    <x v="935"/>
    <x v="0"/>
    <x v="5"/>
    <x v="1"/>
    <n v="600"/>
    <n v="1"/>
    <n v="600"/>
    <n v="600"/>
    <x v="4"/>
  </r>
  <r>
    <n v="937"/>
    <x v="936"/>
    <x v="0"/>
    <x v="5"/>
    <x v="1"/>
    <n v="600"/>
    <n v="1"/>
    <n v="600"/>
    <n v="600"/>
    <x v="5"/>
  </r>
  <r>
    <n v="938"/>
    <x v="937"/>
    <x v="0"/>
    <x v="0"/>
    <x v="0"/>
    <n v="1100"/>
    <n v="1"/>
    <n v="1100"/>
    <n v="1100"/>
    <x v="6"/>
  </r>
  <r>
    <n v="939"/>
    <x v="938"/>
    <x v="0"/>
    <x v="1"/>
    <x v="0"/>
    <n v="900"/>
    <n v="1"/>
    <n v="900"/>
    <n v="765"/>
    <x v="0"/>
  </r>
  <r>
    <n v="940"/>
    <x v="939"/>
    <x v="0"/>
    <x v="0"/>
    <x v="0"/>
    <n v="1100"/>
    <n v="1"/>
    <n v="1100"/>
    <n v="1100"/>
    <x v="1"/>
  </r>
  <r>
    <n v="941"/>
    <x v="940"/>
    <x v="0"/>
    <x v="5"/>
    <x v="1"/>
    <n v="600"/>
    <n v="1"/>
    <n v="600"/>
    <n v="600"/>
    <x v="2"/>
  </r>
  <r>
    <n v="942"/>
    <x v="941"/>
    <x v="0"/>
    <x v="7"/>
    <x v="2"/>
    <n v="1200"/>
    <n v="1"/>
    <n v="1200"/>
    <n v="1200"/>
    <x v="3"/>
  </r>
  <r>
    <n v="943"/>
    <x v="942"/>
    <x v="0"/>
    <x v="9"/>
    <x v="3"/>
    <n v="600"/>
    <n v="1"/>
    <n v="600"/>
    <n v="600"/>
    <x v="4"/>
  </r>
  <r>
    <n v="944"/>
    <x v="943"/>
    <x v="0"/>
    <x v="0"/>
    <x v="0"/>
    <n v="1100"/>
    <n v="1"/>
    <n v="1100"/>
    <n v="1100"/>
    <x v="5"/>
  </r>
  <r>
    <n v="945"/>
    <x v="944"/>
    <x v="0"/>
    <x v="8"/>
    <x v="3"/>
    <n v="500"/>
    <n v="1"/>
    <n v="500"/>
    <n v="500"/>
    <x v="6"/>
  </r>
  <r>
    <n v="946"/>
    <x v="945"/>
    <x v="0"/>
    <x v="1"/>
    <x v="0"/>
    <n v="900"/>
    <n v="1"/>
    <n v="900"/>
    <n v="765"/>
    <x v="0"/>
  </r>
  <r>
    <n v="947"/>
    <x v="946"/>
    <x v="0"/>
    <x v="6"/>
    <x v="2"/>
    <n v="850"/>
    <n v="1"/>
    <n v="850"/>
    <n v="850"/>
    <x v="1"/>
  </r>
  <r>
    <n v="948"/>
    <x v="947"/>
    <x v="0"/>
    <x v="5"/>
    <x v="1"/>
    <n v="600"/>
    <n v="1"/>
    <n v="600"/>
    <n v="600"/>
    <x v="2"/>
  </r>
  <r>
    <n v="949"/>
    <x v="948"/>
    <x v="0"/>
    <x v="0"/>
    <x v="0"/>
    <n v="1100"/>
    <n v="1"/>
    <n v="1100"/>
    <n v="1100"/>
    <x v="3"/>
  </r>
  <r>
    <n v="950"/>
    <x v="949"/>
    <x v="0"/>
    <x v="8"/>
    <x v="3"/>
    <n v="500"/>
    <n v="1"/>
    <n v="500"/>
    <n v="500"/>
    <x v="4"/>
  </r>
  <r>
    <n v="951"/>
    <x v="950"/>
    <x v="0"/>
    <x v="5"/>
    <x v="1"/>
    <n v="600"/>
    <n v="1"/>
    <n v="600"/>
    <n v="600"/>
    <x v="5"/>
  </r>
  <r>
    <n v="952"/>
    <x v="951"/>
    <x v="0"/>
    <x v="3"/>
    <x v="0"/>
    <n v="1000"/>
    <n v="1"/>
    <n v="1000"/>
    <n v="1000"/>
    <x v="6"/>
  </r>
  <r>
    <n v="953"/>
    <x v="952"/>
    <x v="0"/>
    <x v="5"/>
    <x v="1"/>
    <n v="600"/>
    <n v="1"/>
    <n v="600"/>
    <n v="600"/>
    <x v="0"/>
  </r>
  <r>
    <n v="954"/>
    <x v="953"/>
    <x v="0"/>
    <x v="0"/>
    <x v="0"/>
    <n v="1100"/>
    <n v="1"/>
    <n v="1100"/>
    <n v="1100"/>
    <x v="1"/>
  </r>
  <r>
    <n v="955"/>
    <x v="954"/>
    <x v="0"/>
    <x v="8"/>
    <x v="3"/>
    <n v="500"/>
    <n v="1"/>
    <n v="500"/>
    <n v="500"/>
    <x v="2"/>
  </r>
  <r>
    <n v="956"/>
    <x v="955"/>
    <x v="0"/>
    <x v="0"/>
    <x v="0"/>
    <n v="1100"/>
    <n v="2"/>
    <n v="2200"/>
    <n v="2200"/>
    <x v="3"/>
  </r>
  <r>
    <n v="957"/>
    <x v="956"/>
    <x v="0"/>
    <x v="5"/>
    <x v="1"/>
    <n v="600"/>
    <n v="1"/>
    <n v="600"/>
    <n v="600"/>
    <x v="4"/>
  </r>
  <r>
    <n v="958"/>
    <x v="957"/>
    <x v="0"/>
    <x v="4"/>
    <x v="1"/>
    <n v="800"/>
    <n v="1"/>
    <n v="800"/>
    <n v="800"/>
    <x v="5"/>
  </r>
  <r>
    <n v="959"/>
    <x v="958"/>
    <x v="0"/>
    <x v="2"/>
    <x v="0"/>
    <n v="900"/>
    <n v="1"/>
    <n v="900"/>
    <n v="900"/>
    <x v="6"/>
  </r>
  <r>
    <n v="960"/>
    <x v="959"/>
    <x v="0"/>
    <x v="9"/>
    <x v="3"/>
    <n v="600"/>
    <n v="1"/>
    <n v="600"/>
    <n v="600"/>
    <x v="0"/>
  </r>
  <r>
    <n v="961"/>
    <x v="960"/>
    <x v="0"/>
    <x v="0"/>
    <x v="0"/>
    <n v="1100"/>
    <n v="2"/>
    <n v="2200"/>
    <n v="2200"/>
    <x v="1"/>
  </r>
  <r>
    <n v="962"/>
    <x v="961"/>
    <x v="0"/>
    <x v="9"/>
    <x v="3"/>
    <n v="600"/>
    <n v="1"/>
    <n v="600"/>
    <n v="600"/>
    <x v="2"/>
  </r>
  <r>
    <n v="963"/>
    <x v="962"/>
    <x v="0"/>
    <x v="2"/>
    <x v="0"/>
    <n v="900"/>
    <n v="1"/>
    <n v="900"/>
    <n v="900"/>
    <x v="3"/>
  </r>
  <r>
    <n v="964"/>
    <x v="963"/>
    <x v="0"/>
    <x v="5"/>
    <x v="1"/>
    <n v="600"/>
    <n v="1"/>
    <n v="600"/>
    <n v="600"/>
    <x v="4"/>
  </r>
  <r>
    <n v="965"/>
    <x v="964"/>
    <x v="0"/>
    <x v="1"/>
    <x v="0"/>
    <n v="900"/>
    <n v="1"/>
    <n v="900"/>
    <n v="765"/>
    <x v="5"/>
  </r>
  <r>
    <n v="966"/>
    <x v="965"/>
    <x v="0"/>
    <x v="9"/>
    <x v="3"/>
    <n v="600"/>
    <n v="1"/>
    <n v="600"/>
    <n v="600"/>
    <x v="6"/>
  </r>
  <r>
    <n v="967"/>
    <x v="966"/>
    <x v="0"/>
    <x v="6"/>
    <x v="2"/>
    <n v="850"/>
    <n v="1"/>
    <n v="850"/>
    <n v="850"/>
    <x v="0"/>
  </r>
  <r>
    <n v="968"/>
    <x v="967"/>
    <x v="0"/>
    <x v="2"/>
    <x v="0"/>
    <n v="900"/>
    <n v="1"/>
    <n v="900"/>
    <n v="900"/>
    <x v="1"/>
  </r>
  <r>
    <n v="969"/>
    <x v="968"/>
    <x v="0"/>
    <x v="0"/>
    <x v="0"/>
    <n v="1100"/>
    <n v="1"/>
    <n v="1100"/>
    <n v="1100"/>
    <x v="2"/>
  </r>
  <r>
    <n v="970"/>
    <x v="969"/>
    <x v="0"/>
    <x v="2"/>
    <x v="0"/>
    <n v="900"/>
    <n v="1"/>
    <n v="900"/>
    <n v="900"/>
    <x v="3"/>
  </r>
  <r>
    <n v="971"/>
    <x v="970"/>
    <x v="0"/>
    <x v="3"/>
    <x v="0"/>
    <n v="1000"/>
    <n v="1"/>
    <n v="1000"/>
    <n v="1000"/>
    <x v="4"/>
  </r>
  <r>
    <n v="972"/>
    <x v="971"/>
    <x v="0"/>
    <x v="0"/>
    <x v="0"/>
    <n v="1100"/>
    <n v="1"/>
    <n v="1100"/>
    <n v="1100"/>
    <x v="5"/>
  </r>
  <r>
    <n v="973"/>
    <x v="972"/>
    <x v="0"/>
    <x v="3"/>
    <x v="0"/>
    <n v="1000"/>
    <n v="1"/>
    <n v="1000"/>
    <n v="1000"/>
    <x v="6"/>
  </r>
  <r>
    <n v="974"/>
    <x v="973"/>
    <x v="0"/>
    <x v="0"/>
    <x v="0"/>
    <n v="1100"/>
    <n v="1"/>
    <n v="1100"/>
    <n v="1100"/>
    <x v="0"/>
  </r>
  <r>
    <n v="975"/>
    <x v="974"/>
    <x v="0"/>
    <x v="2"/>
    <x v="0"/>
    <n v="900"/>
    <n v="1"/>
    <n v="900"/>
    <n v="900"/>
    <x v="1"/>
  </r>
  <r>
    <n v="976"/>
    <x v="975"/>
    <x v="0"/>
    <x v="1"/>
    <x v="0"/>
    <n v="900"/>
    <n v="1"/>
    <n v="900"/>
    <n v="765"/>
    <x v="2"/>
  </r>
  <r>
    <n v="977"/>
    <x v="976"/>
    <x v="0"/>
    <x v="0"/>
    <x v="0"/>
    <n v="1100"/>
    <n v="1"/>
    <n v="1100"/>
    <n v="1100"/>
    <x v="3"/>
  </r>
  <r>
    <n v="978"/>
    <x v="977"/>
    <x v="0"/>
    <x v="0"/>
    <x v="0"/>
    <n v="1100"/>
    <n v="1"/>
    <n v="1100"/>
    <n v="1100"/>
    <x v="4"/>
  </r>
  <r>
    <n v="979"/>
    <x v="978"/>
    <x v="0"/>
    <x v="3"/>
    <x v="0"/>
    <n v="1000"/>
    <n v="1"/>
    <n v="1000"/>
    <n v="1000"/>
    <x v="5"/>
  </r>
  <r>
    <n v="980"/>
    <x v="979"/>
    <x v="0"/>
    <x v="1"/>
    <x v="0"/>
    <n v="900"/>
    <n v="1"/>
    <n v="900"/>
    <n v="765"/>
    <x v="6"/>
  </r>
  <r>
    <n v="981"/>
    <x v="980"/>
    <x v="0"/>
    <x v="5"/>
    <x v="1"/>
    <n v="600"/>
    <n v="1"/>
    <n v="600"/>
    <n v="600"/>
    <x v="0"/>
  </r>
  <r>
    <n v="982"/>
    <x v="981"/>
    <x v="0"/>
    <x v="1"/>
    <x v="0"/>
    <n v="900"/>
    <n v="1"/>
    <n v="900"/>
    <n v="765"/>
    <x v="1"/>
  </r>
  <r>
    <n v="983"/>
    <x v="982"/>
    <x v="0"/>
    <x v="5"/>
    <x v="1"/>
    <n v="600"/>
    <n v="1"/>
    <n v="600"/>
    <n v="600"/>
    <x v="2"/>
  </r>
  <r>
    <n v="984"/>
    <x v="983"/>
    <x v="0"/>
    <x v="2"/>
    <x v="0"/>
    <n v="900"/>
    <n v="1"/>
    <n v="900"/>
    <n v="900"/>
    <x v="3"/>
  </r>
  <r>
    <n v="985"/>
    <x v="984"/>
    <x v="0"/>
    <x v="0"/>
    <x v="0"/>
    <n v="1100"/>
    <n v="2"/>
    <n v="2200"/>
    <n v="2200"/>
    <x v="4"/>
  </r>
  <r>
    <n v="986"/>
    <x v="985"/>
    <x v="0"/>
    <x v="5"/>
    <x v="1"/>
    <n v="600"/>
    <n v="1"/>
    <n v="600"/>
    <n v="600"/>
    <x v="5"/>
  </r>
  <r>
    <n v="987"/>
    <x v="986"/>
    <x v="0"/>
    <x v="5"/>
    <x v="1"/>
    <n v="600"/>
    <n v="1"/>
    <n v="600"/>
    <n v="600"/>
    <x v="6"/>
  </r>
  <r>
    <n v="988"/>
    <x v="987"/>
    <x v="0"/>
    <x v="2"/>
    <x v="0"/>
    <n v="900"/>
    <n v="1"/>
    <n v="900"/>
    <n v="900"/>
    <x v="0"/>
  </r>
  <r>
    <n v="989"/>
    <x v="988"/>
    <x v="0"/>
    <x v="0"/>
    <x v="0"/>
    <n v="1100"/>
    <n v="1"/>
    <n v="1100"/>
    <n v="1100"/>
    <x v="1"/>
  </r>
  <r>
    <n v="990"/>
    <x v="989"/>
    <x v="0"/>
    <x v="5"/>
    <x v="1"/>
    <n v="600"/>
    <n v="1"/>
    <n v="600"/>
    <n v="600"/>
    <x v="2"/>
  </r>
  <r>
    <n v="991"/>
    <x v="990"/>
    <x v="0"/>
    <x v="9"/>
    <x v="3"/>
    <n v="600"/>
    <n v="1"/>
    <n v="600"/>
    <n v="600"/>
    <x v="3"/>
  </r>
  <r>
    <n v="992"/>
    <x v="991"/>
    <x v="0"/>
    <x v="5"/>
    <x v="1"/>
    <n v="600"/>
    <n v="1"/>
    <n v="600"/>
    <n v="600"/>
    <x v="4"/>
  </r>
  <r>
    <n v="993"/>
    <x v="992"/>
    <x v="0"/>
    <x v="9"/>
    <x v="3"/>
    <n v="600"/>
    <n v="1"/>
    <n v="600"/>
    <n v="600"/>
    <x v="5"/>
  </r>
  <r>
    <n v="994"/>
    <x v="993"/>
    <x v="0"/>
    <x v="9"/>
    <x v="3"/>
    <n v="600"/>
    <n v="2"/>
    <n v="1200"/>
    <n v="1200"/>
    <x v="6"/>
  </r>
  <r>
    <n v="995"/>
    <x v="994"/>
    <x v="0"/>
    <x v="5"/>
    <x v="1"/>
    <n v="600"/>
    <n v="1"/>
    <n v="600"/>
    <n v="600"/>
    <x v="0"/>
  </r>
  <r>
    <n v="996"/>
    <x v="995"/>
    <x v="0"/>
    <x v="0"/>
    <x v="0"/>
    <n v="1100"/>
    <n v="3"/>
    <n v="3300"/>
    <n v="3300"/>
    <x v="1"/>
  </r>
  <r>
    <n v="997"/>
    <x v="996"/>
    <x v="0"/>
    <x v="0"/>
    <x v="0"/>
    <n v="1100"/>
    <n v="1"/>
    <n v="1100"/>
    <n v="1100"/>
    <x v="2"/>
  </r>
  <r>
    <n v="998"/>
    <x v="997"/>
    <x v="0"/>
    <x v="6"/>
    <x v="2"/>
    <n v="850"/>
    <n v="1"/>
    <n v="850"/>
    <n v="850"/>
    <x v="3"/>
  </r>
  <r>
    <n v="999"/>
    <x v="998"/>
    <x v="0"/>
    <x v="7"/>
    <x v="2"/>
    <n v="1200"/>
    <n v="1"/>
    <n v="1200"/>
    <n v="1200"/>
    <x v="4"/>
  </r>
  <r>
    <n v="1000"/>
    <x v="999"/>
    <x v="0"/>
    <x v="4"/>
    <x v="1"/>
    <n v="800"/>
    <n v="1"/>
    <n v="800"/>
    <n v="800"/>
    <x v="5"/>
  </r>
  <r>
    <n v="1001"/>
    <x v="1000"/>
    <x v="0"/>
    <x v="2"/>
    <x v="0"/>
    <n v="900"/>
    <n v="1"/>
    <n v="900"/>
    <n v="900"/>
    <x v="6"/>
  </r>
  <r>
    <n v="1002"/>
    <x v="1001"/>
    <x v="0"/>
    <x v="0"/>
    <x v="0"/>
    <n v="1100"/>
    <n v="1"/>
    <n v="1100"/>
    <n v="1100"/>
    <x v="0"/>
  </r>
  <r>
    <n v="1003"/>
    <x v="1002"/>
    <x v="0"/>
    <x v="1"/>
    <x v="0"/>
    <n v="900"/>
    <n v="1"/>
    <n v="900"/>
    <n v="765"/>
    <x v="1"/>
  </r>
  <r>
    <n v="1004"/>
    <x v="1003"/>
    <x v="0"/>
    <x v="0"/>
    <x v="0"/>
    <n v="1100"/>
    <n v="1"/>
    <n v="1100"/>
    <n v="1100"/>
    <x v="2"/>
  </r>
  <r>
    <n v="1005"/>
    <x v="1004"/>
    <x v="0"/>
    <x v="8"/>
    <x v="3"/>
    <n v="900"/>
    <n v="1"/>
    <n v="900"/>
    <n v="900"/>
    <x v="3"/>
  </r>
  <r>
    <n v="1006"/>
    <x v="1005"/>
    <x v="0"/>
    <x v="8"/>
    <x v="3"/>
    <n v="500"/>
    <n v="1"/>
    <n v="500"/>
    <n v="500"/>
    <x v="4"/>
  </r>
  <r>
    <n v="1007"/>
    <x v="1006"/>
    <x v="0"/>
    <x v="3"/>
    <x v="0"/>
    <n v="1000"/>
    <n v="1"/>
    <n v="1000"/>
    <n v="1000"/>
    <x v="5"/>
  </r>
  <r>
    <n v="1008"/>
    <x v="1007"/>
    <x v="0"/>
    <x v="9"/>
    <x v="3"/>
    <n v="600"/>
    <n v="1"/>
    <n v="600"/>
    <n v="600"/>
    <x v="6"/>
  </r>
  <r>
    <n v="1009"/>
    <x v="1008"/>
    <x v="0"/>
    <x v="1"/>
    <x v="0"/>
    <n v="900"/>
    <n v="2"/>
    <n v="1800"/>
    <n v="1530"/>
    <x v="0"/>
  </r>
  <r>
    <n v="1010"/>
    <x v="1009"/>
    <x v="0"/>
    <x v="6"/>
    <x v="2"/>
    <n v="850"/>
    <n v="1"/>
    <n v="850"/>
    <n v="850"/>
    <x v="1"/>
  </r>
  <r>
    <n v="1011"/>
    <x v="1010"/>
    <x v="0"/>
    <x v="4"/>
    <x v="1"/>
    <n v="800"/>
    <n v="1"/>
    <n v="800"/>
    <n v="800"/>
    <x v="2"/>
  </r>
  <r>
    <n v="1012"/>
    <x v="1011"/>
    <x v="0"/>
    <x v="1"/>
    <x v="0"/>
    <n v="900"/>
    <n v="1"/>
    <n v="900"/>
    <n v="765"/>
    <x v="3"/>
  </r>
  <r>
    <n v="1013"/>
    <x v="1012"/>
    <x v="0"/>
    <x v="1"/>
    <x v="0"/>
    <n v="900"/>
    <n v="1"/>
    <n v="900"/>
    <n v="765"/>
    <x v="4"/>
  </r>
  <r>
    <n v="1014"/>
    <x v="1013"/>
    <x v="0"/>
    <x v="0"/>
    <x v="0"/>
    <n v="1100"/>
    <n v="1"/>
    <n v="1100"/>
    <n v="1100"/>
    <x v="5"/>
  </r>
  <r>
    <n v="1015"/>
    <x v="1014"/>
    <x v="0"/>
    <x v="2"/>
    <x v="0"/>
    <n v="900"/>
    <n v="1"/>
    <n v="900"/>
    <n v="900"/>
    <x v="6"/>
  </r>
  <r>
    <n v="1016"/>
    <x v="1015"/>
    <x v="0"/>
    <x v="5"/>
    <x v="1"/>
    <n v="600"/>
    <n v="1"/>
    <n v="600"/>
    <n v="600"/>
    <x v="0"/>
  </r>
  <r>
    <n v="1017"/>
    <x v="1016"/>
    <x v="0"/>
    <x v="5"/>
    <x v="1"/>
    <n v="600"/>
    <n v="1"/>
    <n v="600"/>
    <n v="600"/>
    <x v="1"/>
  </r>
  <r>
    <n v="1018"/>
    <x v="1017"/>
    <x v="0"/>
    <x v="2"/>
    <x v="0"/>
    <n v="900"/>
    <n v="1"/>
    <n v="900"/>
    <n v="900"/>
    <x v="2"/>
  </r>
  <r>
    <n v="1019"/>
    <x v="1018"/>
    <x v="0"/>
    <x v="6"/>
    <x v="2"/>
    <n v="850"/>
    <n v="1"/>
    <n v="850"/>
    <n v="850"/>
    <x v="3"/>
  </r>
  <r>
    <n v="1020"/>
    <x v="1019"/>
    <x v="0"/>
    <x v="2"/>
    <x v="0"/>
    <n v="900"/>
    <n v="1"/>
    <n v="900"/>
    <n v="900"/>
    <x v="4"/>
  </r>
  <r>
    <n v="1021"/>
    <x v="1020"/>
    <x v="0"/>
    <x v="5"/>
    <x v="1"/>
    <n v="600"/>
    <n v="1"/>
    <n v="600"/>
    <n v="600"/>
    <x v="5"/>
  </r>
  <r>
    <n v="1022"/>
    <x v="1021"/>
    <x v="1"/>
    <x v="5"/>
    <x v="1"/>
    <n v="600"/>
    <n v="1"/>
    <n v="600"/>
    <n v="600"/>
    <x v="6"/>
  </r>
  <r>
    <n v="1023"/>
    <x v="1022"/>
    <x v="1"/>
    <x v="0"/>
    <x v="0"/>
    <n v="1100"/>
    <n v="1"/>
    <n v="1100"/>
    <n v="1100"/>
    <x v="0"/>
  </r>
  <r>
    <n v="1024"/>
    <x v="1023"/>
    <x v="1"/>
    <x v="1"/>
    <x v="0"/>
    <n v="900"/>
    <n v="1"/>
    <n v="900"/>
    <n v="765"/>
    <x v="1"/>
  </r>
  <r>
    <n v="1025"/>
    <x v="1024"/>
    <x v="1"/>
    <x v="0"/>
    <x v="0"/>
    <n v="1100"/>
    <n v="1"/>
    <n v="1100"/>
    <n v="1100"/>
    <x v="2"/>
  </r>
  <r>
    <n v="1026"/>
    <x v="1025"/>
    <x v="1"/>
    <x v="5"/>
    <x v="1"/>
    <n v="600"/>
    <n v="1"/>
    <n v="600"/>
    <n v="600"/>
    <x v="3"/>
  </r>
  <r>
    <n v="1027"/>
    <x v="1026"/>
    <x v="1"/>
    <x v="7"/>
    <x v="2"/>
    <n v="1200"/>
    <n v="1"/>
    <n v="1200"/>
    <n v="1200"/>
    <x v="4"/>
  </r>
  <r>
    <n v="1028"/>
    <x v="1027"/>
    <x v="1"/>
    <x v="9"/>
    <x v="3"/>
    <n v="600"/>
    <n v="1"/>
    <n v="600"/>
    <n v="600"/>
    <x v="5"/>
  </r>
  <r>
    <n v="1029"/>
    <x v="1028"/>
    <x v="1"/>
    <x v="0"/>
    <x v="0"/>
    <n v="1100"/>
    <n v="1"/>
    <n v="1100"/>
    <n v="1100"/>
    <x v="6"/>
  </r>
  <r>
    <n v="1030"/>
    <x v="1029"/>
    <x v="1"/>
    <x v="8"/>
    <x v="3"/>
    <n v="500"/>
    <n v="1"/>
    <n v="500"/>
    <n v="500"/>
    <x v="0"/>
  </r>
  <r>
    <n v="1031"/>
    <x v="1030"/>
    <x v="0"/>
    <x v="1"/>
    <x v="0"/>
    <n v="900"/>
    <n v="1"/>
    <n v="900"/>
    <n v="765"/>
    <x v="1"/>
  </r>
  <r>
    <n v="1032"/>
    <x v="1031"/>
    <x v="0"/>
    <x v="6"/>
    <x v="2"/>
    <n v="850"/>
    <n v="1"/>
    <n v="850"/>
    <n v="850"/>
    <x v="2"/>
  </r>
  <r>
    <n v="1033"/>
    <x v="1032"/>
    <x v="0"/>
    <x v="5"/>
    <x v="1"/>
    <n v="600"/>
    <n v="1"/>
    <n v="600"/>
    <n v="600"/>
    <x v="3"/>
  </r>
  <r>
    <n v="1034"/>
    <x v="1033"/>
    <x v="0"/>
    <x v="0"/>
    <x v="0"/>
    <n v="1100"/>
    <n v="1"/>
    <n v="1100"/>
    <n v="1100"/>
    <x v="4"/>
  </r>
  <r>
    <n v="1035"/>
    <x v="1034"/>
    <x v="0"/>
    <x v="8"/>
    <x v="3"/>
    <n v="500"/>
    <n v="1"/>
    <n v="500"/>
    <n v="500"/>
    <x v="5"/>
  </r>
  <r>
    <n v="1036"/>
    <x v="1035"/>
    <x v="0"/>
    <x v="5"/>
    <x v="1"/>
    <n v="600"/>
    <n v="1"/>
    <n v="600"/>
    <n v="60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22:B26" firstHeaderRow="1" firstDataRow="1" firstDataCol="1"/>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showAll="0"/>
    <pivotField showAll="0"/>
    <pivotField showAll="0"/>
    <pivotField dataField="1" showAll="0"/>
    <pivotField axis="axisRow"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4">
    <i>
      <x/>
    </i>
    <i>
      <x v="1"/>
    </i>
    <i>
      <x v="2"/>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 names">
  <location ref="A3:B14" firstHeaderRow="1" firstDataRow="1" firstDataCol="1"/>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dataField="1" showAll="0"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v="3"/>
    </i>
    <i>
      <x v="8"/>
    </i>
    <i>
      <x v="1"/>
    </i>
    <i>
      <x v="4"/>
    </i>
    <i>
      <x v="2"/>
    </i>
    <i>
      <x v="7"/>
    </i>
    <i>
      <x v="5"/>
    </i>
    <i>
      <x v="9"/>
    </i>
    <i>
      <x/>
    </i>
    <i>
      <x v="6"/>
    </i>
    <i t="grand">
      <x/>
    </i>
  </rowItems>
  <colItems count="1">
    <i/>
  </colItems>
  <dataFields count="1">
    <dataField name="Count of Item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name">
  <location ref="A67:B80" firstHeaderRow="1" firstDataRow="1" firstDataCol="1"/>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Sales" fld="7" baseField="0" baseItem="0" numFmtId="165"/>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name">
  <location ref="A50:E61" firstHeaderRow="0" firstDataRow="1" firstDataCol="1"/>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showAll="0">
      <items count="11">
        <item x="9"/>
        <item x="1"/>
        <item x="3"/>
        <item x="0"/>
        <item x="2"/>
        <item x="6"/>
        <item x="7"/>
        <item x="4"/>
        <item x="5"/>
        <item x="8"/>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i>
    <i>
      <x v="1"/>
    </i>
    <i>
      <x v="2"/>
    </i>
    <i>
      <x v="3"/>
    </i>
    <i>
      <x v="4"/>
    </i>
    <i>
      <x v="5"/>
    </i>
    <i>
      <x v="6"/>
    </i>
    <i>
      <x v="7"/>
    </i>
    <i>
      <x v="8"/>
    </i>
    <i>
      <x v="9"/>
    </i>
    <i t="grand">
      <x/>
    </i>
  </rowItems>
  <colFields count="1">
    <field x="-2"/>
  </colFields>
  <colItems count="4">
    <i>
      <x/>
    </i>
    <i i="1">
      <x v="1"/>
    </i>
    <i i="2">
      <x v="2"/>
    </i>
    <i i="3">
      <x v="3"/>
    </i>
  </colItems>
  <dataFields count="4">
    <dataField name="Sum of Total Sales" fld="8" baseField="0" baseItem="0"/>
    <dataField name="Average of Total Sales2" fld="8" subtotal="average" baseField="3" baseItem="0"/>
    <dataField name="Max of Total Sales2" fld="8" subtotal="max" baseField="3" baseItem="3"/>
    <dataField name="Min of Total Sales2" fld="8" subtotal="min" baseField="3"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name">
  <location ref="A32:B47" firstHeaderRow="1" firstDataRow="1" firstDataCol="1"/>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showAll="0">
      <items count="11">
        <item x="9"/>
        <item x="1"/>
        <item x="3"/>
        <item x="0"/>
        <item x="2"/>
        <item x="6"/>
        <item x="7"/>
        <item x="4"/>
        <item x="5"/>
        <item x="8"/>
        <item t="default"/>
      </items>
    </pivotField>
    <pivotField axis="axisRow" showAll="0">
      <items count="5">
        <item x="3"/>
        <item x="0"/>
        <item x="2"/>
        <item x="1"/>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4"/>
    <field x="3"/>
  </rowFields>
  <rowItems count="15">
    <i>
      <x/>
    </i>
    <i r="1">
      <x/>
    </i>
    <i r="1">
      <x v="9"/>
    </i>
    <i>
      <x v="1"/>
    </i>
    <i r="1">
      <x v="1"/>
    </i>
    <i r="1">
      <x v="2"/>
    </i>
    <i r="1">
      <x v="3"/>
    </i>
    <i r="1">
      <x v="4"/>
    </i>
    <i>
      <x v="2"/>
    </i>
    <i r="1">
      <x v="5"/>
    </i>
    <i r="1">
      <x v="6"/>
    </i>
    <i>
      <x v="3"/>
    </i>
    <i r="1">
      <x v="7"/>
    </i>
    <i r="1">
      <x v="8"/>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E00000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0:E101" firstHeaderRow="1" firstDataRow="1" firstDataCol="1"/>
  <pivotFields count="10">
    <pivotField showAll="0"/>
    <pivotField numFmtId="14" showAll="0"/>
    <pivotField showAll="0"/>
    <pivotField axis="axisRow" showAll="0">
      <items count="11">
        <item x="9"/>
        <item x="1"/>
        <item x="3"/>
        <item x="0"/>
        <item x="2"/>
        <item x="6"/>
        <item x="7"/>
        <item x="4"/>
        <item x="5"/>
        <item x="8"/>
        <item t="default"/>
      </items>
    </pivotField>
    <pivotField showAll="0">
      <items count="5">
        <item x="3"/>
        <item x="0"/>
        <item x="2"/>
        <item x="1"/>
        <item t="default"/>
      </items>
    </pivotField>
    <pivotField showAll="0"/>
    <pivotField showAll="0"/>
    <pivotField showAll="0"/>
    <pivotField showAll="0">
      <items count="13">
        <item x="0"/>
        <item x="1"/>
        <item x="2"/>
        <item x="3"/>
        <item x="4"/>
        <item x="5"/>
        <item x="6"/>
        <item x="7"/>
        <item x="8"/>
        <item x="9"/>
        <item x="10"/>
        <item x="11"/>
        <item t="default"/>
      </items>
    </pivotField>
    <pivotField showAll="0">
      <items count="4">
        <item x="0"/>
        <item h="1" x="1"/>
        <item h="1" x="2"/>
        <item t="default"/>
      </items>
    </pivotField>
  </pivotFields>
  <rowFields count="1">
    <field x="3"/>
  </rowFields>
  <rowItems count="11">
    <i>
      <x/>
    </i>
    <i>
      <x v="1"/>
    </i>
    <i>
      <x v="2"/>
    </i>
    <i>
      <x v="3"/>
    </i>
    <i>
      <x v="4"/>
    </i>
    <i>
      <x v="5"/>
    </i>
    <i>
      <x v="6"/>
    </i>
    <i>
      <x v="7"/>
    </i>
    <i>
      <x v="8"/>
    </i>
    <i>
      <x v="9"/>
    </i>
    <i t="grand">
      <x/>
    </i>
  </rowItems>
  <colItems count="1">
    <i/>
  </colItems>
  <formats count="1">
    <format dxfId="22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0" firstHeaderRow="1" firstDataRow="1" firstDataCol="1"/>
  <pivotFields count="10">
    <pivotField showAll="0"/>
    <pivotField numFmtId="14" showAll="0"/>
    <pivotField axis="axisRow" showAll="0">
      <items count="3">
        <item x="0"/>
        <item x="1"/>
        <item t="default"/>
      </items>
    </pivotField>
    <pivotField showAll="0"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
        <item x="0"/>
        <item h="1" x="1"/>
        <item h="1" x="2"/>
        <item t="default"/>
      </items>
    </pivotField>
  </pivotFields>
  <rowFields count="1">
    <field x="2"/>
  </rowFields>
  <rowItems count="3">
    <i>
      <x/>
    </i>
    <i>
      <x v="1"/>
    </i>
    <i t="grand">
      <x/>
    </i>
  </rowItems>
  <colItems count="1">
    <i/>
  </colItems>
  <dataFields count="1">
    <dataField name="Sum of Item amount" fld="7"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8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numFmtId="14" showAll="0"/>
    <pivotField showAll="0"/>
    <pivotField showAll="0"/>
    <pivotField showAll="0"/>
    <pivotField showAll="0"/>
    <pivotField showAll="0"/>
    <pivotField dataField="1" showAll="0"/>
    <pivotField showAll="0"/>
    <pivotField showAll="0">
      <items count="4">
        <item x="0"/>
        <item h="1" x="1"/>
        <item h="1" x="2"/>
        <item t="default"/>
      </items>
    </pivotField>
  </pivotFields>
  <rowItems count="1">
    <i/>
  </rowItems>
  <colItems count="1">
    <i/>
  </colItems>
  <dataFields count="1">
    <dataField name="Sum of Item amoun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9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C70" firstHeaderRow="0" firstDataRow="1" firstDataCol="1"/>
  <pivotFields count="10">
    <pivotField showAll="0"/>
    <pivotField numFmtId="14" showAll="0"/>
    <pivotField showAll="0"/>
    <pivotField axis="axisRow" showAll="0" measureFilter="1"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items count="13">
        <item x="0"/>
        <item x="1"/>
        <item x="2"/>
        <item x="3"/>
        <item x="4"/>
        <item x="5"/>
        <item x="6"/>
        <item x="7"/>
        <item x="8"/>
        <item x="9"/>
        <item x="10"/>
        <item x="11"/>
        <item t="default"/>
      </items>
    </pivotField>
    <pivotField showAll="0">
      <items count="4">
        <item x="0"/>
        <item h="1" x="1"/>
        <item h="1" x="2"/>
        <item t="default"/>
      </items>
    </pivotField>
  </pivotFields>
  <rowFields count="1">
    <field x="3"/>
  </rowFields>
  <rowItems count="6">
    <i>
      <x v="3"/>
    </i>
    <i>
      <x v="1"/>
    </i>
    <i>
      <x v="4"/>
    </i>
    <i>
      <x v="8"/>
    </i>
    <i>
      <x v="2"/>
    </i>
    <i t="grand">
      <x/>
    </i>
  </rowItems>
  <colFields count="1">
    <field x="-2"/>
  </colFields>
  <colItems count="2">
    <i>
      <x/>
    </i>
    <i i="1">
      <x v="1"/>
    </i>
  </colItems>
  <dataFields count="2">
    <dataField name="Sum of Item amount" fld="7" baseField="0" baseItem="0" numFmtId="165"/>
    <dataField name="Sum of Item quantity" fld="6" baseField="0" baseItem="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700-00000B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B93" firstHeaderRow="1" firstDataRow="1" firstDataCol="1"/>
  <pivotFields count="10">
    <pivotField showAll="0"/>
    <pivotField numFmtId="14" showAll="0"/>
    <pivotField showAll="0"/>
    <pivotField axis="axisRow" showAll="0"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3">
        <item x="0"/>
        <item x="1"/>
        <item x="2"/>
        <item x="3"/>
        <item x="4"/>
        <item x="5"/>
        <item x="6"/>
        <item x="7"/>
        <item x="8"/>
        <item x="9"/>
        <item x="10"/>
        <item x="11"/>
        <item t="default"/>
      </items>
    </pivotField>
    <pivotField showAll="0">
      <items count="4">
        <item x="0"/>
        <item h="1" x="1"/>
        <item h="1" x="2"/>
        <item t="default"/>
      </items>
    </pivotField>
  </pivotFields>
  <rowFields count="2">
    <field x="4"/>
    <field x="3"/>
  </rowFields>
  <rowItems count="15">
    <i>
      <x v="1"/>
    </i>
    <i r="1">
      <x v="3"/>
    </i>
    <i r="1">
      <x v="1"/>
    </i>
    <i r="1">
      <x v="2"/>
    </i>
    <i r="1">
      <x v="4"/>
    </i>
    <i>
      <x v="2"/>
    </i>
    <i r="1">
      <x v="6"/>
    </i>
    <i r="1">
      <x v="5"/>
    </i>
    <i>
      <x v="3"/>
    </i>
    <i r="1">
      <x v="7"/>
    </i>
    <i r="1">
      <x v="8"/>
    </i>
    <i>
      <x/>
    </i>
    <i r="1">
      <x v="9"/>
    </i>
    <i r="1">
      <x/>
    </i>
    <i t="grand">
      <x/>
    </i>
  </rowItems>
  <colItems count="1">
    <i/>
  </colItems>
  <dataFields count="1">
    <dataField name="Average of Item amount" fld="7" subtotal="average" baseField="3"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700-00000D0000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4:E85" firstHeaderRow="1" firstDataRow="1" firstDataCol="0"/>
  <pivotFields count="10">
    <pivotField showAll="0"/>
    <pivotField numFmtId="14" showAll="0"/>
    <pivotField showAll="0"/>
    <pivotField showAll="0">
      <items count="11">
        <item x="9"/>
        <item x="1"/>
        <item x="3"/>
        <item x="0"/>
        <item x="2"/>
        <item x="6"/>
        <item x="7"/>
        <item x="4"/>
        <item x="5"/>
        <item x="8"/>
        <item t="default"/>
      </items>
    </pivotField>
    <pivotField showAll="0">
      <items count="5">
        <item x="3"/>
        <item x="0"/>
        <item x="2"/>
        <item x="1"/>
        <item t="default"/>
      </items>
    </pivotField>
    <pivotField showAll="0"/>
    <pivotField showAll="0"/>
    <pivotField dataField="1" showAll="0"/>
    <pivotField showAll="0">
      <items count="13">
        <item x="0"/>
        <item x="1"/>
        <item x="2"/>
        <item x="3"/>
        <item x="4"/>
        <item x="5"/>
        <item x="6"/>
        <item x="7"/>
        <item x="8"/>
        <item x="9"/>
        <item x="10"/>
        <item x="11"/>
        <item t="default"/>
      </items>
    </pivotField>
    <pivotField showAll="0">
      <items count="4">
        <item x="0"/>
        <item h="1" x="1"/>
        <item h="1" x="2"/>
        <item t="default"/>
      </items>
    </pivotField>
  </pivotFields>
  <rowItems count="1">
    <i/>
  </rowItems>
  <colItems count="1">
    <i/>
  </colItems>
  <dataFields count="1">
    <dataField name="Average of Item amount" fld="7" subtotal="average" baseField="1" baseItem="0" numFmtId="165"/>
  </dataFields>
  <formats count="1">
    <format dxfId="22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700-00001000000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7:E78" firstHeaderRow="1" firstDataRow="1" firstDataCol="0"/>
  <pivotFields count="10">
    <pivotField dataField="1" showAll="0"/>
    <pivotField numFmtId="14" showAll="0"/>
    <pivotField showAll="0"/>
    <pivotField showAll="0">
      <items count="11">
        <item x="9"/>
        <item x="1"/>
        <item x="3"/>
        <item x="0"/>
        <item x="2"/>
        <item x="6"/>
        <item x="7"/>
        <item x="4"/>
        <item x="5"/>
        <item x="8"/>
        <item t="default"/>
      </items>
    </pivotField>
    <pivotField showAll="0">
      <items count="5">
        <item x="3"/>
        <item x="0"/>
        <item x="2"/>
        <item x="1"/>
        <item t="default"/>
      </items>
    </pivotField>
    <pivotField showAll="0"/>
    <pivotField showAll="0"/>
    <pivotField showAll="0"/>
    <pivotField showAll="0">
      <items count="13">
        <item x="0"/>
        <item x="1"/>
        <item x="2"/>
        <item x="3"/>
        <item x="4"/>
        <item x="5"/>
        <item x="6"/>
        <item x="7"/>
        <item x="8"/>
        <item x="9"/>
        <item x="10"/>
        <item x="11"/>
        <item t="default"/>
      </items>
    </pivotField>
    <pivotField showAll="0">
      <items count="4">
        <item x="0"/>
        <item h="1" x="1"/>
        <item h="1" x="2"/>
        <item t="default"/>
      </items>
    </pivotField>
  </pivotFields>
  <rowItems count="1">
    <i/>
  </rowItems>
  <colItems count="1">
    <i/>
  </colItems>
  <dataFields count="1">
    <dataField name="Count of Reciept no " fld="0" subtotal="count" baseField="1" baseItem="28529229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700-00000F000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B103" firstHeaderRow="1" firstDataRow="1" firstDataCol="1"/>
  <pivotFields count="10">
    <pivotField showAll="0"/>
    <pivotField numFmtId="14" showAll="0"/>
    <pivotField showAll="0"/>
    <pivotField showAll="0"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axis="axisRow" showAll="0" sortType="descending">
      <items count="5">
        <item h="1" x="3"/>
        <item x="0"/>
        <item h="1"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3">
        <item x="0"/>
        <item x="1"/>
        <item x="2"/>
        <item x="3"/>
        <item x="4"/>
        <item x="5"/>
        <item x="6"/>
        <item x="7"/>
        <item x="8"/>
        <item x="9"/>
        <item x="10"/>
        <item x="11"/>
        <item t="default"/>
      </items>
    </pivotField>
    <pivotField showAll="0">
      <items count="4">
        <item x="0"/>
        <item h="1" x="1"/>
        <item h="1" x="2"/>
        <item t="default"/>
      </items>
    </pivotField>
  </pivotFields>
  <rowFields count="1">
    <field x="4"/>
  </rowFields>
  <rowItems count="3">
    <i>
      <x v="1"/>
    </i>
    <i>
      <x v="3"/>
    </i>
    <i t="grand">
      <x/>
    </i>
  </rowItems>
  <colItems count="1">
    <i/>
  </colItems>
  <dataFields count="1">
    <dataField name="Sum of Item amount" fld="7" baseField="4"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700-000007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C21" firstHeaderRow="0" firstDataRow="1" firstDataCol="1"/>
  <pivotFields count="10">
    <pivotField showAll="0"/>
    <pivotField numFmtId="14" showAll="0"/>
    <pivotField showAll="0"/>
    <pivotField axis="axisRow" showAll="0"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pivotField showAll="0">
      <items count="4">
        <item x="0"/>
        <item h="1" x="1"/>
        <item h="1" x="2"/>
        <item t="default"/>
      </items>
    </pivotField>
  </pivotFields>
  <rowFields count="1">
    <field x="3"/>
  </rowFields>
  <rowItems count="11">
    <i>
      <x v="3"/>
    </i>
    <i>
      <x v="1"/>
    </i>
    <i>
      <x v="4"/>
    </i>
    <i>
      <x v="8"/>
    </i>
    <i>
      <x v="2"/>
    </i>
    <i>
      <x v="6"/>
    </i>
    <i>
      <x v="7"/>
    </i>
    <i>
      <x v="5"/>
    </i>
    <i>
      <x v="9"/>
    </i>
    <i>
      <x/>
    </i>
    <i t="grand">
      <x/>
    </i>
  </rowItems>
  <colFields count="1">
    <field x="-2"/>
  </colFields>
  <colItems count="2">
    <i>
      <x/>
    </i>
    <i i="1">
      <x v="1"/>
    </i>
  </colItems>
  <dataFields count="2">
    <dataField name="Sum of Item amount" fld="7" baseField="0" baseItem="0" numFmtId="165"/>
    <dataField name="Sum of Item quantity" fld="6"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700-00000A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C31" firstHeaderRow="0" firstDataRow="1" firstDataCol="1"/>
  <pivotFields count="10">
    <pivotField showAll="0"/>
    <pivotField numFmtId="14"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
        <item x="0"/>
        <item h="1" x="1"/>
        <item h="1" x="2"/>
        <item t="default"/>
      </items>
    </pivotField>
  </pivotFields>
  <rowFields count="1">
    <field x="4"/>
  </rowFields>
  <rowItems count="5">
    <i>
      <x v="1"/>
    </i>
    <i>
      <x v="3"/>
    </i>
    <i>
      <x v="2"/>
    </i>
    <i>
      <x/>
    </i>
    <i t="grand">
      <x/>
    </i>
  </rowItems>
  <colFields count="1">
    <field x="-2"/>
  </colFields>
  <colItems count="2">
    <i>
      <x/>
    </i>
    <i i="1">
      <x v="1"/>
    </i>
  </colItems>
  <dataFields count="2">
    <dataField name="Sum of Item amount" fld="7" baseField="0" baseItem="0" numFmtId="165"/>
    <dataField name="Sum of Item amount2" fld="7" showDataAs="percentOfTotal" baseField="4" baseItem="3"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700-00000C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B58" firstHeaderRow="1" firstDataRow="1" firstDataCol="1"/>
  <pivotFields count="10">
    <pivotField showAll="0"/>
    <pivotField numFmtId="14" showAll="0"/>
    <pivotField showAll="0"/>
    <pivotField showAll="0"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axis="axisRow" showAll="0">
      <items count="13">
        <item x="0"/>
        <item x="1"/>
        <item x="2"/>
        <item x="3"/>
        <item x="4"/>
        <item x="5"/>
        <item x="6"/>
        <item x="7"/>
        <item x="8"/>
        <item x="9"/>
        <item x="10"/>
        <item x="11"/>
        <item t="default"/>
      </items>
    </pivotField>
    <pivotField showAll="0">
      <items count="4">
        <item x="0"/>
        <item h="1" x="1"/>
        <item h="1" x="2"/>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Item amount" fld="7" baseField="0" baseItem="0" numFmtId="165"/>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3" format="5">
      <pivotArea type="data" outline="0" fieldPosition="0">
        <references count="2">
          <reference field="4294967294" count="1" selected="0">
            <x v="0"/>
          </reference>
          <reference field="8" count="1" selected="0">
            <x v="3"/>
          </reference>
        </references>
      </pivotArea>
    </chartFormat>
    <chartFormat chart="3" format="6">
      <pivotArea type="data" outline="0" fieldPosition="0">
        <references count="2">
          <reference field="4294967294" count="1" selected="0">
            <x v="0"/>
          </reference>
          <reference field="8" count="1" selected="0">
            <x v="4"/>
          </reference>
        </references>
      </pivotArea>
    </chartFormat>
    <chartFormat chart="3" format="7">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C35CC90-EC8D-4F16-82E7-04EA3117386A}" name="PivotTable33"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L96:M105"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numFmtId="166" showAll="0"/>
    <pivotField numFmtId="1" showAll="0"/>
    <pivotField dataField="1" numFmtId="166" showAll="0"/>
    <pivotField numFmtId="166" showAll="0"/>
    <pivotField axis="axisRow" showAll="0">
      <items count="8">
        <item x="5"/>
        <item x="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h="1" x="0"/>
        <item x="1"/>
        <item h="1" x="2"/>
        <item h="1" x="3"/>
        <item h="1" x="4"/>
        <item t="default"/>
      </items>
    </pivotField>
  </pivotFields>
  <rowFields count="2">
    <field x="12"/>
    <field x="9"/>
  </rowFields>
  <rowItems count="9">
    <i>
      <x v="1"/>
    </i>
    <i r="1">
      <x/>
    </i>
    <i r="1">
      <x v="1"/>
    </i>
    <i r="1">
      <x v="2"/>
    </i>
    <i r="1">
      <x v="3"/>
    </i>
    <i r="1">
      <x v="4"/>
    </i>
    <i r="1">
      <x v="5"/>
    </i>
    <i r="1">
      <x v="6"/>
    </i>
    <i t="grand">
      <x/>
    </i>
  </rowItems>
  <colItems count="1">
    <i/>
  </colItems>
  <dataFields count="1">
    <dataField name="Sum of Item Amount" fld="7" baseField="0" baseItem="0" numFmtId="166"/>
  </dataFields>
  <chartFormats count="3">
    <chartFormat chart="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3">
          <reference field="4294967294" count="1" selected="0">
            <x v="0"/>
          </reference>
          <reference field="9" count="1" selected="0">
            <x v="4"/>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A7ED47D-8625-4227-834C-B6D5FCFEEAA8}" name="PivotTable32" cacheId="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219:J226"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axis="axisRow" showAll="0">
      <items count="11">
        <item x="9"/>
        <item x="1"/>
        <item x="3"/>
        <item x="0"/>
        <item x="2"/>
        <item x="6"/>
        <item x="7"/>
        <item x="4"/>
        <item x="5"/>
        <item x="8"/>
        <item t="default"/>
      </items>
    </pivotField>
    <pivotField axis="axisRow" showAll="0">
      <items count="5">
        <item h="1" x="3"/>
        <item h="1" x="0"/>
        <item x="2"/>
        <item x="1"/>
        <item t="default"/>
      </items>
    </pivotField>
    <pivotField numFmtId="166" showAll="0"/>
    <pivotField numFmtId="1" showAll="0"/>
    <pivotField dataField="1" numFmtId="166" showAll="0"/>
    <pivotField numFmtId="166" showAll="0"/>
    <pivotField showAll="0">
      <items count="8">
        <item x="5"/>
        <item x="6"/>
        <item x="0"/>
        <item x="1"/>
        <item x="2"/>
        <item x="3"/>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2">
    <field x="4"/>
    <field x="3"/>
  </rowFields>
  <rowItems count="7">
    <i>
      <x v="2"/>
    </i>
    <i r="1">
      <x v="5"/>
    </i>
    <i r="1">
      <x v="6"/>
    </i>
    <i>
      <x v="3"/>
    </i>
    <i r="1">
      <x v="7"/>
    </i>
    <i r="1">
      <x v="8"/>
    </i>
    <i t="grand">
      <x/>
    </i>
  </rowItems>
  <colItems count="1">
    <i/>
  </colItems>
  <dataFields count="1">
    <dataField name="Sum of Item Amount" fld="7" baseField="0" baseItem="0" numFmtId="166"/>
  </dataFields>
  <formats count="4">
    <format dxfId="2064">
      <pivotArea collapsedLevelsAreSubtotals="1" fieldPosition="0">
        <references count="2">
          <reference field="3" count="1">
            <x v="6"/>
          </reference>
          <reference field="4" count="1" selected="0">
            <x v="2"/>
          </reference>
        </references>
      </pivotArea>
    </format>
    <format dxfId="2063">
      <pivotArea dataOnly="0" labelOnly="1" fieldPosition="0">
        <references count="2">
          <reference field="3" count="1">
            <x v="6"/>
          </reference>
          <reference field="4" count="1" selected="0">
            <x v="2"/>
          </reference>
        </references>
      </pivotArea>
    </format>
    <format dxfId="2062">
      <pivotArea collapsedLevelsAreSubtotals="1" fieldPosition="0">
        <references count="2">
          <reference field="3" count="1">
            <x v="8"/>
          </reference>
          <reference field="4" count="1" selected="0">
            <x v="3"/>
          </reference>
        </references>
      </pivotArea>
    </format>
    <format dxfId="2061">
      <pivotArea dataOnly="0" labelOnly="1" fieldPosition="0">
        <references count="2">
          <reference field="3" count="1">
            <x v="8"/>
          </reference>
          <reference field="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7E2CAE2-8626-4255-9705-CD1316BB7A93}" name="PivotTable26" cacheId="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I204:K215" firstHeaderRow="0" firstDataRow="1" firstDataCol="1"/>
  <pivotFields count="13">
    <pivotField dataField="1"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axis="axisRow" showAll="0" sortType="descending">
      <items count="11">
        <item x="9"/>
        <item x="1"/>
        <item x="3"/>
        <item x="0"/>
        <item x="2"/>
        <item x="6"/>
        <item x="7"/>
        <item x="4"/>
        <item x="5"/>
        <item x="8"/>
        <item t="default"/>
      </items>
      <autoSortScope>
        <pivotArea dataOnly="0" outline="0" fieldPosition="0">
          <references count="1">
            <reference field="4294967294" count="1" selected="0">
              <x v="1"/>
            </reference>
          </references>
        </pivotArea>
      </autoSortScope>
    </pivotField>
    <pivotField showAll="0"/>
    <pivotField numFmtId="166" showAll="0"/>
    <pivotField numFmtId="1" showAll="0"/>
    <pivotField numFmtId="166" showAll="0"/>
    <pivotField dataField="1" numFmtId="166" showAll="0"/>
    <pivotField showAll="0">
      <items count="8">
        <item x="5"/>
        <item x="6"/>
        <item x="0"/>
        <item x="1"/>
        <item x="2"/>
        <item x="3"/>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1">
    <field x="3"/>
  </rowFields>
  <rowItems count="11">
    <i>
      <x v="3"/>
    </i>
    <i>
      <x v="4"/>
    </i>
    <i>
      <x v="8"/>
    </i>
    <i>
      <x v="1"/>
    </i>
    <i>
      <x v="2"/>
    </i>
    <i>
      <x v="6"/>
    </i>
    <i>
      <x v="7"/>
    </i>
    <i>
      <x v="5"/>
    </i>
    <i>
      <x v="9"/>
    </i>
    <i>
      <x/>
    </i>
    <i t="grand">
      <x/>
    </i>
  </rowItems>
  <colFields count="1">
    <field x="-2"/>
  </colFields>
  <colItems count="2">
    <i>
      <x/>
    </i>
    <i i="1">
      <x v="1"/>
    </i>
  </colItems>
  <dataFields count="2">
    <dataField name="Count of Reciept no " fld="0" subtotal="count" baseField="0" baseItem="0"/>
    <dataField name="Sum of Sales after Discount" fld="8" baseField="0" baseItem="0" numFmtId="166"/>
  </dataFields>
  <formats count="8">
    <format dxfId="2072">
      <pivotArea collapsedLevelsAreSubtotals="1" fieldPosition="0">
        <references count="1">
          <reference field="3" count="1">
            <x v="0"/>
          </reference>
        </references>
      </pivotArea>
    </format>
    <format dxfId="2071">
      <pivotArea dataOnly="0" labelOnly="1" fieldPosition="0">
        <references count="1">
          <reference field="3" count="1">
            <x v="0"/>
          </reference>
        </references>
      </pivotArea>
    </format>
    <format dxfId="2070">
      <pivotArea dataOnly="0" fieldPosition="0">
        <references count="1">
          <reference field="3" count="1">
            <x v="3"/>
          </reference>
        </references>
      </pivotArea>
    </format>
    <format dxfId="2069">
      <pivotArea collapsedLevelsAreSubtotals="1" fieldPosition="0">
        <references count="2">
          <reference field="4294967294" count="1" selected="0">
            <x v="1"/>
          </reference>
          <reference field="3" count="1">
            <x v="3"/>
          </reference>
        </references>
      </pivotArea>
    </format>
    <format dxfId="2068">
      <pivotArea collapsedLevelsAreSubtotals="1" fieldPosition="0">
        <references count="2">
          <reference field="4294967294" count="1" selected="0">
            <x v="1"/>
          </reference>
          <reference field="3" count="1">
            <x v="0"/>
          </reference>
        </references>
      </pivotArea>
    </format>
    <format dxfId="2067">
      <pivotArea collapsedLevelsAreSubtotals="1" fieldPosition="0">
        <references count="2">
          <reference field="4294967294" count="1" selected="0">
            <x v="0"/>
          </reference>
          <reference field="3" count="1">
            <x v="3"/>
          </reference>
        </references>
      </pivotArea>
    </format>
    <format dxfId="2066">
      <pivotArea collapsedLevelsAreSubtotals="1" fieldPosition="0">
        <references count="2">
          <reference field="4294967294" count="1" selected="0">
            <x v="0"/>
          </reference>
          <reference field="3" count="1">
            <x v="6"/>
          </reference>
        </references>
      </pivotArea>
    </format>
    <format dxfId="2065">
      <pivotArea collapsedLevelsAreSubtotals="1" fieldPosition="0">
        <references count="2">
          <reference field="4294967294" count="1" selected="0">
            <x v="0"/>
          </reference>
          <reference field="3"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CEDA32-A9D8-4E62-BDA8-3542ECADA755}" name="PivotTable25" cacheId="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I189:J200" firstHeaderRow="1" firstDataRow="1" firstDataCol="1"/>
  <pivotFields count="13">
    <pivotField dataField="1"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axis="axisRow" showAll="0">
      <items count="11">
        <item x="9"/>
        <item x="1"/>
        <item x="3"/>
        <item x="0"/>
        <item x="2"/>
        <item x="6"/>
        <item x="7"/>
        <item x="4"/>
        <item x="5"/>
        <item x="8"/>
        <item t="default"/>
      </items>
    </pivotField>
    <pivotField showAll="0"/>
    <pivotField numFmtId="166" showAll="0"/>
    <pivotField numFmtId="1" showAll="0"/>
    <pivotField numFmtId="166" showAll="0"/>
    <pivotField numFmtId="166" showAll="0"/>
    <pivotField showAll="0">
      <items count="8">
        <item x="5"/>
        <item x="6"/>
        <item x="0"/>
        <item x="1"/>
        <item x="2"/>
        <item x="3"/>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1">
    <field x="3"/>
  </rowFields>
  <rowItems count="11">
    <i>
      <x/>
    </i>
    <i>
      <x v="1"/>
    </i>
    <i>
      <x v="2"/>
    </i>
    <i>
      <x v="3"/>
    </i>
    <i>
      <x v="4"/>
    </i>
    <i>
      <x v="5"/>
    </i>
    <i>
      <x v="6"/>
    </i>
    <i>
      <x v="7"/>
    </i>
    <i>
      <x v="8"/>
    </i>
    <i>
      <x v="9"/>
    </i>
    <i t="grand">
      <x/>
    </i>
  </rowItems>
  <colItems count="1">
    <i/>
  </colItems>
  <dataFields count="1">
    <dataField name="Average of Reciept no " fld="0" subtotal="average" baseField="0" baseItem="0" numFmtId="1"/>
  </dataFields>
  <formats count="4">
    <format dxfId="2076">
      <pivotArea collapsedLevelsAreSubtotals="1" fieldPosition="0">
        <references count="1">
          <reference field="3" count="1">
            <x v="3"/>
          </reference>
        </references>
      </pivotArea>
    </format>
    <format dxfId="2075">
      <pivotArea dataOnly="0" labelOnly="1" fieldPosition="0">
        <references count="1">
          <reference field="3" count="1">
            <x v="3"/>
          </reference>
        </references>
      </pivotArea>
    </format>
    <format dxfId="2074">
      <pivotArea collapsedLevelsAreSubtotals="1" fieldPosition="0">
        <references count="1">
          <reference field="3" count="1">
            <x v="0"/>
          </reference>
        </references>
      </pivotArea>
    </format>
    <format dxfId="2073">
      <pivotArea dataOnly="0" labelOnly="1" fieldPosition="0">
        <references count="1">
          <reference field="3"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1"/>
          </reference>
        </references>
      </pivotArea>
    </chartFormat>
    <chartFormat chart="4" format="15">
      <pivotArea type="data" outline="0" fieldPosition="0">
        <references count="2">
          <reference field="4294967294" count="1" selected="0">
            <x v="0"/>
          </reference>
          <reference field="3" count="1" selected="0">
            <x v="2"/>
          </reference>
        </references>
      </pivotArea>
    </chartFormat>
    <chartFormat chart="4" format="16">
      <pivotArea type="data" outline="0" fieldPosition="0">
        <references count="2">
          <reference field="4294967294" count="1" selected="0">
            <x v="0"/>
          </reference>
          <reference field="3" count="1" selected="0">
            <x v="3"/>
          </reference>
        </references>
      </pivotArea>
    </chartFormat>
    <chartFormat chart="4" format="17">
      <pivotArea type="data" outline="0" fieldPosition="0">
        <references count="2">
          <reference field="4294967294" count="1" selected="0">
            <x v="0"/>
          </reference>
          <reference field="3" count="1" selected="0">
            <x v="4"/>
          </reference>
        </references>
      </pivotArea>
    </chartFormat>
    <chartFormat chart="4" format="18">
      <pivotArea type="data" outline="0" fieldPosition="0">
        <references count="2">
          <reference field="4294967294" count="1" selected="0">
            <x v="0"/>
          </reference>
          <reference field="3" count="1" selected="0">
            <x v="5"/>
          </reference>
        </references>
      </pivotArea>
    </chartFormat>
    <chartFormat chart="4" format="19">
      <pivotArea type="data" outline="0" fieldPosition="0">
        <references count="2">
          <reference field="4294967294" count="1" selected="0">
            <x v="0"/>
          </reference>
          <reference field="3" count="1" selected="0">
            <x v="6"/>
          </reference>
        </references>
      </pivotArea>
    </chartFormat>
    <chartFormat chart="4" format="20">
      <pivotArea type="data" outline="0" fieldPosition="0">
        <references count="2">
          <reference field="4294967294" count="1" selected="0">
            <x v="0"/>
          </reference>
          <reference field="3" count="1" selected="0">
            <x v="7"/>
          </reference>
        </references>
      </pivotArea>
    </chartFormat>
    <chartFormat chart="4" format="21">
      <pivotArea type="data" outline="0" fieldPosition="0">
        <references count="2">
          <reference field="4294967294" count="1" selected="0">
            <x v="0"/>
          </reference>
          <reference field="3" count="1" selected="0">
            <x v="8"/>
          </reference>
        </references>
      </pivotArea>
    </chartFormat>
    <chartFormat chart="4" format="22">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C789D3F-7FDD-40F1-B187-7EBEE842CB1E}" name="PivotTable24" cacheId="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I95:J178"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showAll="0" measureFilter="1"/>
    <pivotField showAll="0"/>
    <pivotField numFmtId="166" showAll="0"/>
    <pivotField numFmtId="1" showAll="0"/>
    <pivotField dataField="1" numFmtId="166" showAll="0"/>
    <pivotField numFmtId="166" showAll="0"/>
    <pivotField axis="axisRow" showAll="0">
      <items count="8">
        <item x="5"/>
        <item x="6"/>
        <item x="0"/>
        <item x="1"/>
        <item x="2"/>
        <item x="3"/>
        <item x="4"/>
        <item t="default"/>
      </items>
    </pivotField>
    <pivotField axis="axisRow" showAll="0">
      <items count="15">
        <item sd="0" x="0"/>
        <item x="1"/>
        <item sd="0" x="2"/>
        <item x="3"/>
        <item x="4"/>
        <item x="5"/>
        <item x="6"/>
        <item x="7"/>
        <item x="8"/>
        <item x="9"/>
        <item x="10"/>
        <item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2">
    <field x="10"/>
    <field x="9"/>
  </rowFields>
  <rowItems count="83">
    <i>
      <x v="1"/>
    </i>
    <i r="1">
      <x/>
    </i>
    <i r="1">
      <x v="1"/>
    </i>
    <i r="1">
      <x v="2"/>
    </i>
    <i r="1">
      <x v="3"/>
    </i>
    <i r="1">
      <x v="4"/>
    </i>
    <i r="1">
      <x v="5"/>
    </i>
    <i r="1">
      <x v="6"/>
    </i>
    <i>
      <x v="2"/>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x v="12"/>
    </i>
    <i t="grand">
      <x/>
    </i>
  </rowItems>
  <colItems count="1">
    <i/>
  </colItems>
  <dataFields count="1">
    <dataField name="Sum of Item Amount2" fld="7" baseField="0" baseItem="0" numFmtId="166"/>
  </dataFields>
  <formats count="46">
    <format dxfId="2002">
      <pivotArea collapsedLevelsAreSubtotals="1" fieldPosition="0">
        <references count="1">
          <reference field="9" count="2">
            <x v="3"/>
            <x v="4"/>
          </reference>
        </references>
      </pivotArea>
    </format>
    <format dxfId="2003">
      <pivotArea dataOnly="0" labelOnly="1" fieldPosition="0">
        <references count="1">
          <reference field="9" count="2">
            <x v="3"/>
            <x v="4"/>
          </reference>
        </references>
      </pivotArea>
    </format>
    <format dxfId="2004">
      <pivotArea collapsedLevelsAreSubtotals="1" fieldPosition="0">
        <references count="2">
          <reference field="9" count="1">
            <x v="6"/>
          </reference>
          <reference field="10" count="1" selected="0">
            <x v="1"/>
          </reference>
        </references>
      </pivotArea>
    </format>
    <format dxfId="2005">
      <pivotArea dataOnly="0" labelOnly="1" fieldPosition="0">
        <references count="2">
          <reference field="9" count="1">
            <x v="6"/>
          </reference>
          <reference field="10" count="1" selected="0">
            <x v="1"/>
          </reference>
        </references>
      </pivotArea>
    </format>
    <format dxfId="2006">
      <pivotArea collapsedLevelsAreSubtotals="1" fieldPosition="0">
        <references count="2">
          <reference field="9" count="1">
            <x v="3"/>
          </reference>
          <reference field="10" count="1" selected="0">
            <x v="1"/>
          </reference>
        </references>
      </pivotArea>
    </format>
    <format dxfId="2007">
      <pivotArea dataOnly="0" labelOnly="1" fieldPosition="0">
        <references count="2">
          <reference field="9" count="1">
            <x v="3"/>
          </reference>
          <reference field="10" count="1" selected="0">
            <x v="1"/>
          </reference>
        </references>
      </pivotArea>
    </format>
    <format dxfId="2008">
      <pivotArea collapsedLevelsAreSubtotals="1" fieldPosition="0">
        <references count="2">
          <reference field="9" count="1">
            <x v="4"/>
          </reference>
          <reference field="10" count="1" selected="0">
            <x v="2"/>
          </reference>
        </references>
      </pivotArea>
    </format>
    <format dxfId="2009">
      <pivotArea dataOnly="0" labelOnly="1" fieldPosition="0">
        <references count="2">
          <reference field="9" count="1">
            <x v="4"/>
          </reference>
          <reference field="10" count="1" selected="0">
            <x v="2"/>
          </reference>
        </references>
      </pivotArea>
    </format>
    <format dxfId="2010">
      <pivotArea collapsedLevelsAreSubtotals="1" fieldPosition="0">
        <references count="2">
          <reference field="9" count="1">
            <x v="1"/>
          </reference>
          <reference field="10" count="1" selected="0">
            <x v="2"/>
          </reference>
        </references>
      </pivotArea>
    </format>
    <format dxfId="2011">
      <pivotArea dataOnly="0" labelOnly="1" fieldPosition="0">
        <references count="2">
          <reference field="9" count="1">
            <x v="1"/>
          </reference>
          <reference field="10" count="1" selected="0">
            <x v="2"/>
          </reference>
        </references>
      </pivotArea>
    </format>
    <format dxfId="2012">
      <pivotArea collapsedLevelsAreSubtotals="1" fieldPosition="0">
        <references count="2">
          <reference field="9" count="1">
            <x v="4"/>
          </reference>
          <reference field="10" count="1" selected="0">
            <x v="3"/>
          </reference>
        </references>
      </pivotArea>
    </format>
    <format dxfId="2013">
      <pivotArea dataOnly="0" labelOnly="1" fieldPosition="0">
        <references count="2">
          <reference field="9" count="1">
            <x v="4"/>
          </reference>
          <reference field="10" count="1" selected="0">
            <x v="3"/>
          </reference>
        </references>
      </pivotArea>
    </format>
    <format dxfId="2014">
      <pivotArea collapsedLevelsAreSubtotals="1" fieldPosition="0">
        <references count="2">
          <reference field="9" count="1">
            <x v="0"/>
          </reference>
          <reference field="10" count="1" selected="0">
            <x v="3"/>
          </reference>
        </references>
      </pivotArea>
    </format>
    <format dxfId="2015">
      <pivotArea dataOnly="0" labelOnly="1" fieldPosition="0">
        <references count="2">
          <reference field="9" count="1">
            <x v="0"/>
          </reference>
          <reference field="10" count="1" selected="0">
            <x v="3"/>
          </reference>
        </references>
      </pivotArea>
    </format>
    <format dxfId="2016">
      <pivotArea collapsedLevelsAreSubtotals="1" fieldPosition="0">
        <references count="2">
          <reference field="9" count="1">
            <x v="4"/>
          </reference>
          <reference field="10" count="1" selected="0">
            <x v="4"/>
          </reference>
        </references>
      </pivotArea>
    </format>
    <format dxfId="2017">
      <pivotArea dataOnly="0" labelOnly="1" fieldPosition="0">
        <references count="2">
          <reference field="9" count="1">
            <x v="4"/>
          </reference>
          <reference field="10" count="1" selected="0">
            <x v="4"/>
          </reference>
        </references>
      </pivotArea>
    </format>
    <format dxfId="2018">
      <pivotArea collapsedLevelsAreSubtotals="1" fieldPosition="0">
        <references count="2">
          <reference field="9" count="1">
            <x v="0"/>
          </reference>
          <reference field="10" count="1" selected="0">
            <x v="4"/>
          </reference>
        </references>
      </pivotArea>
    </format>
    <format dxfId="2019">
      <pivotArea dataOnly="0" labelOnly="1" fieldPosition="0">
        <references count="2">
          <reference field="9" count="1">
            <x v="0"/>
          </reference>
          <reference field="10" count="1" selected="0">
            <x v="4"/>
          </reference>
        </references>
      </pivotArea>
    </format>
    <format dxfId="2020">
      <pivotArea collapsedLevelsAreSubtotals="1" fieldPosition="0">
        <references count="2">
          <reference field="9" count="1">
            <x v="1"/>
          </reference>
          <reference field="10" count="1" selected="0">
            <x v="5"/>
          </reference>
        </references>
      </pivotArea>
    </format>
    <format dxfId="2021">
      <pivotArea dataOnly="0" labelOnly="1" fieldPosition="0">
        <references count="2">
          <reference field="9" count="1">
            <x v="1"/>
          </reference>
          <reference field="10" count="1" selected="0">
            <x v="5"/>
          </reference>
        </references>
      </pivotArea>
    </format>
    <format dxfId="2022">
      <pivotArea collapsedLevelsAreSubtotals="1" fieldPosition="0">
        <references count="2">
          <reference field="9" count="1">
            <x v="6"/>
          </reference>
          <reference field="10" count="1" selected="0">
            <x v="5"/>
          </reference>
        </references>
      </pivotArea>
    </format>
    <format dxfId="2023">
      <pivotArea dataOnly="0" labelOnly="1" fieldPosition="0">
        <references count="2">
          <reference field="9" count="1">
            <x v="6"/>
          </reference>
          <reference field="10" count="1" selected="0">
            <x v="5"/>
          </reference>
        </references>
      </pivotArea>
    </format>
    <format dxfId="2024">
      <pivotArea collapsedLevelsAreSubtotals="1" fieldPosition="0">
        <references count="2">
          <reference field="9" count="1">
            <x v="2"/>
          </reference>
          <reference field="10" count="1" selected="0">
            <x v="6"/>
          </reference>
        </references>
      </pivotArea>
    </format>
    <format dxfId="2025">
      <pivotArea dataOnly="0" labelOnly="1" fieldPosition="0">
        <references count="2">
          <reference field="9" count="1">
            <x v="2"/>
          </reference>
          <reference field="10" count="1" selected="0">
            <x v="6"/>
          </reference>
        </references>
      </pivotArea>
    </format>
    <format dxfId="2026">
      <pivotArea collapsedLevelsAreSubtotals="1" fieldPosition="0">
        <references count="2">
          <reference field="9" count="1">
            <x v="4"/>
          </reference>
          <reference field="10" count="1" selected="0">
            <x v="6"/>
          </reference>
        </references>
      </pivotArea>
    </format>
    <format dxfId="2027">
      <pivotArea dataOnly="0" labelOnly="1" fieldPosition="0">
        <references count="2">
          <reference field="9" count="1">
            <x v="4"/>
          </reference>
          <reference field="10" count="1" selected="0">
            <x v="6"/>
          </reference>
        </references>
      </pivotArea>
    </format>
    <format dxfId="2028">
      <pivotArea collapsedLevelsAreSubtotals="1" fieldPosition="0">
        <references count="2">
          <reference field="9" count="1">
            <x v="0"/>
          </reference>
          <reference field="10" count="1" selected="0">
            <x v="7"/>
          </reference>
        </references>
      </pivotArea>
    </format>
    <format dxfId="2029">
      <pivotArea dataOnly="0" labelOnly="1" fieldPosition="0">
        <references count="2">
          <reference field="9" count="1">
            <x v="0"/>
          </reference>
          <reference field="10" count="1" selected="0">
            <x v="7"/>
          </reference>
        </references>
      </pivotArea>
    </format>
    <format dxfId="2030">
      <pivotArea collapsedLevelsAreSubtotals="1" fieldPosition="0">
        <references count="2">
          <reference field="9" count="1">
            <x v="5"/>
          </reference>
          <reference field="10" count="1" selected="0">
            <x v="7"/>
          </reference>
        </references>
      </pivotArea>
    </format>
    <format dxfId="2031">
      <pivotArea dataOnly="0" labelOnly="1" fieldPosition="0">
        <references count="2">
          <reference field="9" count="1">
            <x v="5"/>
          </reference>
          <reference field="10" count="1" selected="0">
            <x v="7"/>
          </reference>
        </references>
      </pivotArea>
    </format>
    <format dxfId="2032">
      <pivotArea collapsedLevelsAreSubtotals="1" fieldPosition="0">
        <references count="2">
          <reference field="9" count="1">
            <x v="1"/>
          </reference>
          <reference field="10" count="1" selected="0">
            <x v="8"/>
          </reference>
        </references>
      </pivotArea>
    </format>
    <format dxfId="2033">
      <pivotArea dataOnly="0" labelOnly="1" fieldPosition="0">
        <references count="2">
          <reference field="9" count="1">
            <x v="1"/>
          </reference>
          <reference field="10" count="1" selected="0">
            <x v="8"/>
          </reference>
        </references>
      </pivotArea>
    </format>
    <format dxfId="2034">
      <pivotArea collapsedLevelsAreSubtotals="1" fieldPosition="0">
        <references count="2">
          <reference field="9" count="1">
            <x v="4"/>
          </reference>
          <reference field="10" count="1" selected="0">
            <x v="8"/>
          </reference>
        </references>
      </pivotArea>
    </format>
    <format dxfId="2035">
      <pivotArea dataOnly="0" labelOnly="1" fieldPosition="0">
        <references count="2">
          <reference field="9" count="1">
            <x v="4"/>
          </reference>
          <reference field="10" count="1" selected="0">
            <x v="8"/>
          </reference>
        </references>
      </pivotArea>
    </format>
    <format dxfId="2036">
      <pivotArea collapsedLevelsAreSubtotals="1" fieldPosition="0">
        <references count="2">
          <reference field="9" count="1">
            <x v="1"/>
          </reference>
          <reference field="10" count="1" selected="0">
            <x v="9"/>
          </reference>
        </references>
      </pivotArea>
    </format>
    <format dxfId="2037">
      <pivotArea dataOnly="0" labelOnly="1" fieldPosition="0">
        <references count="2">
          <reference field="9" count="1">
            <x v="1"/>
          </reference>
          <reference field="10" count="1" selected="0">
            <x v="9"/>
          </reference>
        </references>
      </pivotArea>
    </format>
    <format dxfId="2038">
      <pivotArea collapsedLevelsAreSubtotals="1" fieldPosition="0">
        <references count="2">
          <reference field="9" count="1">
            <x v="3"/>
          </reference>
          <reference field="10" count="1" selected="0">
            <x v="9"/>
          </reference>
        </references>
      </pivotArea>
    </format>
    <format dxfId="2039">
      <pivotArea dataOnly="0" labelOnly="1" fieldPosition="0">
        <references count="2">
          <reference field="9" count="1">
            <x v="3"/>
          </reference>
          <reference field="10" count="1" selected="0">
            <x v="9"/>
          </reference>
        </references>
      </pivotArea>
    </format>
    <format dxfId="2040">
      <pivotArea collapsedLevelsAreSubtotals="1" fieldPosition="0">
        <references count="2">
          <reference field="9" count="1">
            <x v="2"/>
          </reference>
          <reference field="10" count="1" selected="0">
            <x v="10"/>
          </reference>
        </references>
      </pivotArea>
    </format>
    <format dxfId="2041">
      <pivotArea dataOnly="0" labelOnly="1" fieldPosition="0">
        <references count="2">
          <reference field="9" count="1">
            <x v="2"/>
          </reference>
          <reference field="10" count="1" selected="0">
            <x v="10"/>
          </reference>
        </references>
      </pivotArea>
    </format>
    <format dxfId="2042">
      <pivotArea collapsedLevelsAreSubtotals="1" fieldPosition="0">
        <references count="2">
          <reference field="9" count="1">
            <x v="0"/>
          </reference>
          <reference field="10" count="1" selected="0">
            <x v="10"/>
          </reference>
        </references>
      </pivotArea>
    </format>
    <format dxfId="2043">
      <pivotArea dataOnly="0" labelOnly="1" fieldPosition="0">
        <references count="2">
          <reference field="9" count="1">
            <x v="0"/>
          </reference>
          <reference field="10" count="1" selected="0">
            <x v="10"/>
          </reference>
        </references>
      </pivotArea>
    </format>
    <format dxfId="2044">
      <pivotArea collapsedLevelsAreSubtotals="1" fieldPosition="0">
        <references count="2">
          <reference field="9" count="1">
            <x v="5"/>
          </reference>
          <reference field="10" count="1" selected="0">
            <x v="11"/>
          </reference>
        </references>
      </pivotArea>
    </format>
    <format dxfId="2045">
      <pivotArea dataOnly="0" labelOnly="1" fieldPosition="0">
        <references count="2">
          <reference field="9" count="1">
            <x v="5"/>
          </reference>
          <reference field="10" count="1" selected="0">
            <x v="11"/>
          </reference>
        </references>
      </pivotArea>
    </format>
    <format dxfId="2046">
      <pivotArea collapsedLevelsAreSubtotals="1" fieldPosition="0">
        <references count="2">
          <reference field="9" count="1">
            <x v="2"/>
          </reference>
          <reference field="10" count="1" selected="0">
            <x v="11"/>
          </reference>
        </references>
      </pivotArea>
    </format>
    <format dxfId="2047">
      <pivotArea dataOnly="0" labelOnly="1" fieldPosition="0">
        <references count="2">
          <reference field="9" count="1">
            <x v="2"/>
          </reference>
          <reference field="10" count="1" selected="0">
            <x v="1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B20A4E6-BE8E-4FBB-8580-50215508B87C}" name="PivotTable2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6:J91"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axis="axisRow" showAll="0" measureFilter="1">
      <items count="11">
        <item x="9"/>
        <item x="1"/>
        <item x="3"/>
        <item x="0"/>
        <item x="2"/>
        <item x="6"/>
        <item x="7"/>
        <item x="4"/>
        <item x="5"/>
        <item x="8"/>
        <item t="default"/>
      </items>
    </pivotField>
    <pivotField axis="axisRow" showAll="0">
      <items count="5">
        <item x="3"/>
        <item x="0"/>
        <item x="2"/>
        <item x="1"/>
        <item t="default"/>
      </items>
    </pivotField>
    <pivotField numFmtId="166" showAll="0"/>
    <pivotField numFmtId="1" showAll="0"/>
    <pivotField dataField="1"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2">
    <field x="4"/>
    <field x="3"/>
  </rowFields>
  <rowItems count="15">
    <i>
      <x/>
    </i>
    <i r="1">
      <x/>
    </i>
    <i r="1">
      <x v="9"/>
    </i>
    <i>
      <x v="1"/>
    </i>
    <i r="1">
      <x v="1"/>
    </i>
    <i r="1">
      <x v="2"/>
    </i>
    <i r="1">
      <x v="3"/>
    </i>
    <i r="1">
      <x v="4"/>
    </i>
    <i>
      <x v="2"/>
    </i>
    <i r="1">
      <x v="5"/>
    </i>
    <i r="1">
      <x v="6"/>
    </i>
    <i>
      <x v="3"/>
    </i>
    <i r="1">
      <x v="7"/>
    </i>
    <i r="1">
      <x v="8"/>
    </i>
    <i t="grand">
      <x/>
    </i>
  </rowItems>
  <colItems count="1">
    <i/>
  </colItems>
  <dataFields count="1">
    <dataField name="Average of Item Amount2" fld="7" subtotal="average" baseField="0" baseItem="0" numFmtId="166"/>
  </dataFields>
  <formats count="21">
    <format dxfId="2094">
      <pivotArea dataOnly="0" fieldPosition="0">
        <references count="1">
          <reference field="3" count="1">
            <x v="0"/>
          </reference>
        </references>
      </pivotArea>
    </format>
    <format dxfId="2095">
      <pivotArea dataOnly="0" fieldPosition="0">
        <references count="1">
          <reference field="3" count="1">
            <x v="0"/>
          </reference>
        </references>
      </pivotArea>
    </format>
    <format dxfId="2096">
      <pivotArea collapsedLevelsAreSubtotals="1" fieldPosition="0">
        <references count="1">
          <reference field="3" count="1">
            <x v="3"/>
          </reference>
        </references>
      </pivotArea>
    </format>
    <format dxfId="2097">
      <pivotArea dataOnly="0" labelOnly="1" fieldPosition="0">
        <references count="1">
          <reference field="3" count="1">
            <x v="3"/>
          </reference>
        </references>
      </pivotArea>
    </format>
    <format dxfId="2093">
      <pivotArea collapsedLevelsAreSubtotals="1" fieldPosition="0">
        <references count="2">
          <reference field="3" count="1">
            <x v="9"/>
          </reference>
          <reference field="4" count="1" selected="0">
            <x v="0"/>
          </reference>
        </references>
      </pivotArea>
    </format>
    <format dxfId="2092">
      <pivotArea dataOnly="0" labelOnly="1" fieldPosition="0">
        <references count="2">
          <reference field="3" count="1">
            <x v="9"/>
          </reference>
          <reference field="4" count="1" selected="0">
            <x v="0"/>
          </reference>
        </references>
      </pivotArea>
    </format>
    <format dxfId="2091">
      <pivotArea collapsedLevelsAreSubtotals="1" fieldPosition="0">
        <references count="1">
          <reference field="4" count="1">
            <x v="1"/>
          </reference>
        </references>
      </pivotArea>
    </format>
    <format dxfId="2090">
      <pivotArea dataOnly="0" labelOnly="1" fieldPosition="0">
        <references count="1">
          <reference field="4" count="1">
            <x v="1"/>
          </reference>
        </references>
      </pivotArea>
    </format>
    <format dxfId="2089">
      <pivotArea collapsedLevelsAreSubtotals="1" fieldPosition="0">
        <references count="2">
          <reference field="3" count="1">
            <x v="3"/>
          </reference>
          <reference field="4" count="1" selected="0">
            <x v="1"/>
          </reference>
        </references>
      </pivotArea>
    </format>
    <format dxfId="2088">
      <pivotArea dataOnly="0" labelOnly="1" fieldPosition="0">
        <references count="2">
          <reference field="3" count="1">
            <x v="3"/>
          </reference>
          <reference field="4" count="1" selected="0">
            <x v="1"/>
          </reference>
        </references>
      </pivotArea>
    </format>
    <format dxfId="2087">
      <pivotArea collapsedLevelsAreSubtotals="1" fieldPosition="0">
        <references count="2">
          <reference field="3" count="1">
            <x v="6"/>
          </reference>
          <reference field="4" count="1" selected="0">
            <x v="2"/>
          </reference>
        </references>
      </pivotArea>
    </format>
    <format dxfId="2086">
      <pivotArea dataOnly="0" labelOnly="1" fieldPosition="0">
        <references count="2">
          <reference field="3" count="1">
            <x v="6"/>
          </reference>
          <reference field="4" count="1" selected="0">
            <x v="2"/>
          </reference>
        </references>
      </pivotArea>
    </format>
    <format dxfId="2085">
      <pivotArea collapsedLevelsAreSubtotals="1" fieldPosition="0">
        <references count="2">
          <reference field="3" count="1">
            <x v="7"/>
          </reference>
          <reference field="4" count="1" selected="0">
            <x v="3"/>
          </reference>
        </references>
      </pivotArea>
    </format>
    <format dxfId="2084">
      <pivotArea dataOnly="0" labelOnly="1" fieldPosition="0">
        <references count="2">
          <reference field="3" count="1">
            <x v="7"/>
          </reference>
          <reference field="4" count="1" selected="0">
            <x v="3"/>
          </reference>
        </references>
      </pivotArea>
    </format>
    <format dxfId="2083">
      <pivotArea collapsedLevelsAreSubtotals="1" fieldPosition="0">
        <references count="2">
          <reference field="3" count="1">
            <x v="4"/>
          </reference>
          <reference field="4" count="1" selected="0">
            <x v="1"/>
          </reference>
        </references>
      </pivotArea>
    </format>
    <format dxfId="2082">
      <pivotArea dataOnly="0" labelOnly="1" fieldPosition="0">
        <references count="2">
          <reference field="3" count="1">
            <x v="4"/>
          </reference>
          <reference field="4" count="1" selected="0">
            <x v="1"/>
          </reference>
        </references>
      </pivotArea>
    </format>
    <format dxfId="2081">
      <pivotArea collapsedLevelsAreSubtotals="1" fieldPosition="0">
        <references count="2">
          <reference field="3" count="1">
            <x v="5"/>
          </reference>
          <reference field="4" count="1" selected="0">
            <x v="2"/>
          </reference>
        </references>
      </pivotArea>
    </format>
    <format dxfId="2080">
      <pivotArea dataOnly="0" labelOnly="1" fieldPosition="0">
        <references count="2">
          <reference field="3" count="1">
            <x v="5"/>
          </reference>
          <reference field="4" count="1" selected="0">
            <x v="2"/>
          </reference>
        </references>
      </pivotArea>
    </format>
    <format dxfId="2079">
      <pivotArea dataOnly="0" fieldPosition="0">
        <references count="1">
          <reference field="3" count="1">
            <x v="8"/>
          </reference>
        </references>
      </pivotArea>
    </format>
    <format dxfId="2078">
      <pivotArea collapsedLevelsAreSubtotals="1" fieldPosition="0">
        <references count="1">
          <reference field="4" count="1">
            <x v="3"/>
          </reference>
        </references>
      </pivotArea>
    </format>
    <format dxfId="2077">
      <pivotArea dataOnly="0" labelOnly="1" fieldPosition="0">
        <references count="1">
          <reference field="4" count="1">
            <x v="3"/>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B0E7EC5-3CA0-4D4F-B322-A11F390BBBEC}" name="PivotTable20"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6:J72"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axis="axisRow" showAll="0" measureFilter="1">
      <items count="11">
        <item x="9"/>
        <item x="1"/>
        <item x="3"/>
        <item x="0"/>
        <item x="2"/>
        <item x="6"/>
        <item x="7"/>
        <item x="4"/>
        <item x="5"/>
        <item x="8"/>
        <item t="default"/>
      </items>
    </pivotField>
    <pivotField showAll="0"/>
    <pivotField numFmtId="166" showAll="0"/>
    <pivotField numFmtId="1" showAll="0"/>
    <pivotField dataField="1"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1">
    <field x="3"/>
  </rowFields>
  <rowItems count="6">
    <i>
      <x v="1"/>
    </i>
    <i>
      <x v="2"/>
    </i>
    <i>
      <x v="3"/>
    </i>
    <i>
      <x v="4"/>
    </i>
    <i>
      <x v="8"/>
    </i>
    <i t="grand">
      <x/>
    </i>
  </rowItems>
  <colItems count="1">
    <i/>
  </colItems>
  <dataFields count="1">
    <dataField name="Sum of Item Amount2" fld="7" baseField="0" baseItem="0" numFmtId="166"/>
  </dataFields>
  <formats count="4">
    <format dxfId="2098">
      <pivotArea dataOnly="0" fieldPosition="0">
        <references count="1">
          <reference field="3" count="1">
            <x v="0"/>
          </reference>
        </references>
      </pivotArea>
    </format>
    <format dxfId="2099">
      <pivotArea dataOnly="0" fieldPosition="0">
        <references count="1">
          <reference field="3" count="1">
            <x v="0"/>
          </reference>
        </references>
      </pivotArea>
    </format>
    <format dxfId="2100">
      <pivotArea collapsedLevelsAreSubtotals="1" fieldPosition="0">
        <references count="1">
          <reference field="3" count="1">
            <x v="3"/>
          </reference>
        </references>
      </pivotArea>
    </format>
    <format dxfId="2101">
      <pivotArea dataOnly="0" labelOnly="1" fieldPosition="0">
        <references count="1">
          <reference field="3" count="1">
            <x v="3"/>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085F60D-170F-4EB3-B838-B19C48069053}" name="PivotTable19" cacheId="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44:J58"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showAll="0" measureFilter="1"/>
    <pivotField showAll="0"/>
    <pivotField numFmtId="166" showAll="0"/>
    <pivotField numFmtId="1" showAll="0"/>
    <pivotField dataField="1" numFmtId="166" showAll="0"/>
    <pivotField numFmtId="166"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x="1"/>
        <item h="1" x="2"/>
        <item h="1" x="3"/>
        <item h="1" sd="0" x="4"/>
        <item t="default"/>
      </items>
    </pivotField>
  </pivotFields>
  <rowFields count="2">
    <field x="12"/>
    <field x="10"/>
  </rowFields>
  <rowItems count="14">
    <i>
      <x v="1"/>
    </i>
    <i r="1">
      <x v="1"/>
    </i>
    <i r="1">
      <x v="2"/>
    </i>
    <i r="1">
      <x v="3"/>
    </i>
    <i r="1">
      <x v="4"/>
    </i>
    <i r="1">
      <x v="5"/>
    </i>
    <i r="1">
      <x v="6"/>
    </i>
    <i r="1">
      <x v="7"/>
    </i>
    <i r="1">
      <x v="8"/>
    </i>
    <i r="1">
      <x v="9"/>
    </i>
    <i r="1">
      <x v="10"/>
    </i>
    <i r="1">
      <x v="11"/>
    </i>
    <i r="1">
      <x v="12"/>
    </i>
    <i t="grand">
      <x/>
    </i>
  </rowItems>
  <colItems count="1">
    <i/>
  </colItems>
  <dataFields count="1">
    <dataField name="Sum of Item Amount2" fld="7" baseField="0" baseItem="0" numFmtId="166"/>
  </dataFields>
  <formats count="14">
    <format dxfId="2102">
      <pivotArea collapsedLevelsAreSubtotals="1" fieldPosition="0">
        <references count="2">
          <reference field="10" count="1">
            <x v="1"/>
          </reference>
          <reference field="12" count="1" selected="0">
            <x v="1"/>
          </reference>
        </references>
      </pivotArea>
    </format>
    <format dxfId="2103">
      <pivotArea dataOnly="0" labelOnly="1" fieldPosition="0">
        <references count="2">
          <reference field="10" count="1">
            <x v="1"/>
          </reference>
          <reference field="12" count="1" selected="0">
            <x v="1"/>
          </reference>
        </references>
      </pivotArea>
    </format>
    <format dxfId="2104">
      <pivotArea collapsedLevelsAreSubtotals="1" fieldPosition="0">
        <references count="2">
          <reference field="10" count="1">
            <x v="10"/>
          </reference>
          <reference field="12" count="1" selected="0">
            <x v="2"/>
          </reference>
        </references>
      </pivotArea>
    </format>
    <format dxfId="2105">
      <pivotArea dataOnly="0" labelOnly="1" fieldPosition="0">
        <references count="2">
          <reference field="10" count="1">
            <x v="10"/>
          </reference>
          <reference field="12" count="1" selected="0">
            <x v="2"/>
          </reference>
        </references>
      </pivotArea>
    </format>
    <format dxfId="2106">
      <pivotArea collapsedLevelsAreSubtotals="1" fieldPosition="0">
        <references count="2">
          <reference field="10" count="1">
            <x v="3"/>
          </reference>
          <reference field="12" count="1" selected="0">
            <x v="3"/>
          </reference>
        </references>
      </pivotArea>
    </format>
    <format dxfId="2107">
      <pivotArea dataOnly="0" labelOnly="1" fieldPosition="0">
        <references count="2">
          <reference field="10" count="1">
            <x v="3"/>
          </reference>
          <reference field="12" count="1" selected="0">
            <x v="3"/>
          </reference>
        </references>
      </pivotArea>
    </format>
    <format dxfId="2108">
      <pivotArea collapsedLevelsAreSubtotals="1" fieldPosition="0">
        <references count="2">
          <reference field="10" count="1">
            <x v="3"/>
          </reference>
          <reference field="12" count="1" selected="0">
            <x v="3"/>
          </reference>
        </references>
      </pivotArea>
    </format>
    <format dxfId="2109">
      <pivotArea dataOnly="0" labelOnly="1" fieldPosition="0">
        <references count="2">
          <reference field="10" count="1">
            <x v="3"/>
          </reference>
          <reference field="12" count="1" selected="0">
            <x v="3"/>
          </reference>
        </references>
      </pivotArea>
    </format>
    <format dxfId="2110">
      <pivotArea collapsedLevelsAreSubtotals="1" fieldPosition="0">
        <references count="2">
          <reference field="10" count="1">
            <x v="11"/>
          </reference>
          <reference field="12" count="1" selected="0">
            <x v="3"/>
          </reference>
        </references>
      </pivotArea>
    </format>
    <format dxfId="2111">
      <pivotArea dataOnly="0" labelOnly="1" fieldPosition="0">
        <references count="2">
          <reference field="10" count="1">
            <x v="11"/>
          </reference>
          <reference field="12" count="1" selected="0">
            <x v="3"/>
          </reference>
        </references>
      </pivotArea>
    </format>
    <format dxfId="2112">
      <pivotArea collapsedLevelsAreSubtotals="1" fieldPosition="0">
        <references count="2">
          <reference field="10" count="1">
            <x v="4"/>
          </reference>
          <reference field="12" count="1" selected="0">
            <x v="2"/>
          </reference>
        </references>
      </pivotArea>
    </format>
    <format dxfId="2113">
      <pivotArea dataOnly="0" labelOnly="1" fieldPosition="0">
        <references count="2">
          <reference field="10" count="1">
            <x v="4"/>
          </reference>
          <reference field="12" count="1" selected="0">
            <x v="2"/>
          </reference>
        </references>
      </pivotArea>
    </format>
    <format dxfId="2114">
      <pivotArea collapsedLevelsAreSubtotals="1" fieldPosition="0">
        <references count="2">
          <reference field="10" count="1">
            <x v="8"/>
          </reference>
          <reference field="12" count="1" selected="0">
            <x v="1"/>
          </reference>
        </references>
      </pivotArea>
    </format>
    <format dxfId="2115">
      <pivotArea dataOnly="0" labelOnly="1" fieldPosition="0">
        <references count="2">
          <reference field="10" count="1">
            <x v="8"/>
          </reference>
          <reference field="12" count="1" selected="0">
            <x v="1"/>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AFC5ED3-CBF1-456E-902F-F67B4F62C07B}" name="PivotTable18"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0:J34"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axis="axisRow" showAll="0">
      <items count="6">
        <item m="1" x="3"/>
        <item x="0"/>
        <item x="1"/>
        <item m="1" x="2"/>
        <item m="1" x="4"/>
        <item t="default"/>
      </items>
    </pivotField>
    <pivotField showAll="0"/>
    <pivotField showAll="0"/>
    <pivotField numFmtId="166" showAll="0"/>
    <pivotField numFmtId="1" showAll="0"/>
    <pivotField dataField="1"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x="1"/>
        <item h="1" x="2"/>
        <item h="1" x="3"/>
        <item h="1" sd="0" x="4"/>
        <item t="default"/>
      </items>
    </pivotField>
  </pivotFields>
  <rowFields count="2">
    <field x="12"/>
    <field x="2"/>
  </rowFields>
  <rowItems count="4">
    <i>
      <x v="1"/>
    </i>
    <i r="1">
      <x v="1"/>
    </i>
    <i r="1">
      <x v="2"/>
    </i>
    <i t="grand">
      <x/>
    </i>
  </rowItems>
  <colItems count="1">
    <i/>
  </colItems>
  <dataFields count="1">
    <dataField name="Sum of Item Amount" fld="7" baseField="0" baseItem="0" numFmtId="166"/>
  </dataFields>
  <formats count="8">
    <format dxfId="2116">
      <pivotArea collapsedLevelsAreSubtotals="1" fieldPosition="0">
        <references count="2">
          <reference field="2" count="1">
            <x v="1"/>
          </reference>
          <reference field="12" count="1" selected="0">
            <x v="1"/>
          </reference>
        </references>
      </pivotArea>
    </format>
    <format dxfId="2117">
      <pivotArea dataOnly="0" labelOnly="1" fieldPosition="0">
        <references count="2">
          <reference field="2" count="1">
            <x v="1"/>
          </reference>
          <reference field="12" count="1" selected="0">
            <x v="1"/>
          </reference>
        </references>
      </pivotArea>
    </format>
    <format dxfId="2118">
      <pivotArea collapsedLevelsAreSubtotals="1" fieldPosition="0">
        <references count="2">
          <reference field="2" count="1">
            <x v="1"/>
          </reference>
          <reference field="12" count="1" selected="0">
            <x v="1"/>
          </reference>
        </references>
      </pivotArea>
    </format>
    <format dxfId="2119">
      <pivotArea dataOnly="0" labelOnly="1" fieldPosition="0">
        <references count="2">
          <reference field="2" count="1">
            <x v="1"/>
          </reference>
          <reference field="12" count="1" selected="0">
            <x v="1"/>
          </reference>
        </references>
      </pivotArea>
    </format>
    <format dxfId="2120">
      <pivotArea collapsedLevelsAreSubtotals="1" fieldPosition="0">
        <references count="2">
          <reference field="2" count="1">
            <x v="1"/>
          </reference>
          <reference field="12" count="1" selected="0">
            <x v="2"/>
          </reference>
        </references>
      </pivotArea>
    </format>
    <format dxfId="2121">
      <pivotArea dataOnly="0" labelOnly="1" fieldPosition="0">
        <references count="2">
          <reference field="2" count="1">
            <x v="1"/>
          </reference>
          <reference field="12" count="1" selected="0">
            <x v="2"/>
          </reference>
        </references>
      </pivotArea>
    </format>
    <format dxfId="2122">
      <pivotArea collapsedLevelsAreSubtotals="1" fieldPosition="0">
        <references count="2">
          <reference field="2" count="1">
            <x v="1"/>
          </reference>
          <reference field="12" count="1" selected="0">
            <x v="3"/>
          </reference>
        </references>
      </pivotArea>
    </format>
    <format dxfId="2123">
      <pivotArea dataOnly="0" labelOnly="1" fieldPosition="0">
        <references count="2">
          <reference field="2" count="1">
            <x v="1"/>
          </reference>
          <reference field="12"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52769D9-D7FA-4371-8A83-9D7F967DAD2A}" name="PivotTable16"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J26"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showAll="0"/>
    <pivotField axis="axisRow" showAll="0">
      <items count="5">
        <item x="3"/>
        <item x="0"/>
        <item x="2"/>
        <item x="1"/>
        <item t="default"/>
      </items>
    </pivotField>
    <pivotField numFmtId="166" showAll="0"/>
    <pivotField numFmtId="1" showAll="0"/>
    <pivotField dataField="1"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1">
    <field x="4"/>
  </rowFields>
  <rowItems count="5">
    <i>
      <x/>
    </i>
    <i>
      <x v="1"/>
    </i>
    <i>
      <x v="2"/>
    </i>
    <i>
      <x v="3"/>
    </i>
    <i t="grand">
      <x/>
    </i>
  </rowItems>
  <colItems count="1">
    <i/>
  </colItems>
  <dataFields count="1">
    <dataField name="Sum of Item Amount" fld="7" baseField="0" baseItem="0" numFmtId="166"/>
  </dataFields>
  <formats count="4">
    <format dxfId="2124">
      <pivotArea collapsedLevelsAreSubtotals="1" fieldPosition="0">
        <references count="1">
          <reference field="4" count="1">
            <x v="0"/>
          </reference>
        </references>
      </pivotArea>
    </format>
    <format dxfId="2125">
      <pivotArea dataOnly="0" labelOnly="1" fieldPosition="0">
        <references count="1">
          <reference field="4" count="1">
            <x v="0"/>
          </reference>
        </references>
      </pivotArea>
    </format>
    <format dxfId="2126">
      <pivotArea collapsedLevelsAreSubtotals="1" fieldPosition="0">
        <references count="1">
          <reference field="4" count="1">
            <x v="3"/>
          </reference>
        </references>
      </pivotArea>
    </format>
    <format dxfId="2127">
      <pivotArea dataOnly="0" labelOnly="1" fieldPosition="0">
        <references count="1">
          <reference field="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F6EBEE7-4238-4086-8F3D-E9C9616689BB}" name="PivotTable15"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J17"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axis="axisRow" showAll="0">
      <items count="11">
        <item x="9"/>
        <item x="1"/>
        <item x="3"/>
        <item x="0"/>
        <item x="2"/>
        <item x="6"/>
        <item x="7"/>
        <item x="4"/>
        <item x="5"/>
        <item x="8"/>
        <item t="default"/>
      </items>
    </pivotField>
    <pivotField showAll="0"/>
    <pivotField numFmtId="166" showAll="0"/>
    <pivotField numFmtId="1" showAll="0"/>
    <pivotField dataField="1"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1">
    <field x="3"/>
  </rowFields>
  <rowItems count="11">
    <i>
      <x/>
    </i>
    <i>
      <x v="1"/>
    </i>
    <i>
      <x v="2"/>
    </i>
    <i>
      <x v="3"/>
    </i>
    <i>
      <x v="4"/>
    </i>
    <i>
      <x v="5"/>
    </i>
    <i>
      <x v="6"/>
    </i>
    <i>
      <x v="7"/>
    </i>
    <i>
      <x v="8"/>
    </i>
    <i>
      <x v="9"/>
    </i>
    <i t="grand">
      <x/>
    </i>
  </rowItems>
  <colItems count="1">
    <i/>
  </colItems>
  <dataFields count="1">
    <dataField name="Sum of Item Amount2" fld="7" baseField="0" baseItem="0" numFmtId="166"/>
  </dataFields>
  <formats count="4">
    <format dxfId="2128">
      <pivotArea dataOnly="0" fieldPosition="0">
        <references count="1">
          <reference field="3" count="1">
            <x v="0"/>
          </reference>
        </references>
      </pivotArea>
    </format>
    <format dxfId="2129">
      <pivotArea dataOnly="0" fieldPosition="0">
        <references count="1">
          <reference field="3" count="1">
            <x v="0"/>
          </reference>
        </references>
      </pivotArea>
    </format>
    <format dxfId="2130">
      <pivotArea collapsedLevelsAreSubtotals="1" fieldPosition="0">
        <references count="1">
          <reference field="3" count="1">
            <x v="3"/>
          </reference>
        </references>
      </pivotArea>
    </format>
    <format dxfId="2131">
      <pivotArea dataOnly="0" labelOnly="1" fieldPosition="0">
        <references count="1">
          <reference field="3"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267A5A1-078C-4522-990D-D7AFA58E39AF}" name="PivotTable13"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numFmtId="166" showAll="0"/>
    <pivotField numFmtId="1" showAll="0"/>
    <pivotField dataField="1" numFmtId="166" showAll="0"/>
    <pivotField numFmtId="166"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h="1" x="2"/>
        <item h="1" x="3"/>
        <item h="1" x="4"/>
        <item t="default"/>
      </items>
    </pivotField>
  </pivotFields>
  <rowItems count="1">
    <i/>
  </rowItems>
  <colItems count="1">
    <i/>
  </colItems>
  <dataFields count="1">
    <dataField name="Sum of Item Amount" fld="7"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53E9312-E5E0-445B-A63B-D8621533EDFA}" name="PivotTable12" cacheId="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75:B183"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showAll="0" measureFilter="1"/>
    <pivotField showAll="0"/>
    <pivotField numFmtId="166" showAll="0"/>
    <pivotField numFmtId="1" showAll="0"/>
    <pivotField dataField="1" numFmtId="166" showAll="0"/>
    <pivotField numFmtId="166" showAll="0"/>
    <pivotField axis="axisRow" showAll="0">
      <items count="8">
        <item x="5"/>
        <item x="6"/>
        <item x="0"/>
        <item x="1"/>
        <item x="2"/>
        <item x="3"/>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1">
    <field x="9"/>
  </rowFields>
  <rowItems count="8">
    <i>
      <x/>
    </i>
    <i>
      <x v="1"/>
    </i>
    <i>
      <x v="2"/>
    </i>
    <i>
      <x v="3"/>
    </i>
    <i>
      <x v="4"/>
    </i>
    <i>
      <x v="5"/>
    </i>
    <i>
      <x v="6"/>
    </i>
    <i t="grand">
      <x/>
    </i>
  </rowItems>
  <colItems count="1">
    <i/>
  </colItems>
  <dataFields count="1">
    <dataField name="Sum of Item Amount2" fld="7" baseField="0" baseItem="0" numFmtId="166"/>
  </dataFields>
  <formats count="4">
    <format dxfId="2135">
      <pivotArea collapsedLevelsAreSubtotals="1" fieldPosition="0">
        <references count="1">
          <reference field="9" count="1">
            <x v="3"/>
          </reference>
        </references>
      </pivotArea>
    </format>
    <format dxfId="2134">
      <pivotArea dataOnly="0" labelOnly="1" fieldPosition="0">
        <references count="1">
          <reference field="9" count="1">
            <x v="3"/>
          </reference>
        </references>
      </pivotArea>
    </format>
    <format dxfId="2133">
      <pivotArea collapsedLevelsAreSubtotals="1" fieldPosition="0">
        <references count="1">
          <reference field="9" count="1">
            <x v="4"/>
          </reference>
        </references>
      </pivotArea>
    </format>
    <format dxfId="2132">
      <pivotArea dataOnly="0" labelOnly="1" fieldPosition="0">
        <references count="1">
          <reference field="9" count="1">
            <x v="4"/>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0357935-0E71-4C54-A032-1DEB9075B53E}" name="PivotTable11" cacheId="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57:C171" firstHeaderRow="1" firstDataRow="2"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showAll="0" measureFilter="1"/>
    <pivotField showAll="0"/>
    <pivotField numFmtId="166" showAll="0"/>
    <pivotField numFmtId="1" showAll="0"/>
    <pivotField dataField="1" numFmtId="166" showAll="0"/>
    <pivotField numFmtId="166"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x="1"/>
        <item h="1" x="2"/>
        <item h="1" x="3"/>
        <item h="1" sd="0" x="4"/>
        <item t="default"/>
      </items>
    </pivotField>
  </pivotFields>
  <rowFields count="1">
    <field x="10"/>
  </rowFields>
  <rowItems count="13">
    <i>
      <x v="1"/>
    </i>
    <i>
      <x v="2"/>
    </i>
    <i>
      <x v="3"/>
    </i>
    <i>
      <x v="4"/>
    </i>
    <i>
      <x v="5"/>
    </i>
    <i>
      <x v="6"/>
    </i>
    <i>
      <x v="7"/>
    </i>
    <i>
      <x v="8"/>
    </i>
    <i>
      <x v="9"/>
    </i>
    <i>
      <x v="10"/>
    </i>
    <i>
      <x v="11"/>
    </i>
    <i>
      <x v="12"/>
    </i>
    <i t="grand">
      <x/>
    </i>
  </rowItems>
  <colFields count="1">
    <field x="12"/>
  </colFields>
  <colItems count="2">
    <i>
      <x v="1"/>
    </i>
    <i t="grand">
      <x/>
    </i>
  </colItems>
  <dataFields count="1">
    <dataField name="Sum of Item Amount2" fld="7" baseField="0" baseItem="0" numFmtId="166"/>
  </dataFields>
  <formats count="14">
    <format dxfId="2136">
      <pivotArea collapsedLevelsAreSubtotals="1" fieldPosition="0">
        <references count="2">
          <reference field="10" count="1">
            <x v="1"/>
          </reference>
          <reference field="12" count="1" selected="0">
            <x v="1"/>
          </reference>
        </references>
      </pivotArea>
    </format>
    <format dxfId="2137">
      <pivotArea dataOnly="0" labelOnly="1" fieldPosition="0">
        <references count="2">
          <reference field="10" count="1">
            <x v="1"/>
          </reference>
          <reference field="12" count="1" selected="0">
            <x v="1"/>
          </reference>
        </references>
      </pivotArea>
    </format>
    <format dxfId="2138">
      <pivotArea collapsedLevelsAreSubtotals="1" fieldPosition="0">
        <references count="2">
          <reference field="10" count="1">
            <x v="10"/>
          </reference>
          <reference field="12" count="1" selected="0">
            <x v="2"/>
          </reference>
        </references>
      </pivotArea>
    </format>
    <format dxfId="2139">
      <pivotArea dataOnly="0" labelOnly="1" fieldPosition="0">
        <references count="2">
          <reference field="10" count="1">
            <x v="10"/>
          </reference>
          <reference field="12" count="1" selected="0">
            <x v="2"/>
          </reference>
        </references>
      </pivotArea>
    </format>
    <format dxfId="2140">
      <pivotArea collapsedLevelsAreSubtotals="1" fieldPosition="0">
        <references count="2">
          <reference field="10" count="1">
            <x v="3"/>
          </reference>
          <reference field="12" count="1" selected="0">
            <x v="3"/>
          </reference>
        </references>
      </pivotArea>
    </format>
    <format dxfId="2141">
      <pivotArea dataOnly="0" labelOnly="1" fieldPosition="0">
        <references count="2">
          <reference field="10" count="1">
            <x v="3"/>
          </reference>
          <reference field="12" count="1" selected="0">
            <x v="3"/>
          </reference>
        </references>
      </pivotArea>
    </format>
    <format dxfId="2142">
      <pivotArea collapsedLevelsAreSubtotals="1" fieldPosition="0">
        <references count="2">
          <reference field="10" count="1">
            <x v="3"/>
          </reference>
          <reference field="12" count="1" selected="0">
            <x v="3"/>
          </reference>
        </references>
      </pivotArea>
    </format>
    <format dxfId="2143">
      <pivotArea dataOnly="0" labelOnly="1" fieldPosition="0">
        <references count="2">
          <reference field="10" count="1">
            <x v="3"/>
          </reference>
          <reference field="12" count="1" selected="0">
            <x v="3"/>
          </reference>
        </references>
      </pivotArea>
    </format>
    <format dxfId="2144">
      <pivotArea collapsedLevelsAreSubtotals="1" fieldPosition="0">
        <references count="2">
          <reference field="10" count="1">
            <x v="11"/>
          </reference>
          <reference field="12" count="1" selected="0">
            <x v="3"/>
          </reference>
        </references>
      </pivotArea>
    </format>
    <format dxfId="2145">
      <pivotArea dataOnly="0" labelOnly="1" fieldPosition="0">
        <references count="2">
          <reference field="10" count="1">
            <x v="11"/>
          </reference>
          <reference field="12" count="1" selected="0">
            <x v="3"/>
          </reference>
        </references>
      </pivotArea>
    </format>
    <format dxfId="2146">
      <pivotArea collapsedLevelsAreSubtotals="1" fieldPosition="0">
        <references count="2">
          <reference field="10" count="1">
            <x v="4"/>
          </reference>
          <reference field="12" count="1" selected="0">
            <x v="2"/>
          </reference>
        </references>
      </pivotArea>
    </format>
    <format dxfId="2147">
      <pivotArea dataOnly="0" labelOnly="1" fieldPosition="0">
        <references count="2">
          <reference field="10" count="1">
            <x v="4"/>
          </reference>
          <reference field="12" count="1" selected="0">
            <x v="2"/>
          </reference>
        </references>
      </pivotArea>
    </format>
    <format dxfId="2148">
      <pivotArea collapsedLevelsAreSubtotals="1" fieldPosition="0">
        <references count="2">
          <reference field="10" count="1">
            <x v="8"/>
          </reference>
          <reference field="12" count="1" selected="0">
            <x v="1"/>
          </reference>
        </references>
      </pivotArea>
    </format>
    <format dxfId="2149">
      <pivotArea dataOnly="0" labelOnly="1" fieldPosition="0">
        <references count="2">
          <reference field="10" count="1">
            <x v="8"/>
          </reference>
          <reference field="12" count="1" selected="0">
            <x v="1"/>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58D8B001-A162-4C5C-B5C8-A6E0A266377E}" name="PivotTable10" cacheId="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14:B128"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showAll="0" measureFilter="1"/>
    <pivotField showAll="0"/>
    <pivotField numFmtId="166" showAll="0"/>
    <pivotField numFmtId="1" showAll="0"/>
    <pivotField dataField="1" numFmtId="166" showAll="0"/>
    <pivotField numFmtId="166"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x="1"/>
        <item h="1" x="2"/>
        <item h="1" x="3"/>
        <item h="1" sd="0" x="4"/>
        <item t="default"/>
      </items>
    </pivotField>
  </pivotFields>
  <rowFields count="2">
    <field x="12"/>
    <field x="10"/>
  </rowFields>
  <rowItems count="14">
    <i>
      <x v="1"/>
    </i>
    <i r="1">
      <x v="1"/>
    </i>
    <i r="1">
      <x v="2"/>
    </i>
    <i r="1">
      <x v="3"/>
    </i>
    <i r="1">
      <x v="4"/>
    </i>
    <i r="1">
      <x v="5"/>
    </i>
    <i r="1">
      <x v="6"/>
    </i>
    <i r="1">
      <x v="7"/>
    </i>
    <i r="1">
      <x v="8"/>
    </i>
    <i r="1">
      <x v="9"/>
    </i>
    <i r="1">
      <x v="10"/>
    </i>
    <i r="1">
      <x v="11"/>
    </i>
    <i r="1">
      <x v="12"/>
    </i>
    <i t="grand">
      <x/>
    </i>
  </rowItems>
  <colItems count="1">
    <i/>
  </colItems>
  <dataFields count="1">
    <dataField name="Sum of Item Amount2" fld="7" baseField="0" baseItem="0" numFmtId="166"/>
  </dataFields>
  <formats count="14">
    <format dxfId="2163">
      <pivotArea collapsedLevelsAreSubtotals="1" fieldPosition="0">
        <references count="2">
          <reference field="10" count="1">
            <x v="1"/>
          </reference>
          <reference field="12" count="1" selected="0">
            <x v="1"/>
          </reference>
        </references>
      </pivotArea>
    </format>
    <format dxfId="2162">
      <pivotArea dataOnly="0" labelOnly="1" fieldPosition="0">
        <references count="2">
          <reference field="10" count="1">
            <x v="1"/>
          </reference>
          <reference field="12" count="1" selected="0">
            <x v="1"/>
          </reference>
        </references>
      </pivotArea>
    </format>
    <format dxfId="2161">
      <pivotArea collapsedLevelsAreSubtotals="1" fieldPosition="0">
        <references count="2">
          <reference field="10" count="1">
            <x v="10"/>
          </reference>
          <reference field="12" count="1" selected="0">
            <x v="2"/>
          </reference>
        </references>
      </pivotArea>
    </format>
    <format dxfId="2160">
      <pivotArea dataOnly="0" labelOnly="1" fieldPosition="0">
        <references count="2">
          <reference field="10" count="1">
            <x v="10"/>
          </reference>
          <reference field="12" count="1" selected="0">
            <x v="2"/>
          </reference>
        </references>
      </pivotArea>
    </format>
    <format dxfId="2159">
      <pivotArea collapsedLevelsAreSubtotals="1" fieldPosition="0">
        <references count="2">
          <reference field="10" count="1">
            <x v="3"/>
          </reference>
          <reference field="12" count="1" selected="0">
            <x v="3"/>
          </reference>
        </references>
      </pivotArea>
    </format>
    <format dxfId="2158">
      <pivotArea dataOnly="0" labelOnly="1" fieldPosition="0">
        <references count="2">
          <reference field="10" count="1">
            <x v="3"/>
          </reference>
          <reference field="12" count="1" selected="0">
            <x v="3"/>
          </reference>
        </references>
      </pivotArea>
    </format>
    <format dxfId="2157">
      <pivotArea collapsedLevelsAreSubtotals="1" fieldPosition="0">
        <references count="2">
          <reference field="10" count="1">
            <x v="3"/>
          </reference>
          <reference field="12" count="1" selected="0">
            <x v="3"/>
          </reference>
        </references>
      </pivotArea>
    </format>
    <format dxfId="2156">
      <pivotArea dataOnly="0" labelOnly="1" fieldPosition="0">
        <references count="2">
          <reference field="10" count="1">
            <x v="3"/>
          </reference>
          <reference field="12" count="1" selected="0">
            <x v="3"/>
          </reference>
        </references>
      </pivotArea>
    </format>
    <format dxfId="2155">
      <pivotArea collapsedLevelsAreSubtotals="1" fieldPosition="0">
        <references count="2">
          <reference field="10" count="1">
            <x v="11"/>
          </reference>
          <reference field="12" count="1" selected="0">
            <x v="3"/>
          </reference>
        </references>
      </pivotArea>
    </format>
    <format dxfId="2154">
      <pivotArea dataOnly="0" labelOnly="1" fieldPosition="0">
        <references count="2">
          <reference field="10" count="1">
            <x v="11"/>
          </reference>
          <reference field="12" count="1" selected="0">
            <x v="3"/>
          </reference>
        </references>
      </pivotArea>
    </format>
    <format dxfId="2153">
      <pivotArea collapsedLevelsAreSubtotals="1" fieldPosition="0">
        <references count="2">
          <reference field="10" count="1">
            <x v="4"/>
          </reference>
          <reference field="12" count="1" selected="0">
            <x v="2"/>
          </reference>
        </references>
      </pivotArea>
    </format>
    <format dxfId="2152">
      <pivotArea dataOnly="0" labelOnly="1" fieldPosition="0">
        <references count="2">
          <reference field="10" count="1">
            <x v="4"/>
          </reference>
          <reference field="12" count="1" selected="0">
            <x v="2"/>
          </reference>
        </references>
      </pivotArea>
    </format>
    <format dxfId="2151">
      <pivotArea collapsedLevelsAreSubtotals="1" fieldPosition="0">
        <references count="2">
          <reference field="10" count="1">
            <x v="8"/>
          </reference>
          <reference field="12" count="1" selected="0">
            <x v="1"/>
          </reference>
        </references>
      </pivotArea>
    </format>
    <format dxfId="2150">
      <pivotArea dataOnly="0" labelOnly="1" fieldPosition="0">
        <references count="2">
          <reference field="10" count="1">
            <x v="8"/>
          </reference>
          <reference field="12"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B08F3BB-6D23-4A76-AF3B-8B8A311AC684}" name="PivotTable9"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4:B110"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axis="axisRow" showAll="0" measureFilter="1">
      <items count="11">
        <item x="9"/>
        <item x="1"/>
        <item x="3"/>
        <item x="0"/>
        <item x="2"/>
        <item x="6"/>
        <item x="7"/>
        <item x="4"/>
        <item x="5"/>
        <item x="8"/>
        <item t="default"/>
      </items>
    </pivotField>
    <pivotField showAll="0"/>
    <pivotField numFmtId="166" showAll="0"/>
    <pivotField numFmtId="1" showAll="0"/>
    <pivotField dataField="1"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1">
    <field x="3"/>
  </rowFields>
  <rowItems count="6">
    <i>
      <x v="1"/>
    </i>
    <i>
      <x v="2"/>
    </i>
    <i>
      <x v="3"/>
    </i>
    <i>
      <x v="4"/>
    </i>
    <i>
      <x v="8"/>
    </i>
    <i t="grand">
      <x/>
    </i>
  </rowItems>
  <colItems count="1">
    <i/>
  </colItems>
  <dataFields count="1">
    <dataField name="Sum of Item Amount2" fld="7" baseField="0" baseItem="0" numFmtId="166"/>
  </dataFields>
  <formats count="4">
    <format dxfId="2166">
      <pivotArea dataOnly="0" fieldPosition="0">
        <references count="1">
          <reference field="3" count="1">
            <x v="0"/>
          </reference>
        </references>
      </pivotArea>
    </format>
    <format dxfId="2167">
      <pivotArea dataOnly="0" fieldPosition="0">
        <references count="1">
          <reference field="3" count="1">
            <x v="0"/>
          </reference>
        </references>
      </pivotArea>
    </format>
    <format dxfId="2165">
      <pivotArea collapsedLevelsAreSubtotals="1" fieldPosition="0">
        <references count="1">
          <reference field="3" count="1">
            <x v="3"/>
          </reference>
        </references>
      </pivotArea>
    </format>
    <format dxfId="2164">
      <pivotArea dataOnly="0" labelOnly="1" fieldPosition="0">
        <references count="1">
          <reference field="3" count="1">
            <x v="3"/>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A0A7B5B-25E2-4045-ADA7-32A7CFEEA8BE}" name="PivotTable8"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89:C100" firstHeaderRow="0"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axis="axisRow" showAll="0">
      <items count="11">
        <item x="9"/>
        <item x="1"/>
        <item x="3"/>
        <item x="0"/>
        <item x="2"/>
        <item x="6"/>
        <item x="7"/>
        <item x="4"/>
        <item x="5"/>
        <item x="8"/>
        <item t="default"/>
      </items>
    </pivotField>
    <pivotField showAll="0"/>
    <pivotField numFmtId="166" showAll="0"/>
    <pivotField numFmtId="1" showAll="0"/>
    <pivotField dataField="1"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Percentage" fld="7" showDataAs="percentOfTotal" baseField="0" baseItem="0" numFmtId="10"/>
    <dataField name="Sum of Item Amount2" fld="7" baseField="0" baseItem="0" numFmtId="166"/>
  </dataFields>
  <formats count="4">
    <format dxfId="2171">
      <pivotArea dataOnly="0" fieldPosition="0">
        <references count="1">
          <reference field="3" count="1">
            <x v="0"/>
          </reference>
        </references>
      </pivotArea>
    </format>
    <format dxfId="2170">
      <pivotArea dataOnly="0" fieldPosition="0">
        <references count="1">
          <reference field="3" count="1">
            <x v="0"/>
          </reference>
        </references>
      </pivotArea>
    </format>
    <format dxfId="2169">
      <pivotArea collapsedLevelsAreSubtotals="1" fieldPosition="0">
        <references count="1">
          <reference field="3" count="1">
            <x v="3"/>
          </reference>
        </references>
      </pivotArea>
    </format>
    <format dxfId="2168">
      <pivotArea dataOnly="0" labelOnly="1" fieldPosition="0">
        <references count="1">
          <reference field="3" count="1">
            <x v="3"/>
          </reference>
        </references>
      </pivotArea>
    </format>
  </format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D5F287B9-CF85-4CC7-AE4A-2F728965EFB2}" name="PivotTable7"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80:B85"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items count="6">
        <item m="1" x="3"/>
        <item x="0"/>
        <item x="1"/>
        <item m="1" x="2"/>
        <item m="1" x="4"/>
        <item t="default"/>
      </items>
    </pivotField>
    <pivotField showAll="0"/>
    <pivotField axis="axisRow" showAll="0">
      <items count="5">
        <item x="3"/>
        <item x="0"/>
        <item x="2"/>
        <item x="1"/>
        <item t="default"/>
      </items>
    </pivotField>
    <pivotField numFmtId="166" showAll="0"/>
    <pivotField numFmtId="1" showAll="0"/>
    <pivotField dataField="1"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x="3"/>
        <item h="1" sd="0" x="4"/>
        <item t="default"/>
      </items>
    </pivotField>
  </pivotFields>
  <rowFields count="1">
    <field x="4"/>
  </rowFields>
  <rowItems count="5">
    <i>
      <x/>
    </i>
    <i>
      <x v="1"/>
    </i>
    <i>
      <x v="2"/>
    </i>
    <i>
      <x v="3"/>
    </i>
    <i t="grand">
      <x/>
    </i>
  </rowItems>
  <colItems count="1">
    <i/>
  </colItems>
  <dataFields count="1">
    <dataField name="Sum of Item Amount" fld="7" baseField="0" baseItem="0" numFmtId="166"/>
  </dataFields>
  <formats count="4">
    <format dxfId="2175">
      <pivotArea collapsedLevelsAreSubtotals="1" fieldPosition="0">
        <references count="1">
          <reference field="4" count="1">
            <x v="0"/>
          </reference>
        </references>
      </pivotArea>
    </format>
    <format dxfId="2174">
      <pivotArea dataOnly="0" labelOnly="1" fieldPosition="0">
        <references count="1">
          <reference field="4" count="1">
            <x v="0"/>
          </reference>
        </references>
      </pivotArea>
    </format>
    <format dxfId="2173">
      <pivotArea collapsedLevelsAreSubtotals="1" fieldPosition="0">
        <references count="1">
          <reference field="4" count="1">
            <x v="3"/>
          </reference>
        </references>
      </pivotArea>
    </format>
    <format dxfId="2172">
      <pivotArea dataOnly="0" labelOnly="1" fieldPosition="0">
        <references count="1">
          <reference field="4" count="1">
            <x v="3"/>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4" count="1" selected="0">
            <x v="0"/>
          </reference>
        </references>
      </pivotArea>
    </chartFormat>
    <chartFormat chart="11" format="12">
      <pivotArea type="data" outline="0" fieldPosition="0">
        <references count="2">
          <reference field="4294967294" count="1" selected="0">
            <x v="0"/>
          </reference>
          <reference field="4" count="1" selected="0">
            <x v="1"/>
          </reference>
        </references>
      </pivotArea>
    </chartFormat>
    <chartFormat chart="11" format="13">
      <pivotArea type="data" outline="0" fieldPosition="0">
        <references count="2">
          <reference field="4294967294" count="1" selected="0">
            <x v="0"/>
          </reference>
          <reference field="4" count="1" selected="0">
            <x v="2"/>
          </reference>
        </references>
      </pivotArea>
    </chartFormat>
    <chartFormat chart="11"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8E49BB15-4355-4765-9110-BA2886B47BA5}" name="PivotTable6"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6:B70"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axis="axisRow" showAll="0">
      <items count="6">
        <item m="1" x="3"/>
        <item x="0"/>
        <item x="1"/>
        <item m="1" x="2"/>
        <item m="1" x="4"/>
        <item t="default"/>
      </items>
    </pivotField>
    <pivotField showAll="0"/>
    <pivotField showAll="0"/>
    <pivotField numFmtId="166" showAll="0"/>
    <pivotField numFmtId="1" showAll="0"/>
    <pivotField dataField="1"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x="1"/>
        <item h="1" x="2"/>
        <item h="1" x="3"/>
        <item h="1" sd="0" x="4"/>
        <item t="default"/>
      </items>
    </pivotField>
  </pivotFields>
  <rowFields count="2">
    <field x="12"/>
    <field x="2"/>
  </rowFields>
  <rowItems count="4">
    <i>
      <x v="1"/>
    </i>
    <i r="1">
      <x v="1"/>
    </i>
    <i r="1">
      <x v="2"/>
    </i>
    <i t="grand">
      <x/>
    </i>
  </rowItems>
  <colItems count="1">
    <i/>
  </colItems>
  <dataFields count="1">
    <dataField name="Sum of Item Amount" fld="7" baseField="0" baseItem="0" numFmtId="166"/>
  </dataFields>
  <formats count="8">
    <format dxfId="2183">
      <pivotArea collapsedLevelsAreSubtotals="1" fieldPosition="0">
        <references count="2">
          <reference field="2" count="1">
            <x v="1"/>
          </reference>
          <reference field="12" count="1" selected="0">
            <x v="1"/>
          </reference>
        </references>
      </pivotArea>
    </format>
    <format dxfId="2182">
      <pivotArea dataOnly="0" labelOnly="1" fieldPosition="0">
        <references count="2">
          <reference field="2" count="1">
            <x v="1"/>
          </reference>
          <reference field="12" count="1" selected="0">
            <x v="1"/>
          </reference>
        </references>
      </pivotArea>
    </format>
    <format dxfId="2181">
      <pivotArea collapsedLevelsAreSubtotals="1" fieldPosition="0">
        <references count="2">
          <reference field="2" count="1">
            <x v="1"/>
          </reference>
          <reference field="12" count="1" selected="0">
            <x v="1"/>
          </reference>
        </references>
      </pivotArea>
    </format>
    <format dxfId="2180">
      <pivotArea dataOnly="0" labelOnly="1" fieldPosition="0">
        <references count="2">
          <reference field="2" count="1">
            <x v="1"/>
          </reference>
          <reference field="12" count="1" selected="0">
            <x v="1"/>
          </reference>
        </references>
      </pivotArea>
    </format>
    <format dxfId="2179">
      <pivotArea collapsedLevelsAreSubtotals="1" fieldPosition="0">
        <references count="2">
          <reference field="2" count="1">
            <x v="1"/>
          </reference>
          <reference field="12" count="1" selected="0">
            <x v="2"/>
          </reference>
        </references>
      </pivotArea>
    </format>
    <format dxfId="2178">
      <pivotArea dataOnly="0" labelOnly="1" fieldPosition="0">
        <references count="2">
          <reference field="2" count="1">
            <x v="1"/>
          </reference>
          <reference field="12" count="1" selected="0">
            <x v="2"/>
          </reference>
        </references>
      </pivotArea>
    </format>
    <format dxfId="2177">
      <pivotArea collapsedLevelsAreSubtotals="1" fieldPosition="0">
        <references count="2">
          <reference field="2" count="1">
            <x v="1"/>
          </reference>
          <reference field="12" count="1" selected="0">
            <x v="3"/>
          </reference>
        </references>
      </pivotArea>
    </format>
    <format dxfId="2176">
      <pivotArea dataOnly="0" labelOnly="1" fieldPosition="0">
        <references count="2">
          <reference field="2" count="1">
            <x v="1"/>
          </reference>
          <reference field="12" count="1" selected="0">
            <x v="3"/>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DA48E9D1-6853-4C38-86AF-C495DB809922}" name="PivotTable5"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A62" firstHeaderRow="1" firstDataRow="1" firstDataCol="0"/>
  <pivotFields count="13">
    <pivotField dataField="1"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numFmtId="166" showAll="0"/>
    <pivotField numFmtId="1" showAll="0"/>
    <pivotField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s>
  <rowItems count="1">
    <i/>
  </rowItems>
  <colItems count="1">
    <i/>
  </colItems>
  <dataFields count="1">
    <dataField name="Count of Reciept no "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4BE7CBB8-C3BB-437A-95F5-D77BD4EF48A1}" name="PivotTable4"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B57"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showAll="0">
      <items count="11">
        <item x="9"/>
        <item x="1"/>
        <item x="3"/>
        <item x="0"/>
        <item x="2"/>
        <item x="6"/>
        <item x="7"/>
        <item x="4"/>
        <item x="5"/>
        <item x="8"/>
        <item t="default"/>
      </items>
    </pivotField>
    <pivotField showAll="0"/>
    <pivotField numFmtId="166" showAll="0"/>
    <pivotField dataField="1" numFmtId="1" showAll="0"/>
    <pivotField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s>
  <rowFields count="1">
    <field x="3"/>
  </rowFields>
  <rowItems count="11">
    <i>
      <x/>
    </i>
    <i>
      <x v="1"/>
    </i>
    <i>
      <x v="2"/>
    </i>
    <i>
      <x v="3"/>
    </i>
    <i>
      <x v="4"/>
    </i>
    <i>
      <x v="5"/>
    </i>
    <i>
      <x v="6"/>
    </i>
    <i>
      <x v="7"/>
    </i>
    <i>
      <x v="8"/>
    </i>
    <i>
      <x v="9"/>
    </i>
    <i t="grand">
      <x/>
    </i>
  </rowItems>
  <colItems count="1">
    <i/>
  </colItems>
  <dataFields count="1">
    <dataField name="Average of Item quantity" fld="6"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BB940009-1B6F-45EB-87AA-B22C9B74FD5A}" name="PivotTable3"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B38"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dataField="1" showAll="0">
      <items count="11">
        <item x="9"/>
        <item x="1"/>
        <item x="3"/>
        <item x="0"/>
        <item x="2"/>
        <item x="6"/>
        <item x="7"/>
        <item x="4"/>
        <item x="5"/>
        <item x="8"/>
        <item t="default"/>
      </items>
    </pivotField>
    <pivotField showAll="0"/>
    <pivotField numFmtId="166" showAll="0"/>
    <pivotField numFmtId="1" showAll="0"/>
    <pivotField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s>
  <rowFields count="1">
    <field x="3"/>
  </rowFields>
  <rowItems count="11">
    <i>
      <x/>
    </i>
    <i>
      <x v="1"/>
    </i>
    <i>
      <x v="2"/>
    </i>
    <i>
      <x v="3"/>
    </i>
    <i>
      <x v="4"/>
    </i>
    <i>
      <x v="5"/>
    </i>
    <i>
      <x v="6"/>
    </i>
    <i>
      <x v="7"/>
    </i>
    <i>
      <x v="8"/>
    </i>
    <i>
      <x v="9"/>
    </i>
    <i t="grand">
      <x/>
    </i>
  </rowItems>
  <colItems count="1">
    <i/>
  </colItems>
  <dataFields count="1">
    <dataField name="Count of Item name" fld="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EAE0FD05-5FA3-4877-892C-A2A42F3129F6}" name="PivotTable2"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B13" firstHeaderRow="1" firstDataRow="1" firstDataCol="1"/>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numFmtId="166" showAll="0"/>
    <pivotField numFmtId="1" showAll="0"/>
    <pivotField dataField="1"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h="1" sd="0" x="0"/>
        <item x="1"/>
        <item h="1" x="2"/>
        <item h="1" x="3"/>
        <item h="1" sd="0" x="4"/>
        <item t="default"/>
      </items>
    </pivotField>
  </pivotFields>
  <rowFields count="2">
    <field x="12"/>
    <field x="11"/>
  </rowFields>
  <rowItems count="6">
    <i>
      <x v="1"/>
    </i>
    <i r="1">
      <x v="1"/>
    </i>
    <i r="1">
      <x v="2"/>
    </i>
    <i r="1">
      <x v="3"/>
    </i>
    <i r="1">
      <x v="4"/>
    </i>
    <i t="grand">
      <x/>
    </i>
  </rowItems>
  <colItems count="1">
    <i/>
  </colItems>
  <dataFields count="1">
    <dataField name="Sum of Item Amount" fld="7" baseField="0" baseItem="0" numFmtId="166"/>
  </dataFields>
  <formats count="12">
    <format dxfId="2048">
      <pivotArea collapsedLevelsAreSubtotals="1" fieldPosition="0">
        <references count="2">
          <reference field="11" count="1">
            <x v="2"/>
          </reference>
          <reference field="12" count="1" selected="0">
            <x v="1"/>
          </reference>
        </references>
      </pivotArea>
    </format>
    <format dxfId="2049">
      <pivotArea dataOnly="0" labelOnly="1" fieldPosition="0">
        <references count="2">
          <reference field="11" count="1">
            <x v="2"/>
          </reference>
          <reference field="12" count="1" selected="0">
            <x v="1"/>
          </reference>
        </references>
      </pivotArea>
    </format>
    <format dxfId="2050">
      <pivotArea collapsedLevelsAreSubtotals="1" fieldPosition="0">
        <references count="2">
          <reference field="11" count="1">
            <x v="2"/>
          </reference>
          <reference field="12" count="1" selected="0">
            <x v="2"/>
          </reference>
        </references>
      </pivotArea>
    </format>
    <format dxfId="2051">
      <pivotArea dataOnly="0" labelOnly="1" fieldPosition="0">
        <references count="2">
          <reference field="11" count="1">
            <x v="2"/>
          </reference>
          <reference field="12" count="1" selected="0">
            <x v="2"/>
          </reference>
        </references>
      </pivotArea>
    </format>
    <format dxfId="2052">
      <pivotArea collapsedLevelsAreSubtotals="1" fieldPosition="0">
        <references count="2">
          <reference field="11" count="1">
            <x v="4"/>
          </reference>
          <reference field="12" count="1" selected="0">
            <x v="3"/>
          </reference>
        </references>
      </pivotArea>
    </format>
    <format dxfId="2053">
      <pivotArea dataOnly="0" labelOnly="1" fieldPosition="0">
        <references count="2">
          <reference field="11" count="1">
            <x v="4"/>
          </reference>
          <reference field="12" count="1" selected="0">
            <x v="3"/>
          </reference>
        </references>
      </pivotArea>
    </format>
    <format dxfId="2054">
      <pivotArea collapsedLevelsAreSubtotals="1" fieldPosition="0">
        <references count="2">
          <reference field="11" count="1">
            <x v="1"/>
          </reference>
          <reference field="12" count="1" selected="0">
            <x v="1"/>
          </reference>
        </references>
      </pivotArea>
    </format>
    <format dxfId="2055">
      <pivotArea dataOnly="0" labelOnly="1" fieldPosition="0">
        <references count="2">
          <reference field="11" count="1">
            <x v="1"/>
          </reference>
          <reference field="12" count="1" selected="0">
            <x v="1"/>
          </reference>
        </references>
      </pivotArea>
    </format>
    <format dxfId="2056">
      <pivotArea collapsedLevelsAreSubtotals="1" fieldPosition="0">
        <references count="2">
          <reference field="11" count="1">
            <x v="4"/>
          </reference>
          <reference field="12" count="1" selected="0">
            <x v="2"/>
          </reference>
        </references>
      </pivotArea>
    </format>
    <format dxfId="2057">
      <pivotArea dataOnly="0" labelOnly="1" fieldPosition="0">
        <references count="2">
          <reference field="11" count="1">
            <x v="4"/>
          </reference>
          <reference field="12" count="1" selected="0">
            <x v="2"/>
          </reference>
        </references>
      </pivotArea>
    </format>
    <format dxfId="2058">
      <pivotArea collapsedLevelsAreSubtotals="1" fieldPosition="0">
        <references count="2">
          <reference field="11" count="1">
            <x v="1"/>
          </reference>
          <reference field="12" count="1" selected="0">
            <x v="3"/>
          </reference>
        </references>
      </pivotArea>
    </format>
    <format dxfId="2059">
      <pivotArea dataOnly="0" labelOnly="1" fieldPosition="0">
        <references count="2">
          <reference field="11" count="1">
            <x v="1"/>
          </reference>
          <reference field="12" count="1" selected="0">
            <x v="3"/>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AC4D5DD2-187A-410F-8D99-7FB1403D9F19}" name="PivotTable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numFmtId="166" showAll="0"/>
    <pivotField numFmtId="1" showAll="0"/>
    <pivotField dataField="1" numFmtId="166" showAll="0"/>
    <pivotField numFmtId="166"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h="1" x="2"/>
        <item h="1" x="3"/>
        <item h="1" x="4"/>
        <item t="default"/>
      </items>
    </pivotField>
  </pivotFields>
  <rowItems count="1">
    <i/>
  </rowItems>
  <colItems count="1">
    <i/>
  </colItems>
  <dataFields count="1">
    <dataField name="Sum of Item Amount" fld="7" baseField="0" baseItem="0" numFmtId="173"/>
  </dataFields>
  <formats count="1">
    <format dxfId="20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7" name="PivotTable5"/>
    <pivotTable tabId="7" name="PivotTable6"/>
    <pivotTable tabId="7" name="PivotTable7"/>
    <pivotTable tabId="7" name="PivotTable8"/>
    <pivotTable tabId="7" name="PivotTable10"/>
    <pivotTable tabId="7" name="PivotTable11"/>
    <pivotTable tabId="7" name="PivotTable12"/>
    <pivotTable tabId="7" name="PivotTable1"/>
    <pivotTable tabId="7" name="PivotTable4"/>
    <pivotTable tabId="7" name="PivotTable2"/>
    <pivotTable tabId="7" name="PivotTable3"/>
  </pivotTables>
  <data>
    <tabular pivotCacheId="1030548728">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2000000}" sourceName="year">
  <pivotTables>
    <pivotTable tabId="14" name="PivotTable7"/>
  </pivotTables>
  <data>
    <tabular pivotCacheId="211962169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type_name" xr10:uid="{2F529882-80C9-4535-8920-530AE691C07E}" sourceName="Ordertype name">
  <pivotTables>
    <pivotTable tabId="36" name="PivotTable6"/>
    <pivotTable tabId="36" name="PivotTable7"/>
    <pivotTable tabId="36" name="PivotTable8"/>
    <pivotTable tabId="36" name="PivotTable9"/>
    <pivotTable tabId="36" name="PivotTable10"/>
    <pivotTable tabId="36" name="PivotTable11"/>
    <pivotTable tabId="36" name="PivotTable12"/>
    <pivotTable tabId="36" name="PivotTable15"/>
    <pivotTable tabId="36" name="PivotTable16"/>
    <pivotTable tabId="36" name="PivotTable18"/>
    <pivotTable tabId="36" name="PivotTable19"/>
    <pivotTable tabId="36" name="PivotTable20"/>
    <pivotTable tabId="36" name="PivotTable21"/>
    <pivotTable tabId="36" name="PivotTable24"/>
    <pivotTable tabId="36" name="PivotTable25"/>
    <pivotTable tabId="36" name="PivotTable26"/>
    <pivotTable tabId="36" name="PivotTable32"/>
  </pivotTables>
  <data>
    <tabular pivotCacheId="1592685491">
      <items count="5">
        <i x="0" s="1"/>
        <i x="1" s="1"/>
        <i x="3" s="1" nd="1"/>
        <i x="2"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6230DA2B-CF72-4089-B07C-075AE36A5134}" sourceName="Day Name">
  <pivotTables>
    <pivotTable tabId="36" name="PivotTable24"/>
  </pivotTables>
  <data>
    <tabular pivotCacheId="1592685491">
      <items count="7">
        <i x="5" s="1"/>
        <i x="6" s="1"/>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3891308-04E5-4AB5-8F7D-0C786EFF8B69}" sourceName="Months (Date )">
  <pivotTables>
    <pivotTable tabId="36" name="PivotTable24"/>
  </pivotTables>
  <data>
    <tabular pivotCacheId="1592685491">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A53B5A22-4D59-439E-B08C-FA451649E23D}" sourceName="Years (Date )">
  <pivotTables>
    <pivotTable tabId="36" name="PivotTable2"/>
    <pivotTable tabId="36" name="PivotTable1"/>
    <pivotTable tabId="36" name="PivotTable10"/>
    <pivotTable tabId="36" name="PivotTable11"/>
    <pivotTable tabId="36" name="PivotTable12"/>
    <pivotTable tabId="36" name="PivotTable13"/>
    <pivotTable tabId="36" name="PivotTable15"/>
    <pivotTable tabId="36" name="PivotTable16"/>
    <pivotTable tabId="36" name="PivotTable18"/>
    <pivotTable tabId="36" name="PivotTable19"/>
    <pivotTable tabId="36" name="PivotTable20"/>
    <pivotTable tabId="36" name="PivotTable21"/>
    <pivotTable tabId="36" name="PivotTable24"/>
    <pivotTable tabId="36" name="PivotTable25"/>
    <pivotTable tabId="36" name="PivotTable26"/>
    <pivotTable tabId="36" name="PivotTable3"/>
    <pivotTable tabId="36" name="PivotTable32"/>
    <pivotTable tabId="36" name="PivotTable4"/>
    <pivotTable tabId="36" name="PivotTable6"/>
    <pivotTable tabId="36" name="PivotTable7"/>
    <pivotTable tabId="36" name="PivotTable8"/>
    <pivotTable tabId="36" name="PivotTable9"/>
    <pivotTable tabId="36" name="PivotTable5"/>
    <pivotTable tabId="36" name="PivotTable33"/>
  </pivotTables>
  <data>
    <tabular pivotCacheId="1592685491">
      <items count="5">
        <i x="1" s="1"/>
        <i x="2"/>
        <i x="3"/>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0000000-0014-0000-FFFF-FFFF01000000}" cache="Slicer_year1"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2000000}"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type name" xr10:uid="{E004AD03-266B-4DAD-971E-B370ED87431A}" cache="Slicer_Ordertype_name" caption="Ordertype name" rowHeight="234950"/>
  <slicer name="Ordertype name 1" xr10:uid="{893E2B39-460D-4A2E-ABE2-4A7318AEDB74}" cache="Slicer_Ordertype_name" caption="Ordertype name" rowHeight="234950"/>
  <slicer name="Day Name" xr10:uid="{2E515012-9D4A-4786-90F2-17AEF78F479D}" cache="Slicer_Day_Name" caption="Day Name" rowHeight="234950"/>
  <slicer name="Months (Date )" xr10:uid="{F8DA5EDE-E9A2-4404-A917-E82A04863921}" cache="Slicer_Months__Date" caption="Months (Date )" rowHeight="234950"/>
  <slicer name="Years (Date ) 1" xr10:uid="{55C4E5B7-396A-45D5-BC5D-709A8D8C6656}" cache="Slicer_Years__Date1" caption="Years (Date )" rowHeight="234950"/>
  <slicer name="Years (Date )" xr10:uid="{100730E4-A8A6-4533-8EDC-0F3C2B2DAE27}" cache="Slicer_Years__Date1" caption="Years (Date )"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 2" xr10:uid="{30097C82-32D4-499D-9F57-F630D862C9FF}" cache="Slicer_Years__Date1" caption="Years (Date )" columnCount="3"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40583E1-F2AF-452E-B7C7-1C5A58A47B44}" name="Table6" displayName="Table6" ref="A3:I181" totalsRowShown="0">
  <autoFilter ref="A3:I181" xr:uid="{C40583E1-F2AF-452E-B7C7-1C5A58A47B44}"/>
  <tableColumns count="9">
    <tableColumn id="1" xr3:uid="{E292433A-1746-45F9-98E4-BBC6D9F45BE0}" name="Reciept no "/>
    <tableColumn id="2" xr3:uid="{908C50B8-2C3D-4E56-889A-1239404F7C5A}" name="Order date " dataDxfId="2277"/>
    <tableColumn id="3" xr3:uid="{149CC6FE-559E-4A3A-A28A-5B50723A09FE}" name="Ordertype name"/>
    <tableColumn id="4" xr3:uid="{947EF690-A0E4-4C16-AF61-F6A73C8310B2}" name="Item name"/>
    <tableColumn id="5" xr3:uid="{F7C0CCA6-6187-4DD4-B52F-B3C744BE3F93}" name="Category name"/>
    <tableColumn id="6" xr3:uid="{8930B384-1E67-405D-A4D4-97D67A6792BA}" name="Selling price"/>
    <tableColumn id="7" xr3:uid="{7B72CEEE-1934-4B4E-B1E9-B97CDDDB5B7B}" name="Item quantity"/>
    <tableColumn id="8" xr3:uid="{6B43A450-9EF3-46D3-86CC-79F873CE2FD9}" name="Total Sales"/>
    <tableColumn id="9" xr3:uid="{1378CDD3-D249-4193-B785-A49F9137C9C6}" name="Sales after Discou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B3B03C-08F3-4E64-BE3A-AE3BC4FC5469}" name="Table7" displayName="Table7" ref="A3:I95" totalsRowShown="0">
  <autoFilter ref="A3:I95" xr:uid="{9AB3B03C-08F3-4E64-BE3A-AE3BC4FC5469}"/>
  <tableColumns count="9">
    <tableColumn id="1" xr3:uid="{84D842ED-C19A-4751-BEF7-33369406EFC3}" name="Reciept no "/>
    <tableColumn id="2" xr3:uid="{B971DC68-4C21-464A-8B4F-84BDF7B7C9F7}" name="Order date " dataDxfId="2276"/>
    <tableColumn id="3" xr3:uid="{1C6DC03E-E6EF-47A8-BDAB-B4EC11B019B2}" name="Ordertype name"/>
    <tableColumn id="4" xr3:uid="{CCC59123-5CEB-4B90-BAF0-9F050C4EBD66}" name="Item name"/>
    <tableColumn id="5" xr3:uid="{CA47D329-F8C7-41A6-9776-145FD2BF3FC0}" name="Category name"/>
    <tableColumn id="6" xr3:uid="{22D7B19B-07BF-4102-BAAD-AC81CA3EAB1E}" name="Selling price"/>
    <tableColumn id="7" xr3:uid="{6C7CC6F2-1ECC-41E6-BE82-F6E3F8DD1345}" name="Item quantity"/>
    <tableColumn id="8" xr3:uid="{ED9B05D2-6329-44AD-9932-E3F53C5CA61B}" name="Total Sales"/>
    <tableColumn id="9" xr3:uid="{7214DF5C-E52B-4114-B613-CA1B70D8E6EA}" name="Sales after Discoun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D4BAD6-51B2-43CC-8926-C8260EC95C92}" name="Table8" displayName="Table8" ref="A3:I94" totalsRowShown="0">
  <autoFilter ref="A3:I94" xr:uid="{62D4BAD6-51B2-43CC-8926-C8260EC95C92}"/>
  <tableColumns count="9">
    <tableColumn id="1" xr3:uid="{7ABC6D07-18A2-4598-936E-37CB27953F07}" name="Reciept no "/>
    <tableColumn id="2" xr3:uid="{FED67963-6954-4E72-9465-ED6D2CEA5E36}" name="Order date " dataDxfId="2275"/>
    <tableColumn id="3" xr3:uid="{F9E28022-D8CB-48A0-B4EF-BEB726DB4123}" name="Ordertype name"/>
    <tableColumn id="4" xr3:uid="{2944C32B-B9BF-4573-98F2-7DF405A39C65}" name="Item name"/>
    <tableColumn id="5" xr3:uid="{82ACFF81-1F01-4924-87FF-B5B062FA4058}" name="Category name"/>
    <tableColumn id="6" xr3:uid="{6241230C-DB1D-441C-802C-93DAAF30FB45}" name="Selling price"/>
    <tableColumn id="7" xr3:uid="{C364341A-EDF3-4A35-A22D-B08D49C9B755}" name="Item quantity"/>
    <tableColumn id="8" xr3:uid="{BC650566-DF4B-4EDB-A727-EB317F0F61E2}" name="Total Sales"/>
    <tableColumn id="9" xr3:uid="{D7CBB4CA-FE26-4C8E-9FBF-133586DEEB90}" name="Sales after Discou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E1A9792-656F-4865-A6DC-CD7119A7ED06}" name="Table9" displayName="Table9" ref="A3:I368" totalsRowShown="0">
  <autoFilter ref="A3:I368" xr:uid="{AE1A9792-656F-4865-A6DC-CD7119A7ED06}"/>
  <tableColumns count="9">
    <tableColumn id="1" xr3:uid="{EEFD1F72-FE19-4076-A35C-9979C55FEDF9}" name="Reciept no "/>
    <tableColumn id="2" xr3:uid="{9F50A73F-805D-4491-81AA-F3A6796DD35E}" name="Order date " dataDxfId="2274"/>
    <tableColumn id="3" xr3:uid="{55C5C900-54A9-4B52-9504-41BB693F0A75}" name="Ordertype name"/>
    <tableColumn id="4" xr3:uid="{EE008BFD-D516-4869-A291-8AD8C1CC33D0}" name="Item name"/>
    <tableColumn id="5" xr3:uid="{D1A203AB-54B8-4938-B0EB-C0835FFB8CA4}" name="Category name"/>
    <tableColumn id="6" xr3:uid="{731E2C75-2624-4C2B-9663-2A49B514FE33}" name="Selling price"/>
    <tableColumn id="7" xr3:uid="{0140D79F-6F18-4771-8899-39B2D563F64F}" name="Item quantity"/>
    <tableColumn id="8" xr3:uid="{B665A807-194A-4734-B502-B232C363ACD2}" name="Total Sales"/>
    <tableColumn id="9" xr3:uid="{AD3171AF-0C54-427D-A81C-88FD46BB489D}" name="Sales after Discount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72A928F-4B23-45BC-8838-8FA599E127F8}" name="Table10" displayName="Table10" ref="A3:I1039" totalsRowShown="0">
  <autoFilter ref="A3:I1039" xr:uid="{972A928F-4B23-45BC-8838-8FA599E127F8}"/>
  <tableColumns count="9">
    <tableColumn id="1" xr3:uid="{F2207B94-16A1-4031-9DFC-C0CB52E50550}" name="Reciept no "/>
    <tableColumn id="2" xr3:uid="{589C4684-B49D-478F-B1C3-B9ED692516A5}" name="Order date " dataDxfId="2273"/>
    <tableColumn id="3" xr3:uid="{CEAB0A81-0A6F-405E-99A0-6ED7F4EFFC2B}" name="Ordertype name"/>
    <tableColumn id="4" xr3:uid="{AB421E88-8328-454A-96D8-74698A157C5F}" name="Item name"/>
    <tableColumn id="5" xr3:uid="{31E1E7D5-8C20-4690-B4A4-85CCADFF57EF}" name="Category name"/>
    <tableColumn id="6" xr3:uid="{608DD472-0727-4F5F-A636-5A44752D3C34}" name="Selling price"/>
    <tableColumn id="7" xr3:uid="{27BB9E18-6C3E-4DFE-BB80-8764029D1E66}" name="Item quantity"/>
    <tableColumn id="8" xr3:uid="{00B1D50B-754B-4EA6-AA63-D0A0ED63E3AC}" name="Total Sales"/>
    <tableColumn id="9" xr3:uid="{75ED18E6-FCEC-4DC3-BB75-AD82CE78E9EF}" name="Sales after Discount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9E1C6DD-A71E-4AF9-A2D2-2D6B6F1FDAB4}" name="Table13" displayName="Table13" ref="A3:I1039" totalsRowShown="0">
  <autoFilter ref="A3:I1039" xr:uid="{39E1C6DD-A71E-4AF9-A2D2-2D6B6F1FDAB4}"/>
  <tableColumns count="9">
    <tableColumn id="1" xr3:uid="{A2A2D435-D4CF-42ED-9D7D-C916BFF6B59D}" name="Reciept no "/>
    <tableColumn id="2" xr3:uid="{1EBCC6B4-0694-4507-81F9-1452F06232D2}" name="Order date " dataDxfId="2272"/>
    <tableColumn id="3" xr3:uid="{3E4BC65B-2B82-4242-BC54-01B043B9B470}" name="Ordertype name"/>
    <tableColumn id="4" xr3:uid="{CA2B35C1-BC13-4C96-87EC-FDF923118B71}" name="Item name"/>
    <tableColumn id="5" xr3:uid="{0BE2BBB9-EA34-47A9-B2D0-117E3382F517}" name="Category name"/>
    <tableColumn id="6" xr3:uid="{3A2760BE-68F9-4DF7-8555-FDEDB8FEED7F}" name="Selling price"/>
    <tableColumn id="7" xr3:uid="{A6623DE5-9150-422A-A3AE-C856EC69C892}" name="Item quantity"/>
    <tableColumn id="8" xr3:uid="{470313CE-57E7-4579-A480-AE0EF0E50A43}" name="Total Sales"/>
    <tableColumn id="9" xr3:uid="{E4A5F621-5DC2-4DCC-92B6-9CE79447CB90}" name="Sales after Discount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B296249-8A82-4204-AAF4-CB57DB7FD18D}" name="Table11" displayName="Table11" ref="B4:H1042" totalsRowShown="0" headerRowDxfId="2271" dataDxfId="2270" tableBorderDxfId="2269">
  <autoFilter ref="B4:H1042" xr:uid="{8B296249-8A82-4204-AAF4-CB57DB7FD18D}"/>
  <tableColumns count="7">
    <tableColumn id="1" xr3:uid="{28AD7FD6-7173-464D-8B96-33AAAAC88662}" name="Reciept no " dataDxfId="2268"/>
    <tableColumn id="2" xr3:uid="{34520197-4703-4A97-A8BC-25C4B52BC89B}" name="Order date " dataDxfId="2267"/>
    <tableColumn id="3" xr3:uid="{4871F520-9613-46F4-B19F-499819F032CD}" name="Ordertype name" dataDxfId="2266"/>
    <tableColumn id="4" xr3:uid="{5F003103-996F-4340-A37C-3C7DA7FED1FD}" name="Item name" dataDxfId="2265"/>
    <tableColumn id="5" xr3:uid="{7A8811E0-EB62-47E4-BF97-BCA53D37F939}" name="Category name" dataDxfId="2264"/>
    <tableColumn id="6" xr3:uid="{FE6A507D-39C9-462C-A49A-1B75A740BACB}" name="Selling price" dataDxfId="2263"/>
    <tableColumn id="7" xr3:uid="{9A102886-2C8F-4D0C-81E7-8A797784E7E0}" name="Item quantity" dataDxfId="226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D47A9D6-310C-49B8-8B5F-C608C8678544}" name="Town_Team" displayName="Town_Team" ref="B4:K1040" totalsRowShown="0" headerRowDxfId="2261" dataDxfId="2260" tableBorderDxfId="2259">
  <autoFilter ref="B4:K1040" xr:uid="{8B296249-8A82-4204-AAF4-CB57DB7FD18D}">
    <filterColumn colId="2">
      <filters>
        <filter val="on"/>
        <filter val="Online Order"/>
        <filter val="website"/>
      </filters>
    </filterColumn>
  </autoFilter>
  <tableColumns count="10">
    <tableColumn id="1" xr3:uid="{4A3D7FA1-833D-4BC6-9482-9BBFC1F08D65}" name="Reciept no " dataDxfId="2258"/>
    <tableColumn id="2" xr3:uid="{FB66C390-F862-4061-8F7D-53AAC9F530C8}" name="Date " dataDxfId="2257"/>
    <tableColumn id="3" xr3:uid="{90EEC8F7-6A93-40B1-8675-479AE6790BA7}" name="Ordertype name" dataDxfId="2256"/>
    <tableColumn id="4" xr3:uid="{AC56845E-75AB-4600-A472-BB22E7354291}" name="Item name" dataDxfId="2255"/>
    <tableColumn id="5" xr3:uid="{03D4D55E-3632-4D67-AFC0-EDC08321F243}" name="Category name" dataDxfId="2254"/>
    <tableColumn id="6" xr3:uid="{EA876B9D-7348-4D8E-8F49-7BAB63BE99DF}" name="Selling price" dataDxfId="2253" dataCellStyle="Comma"/>
    <tableColumn id="7" xr3:uid="{151202D0-04FF-4ABF-8EBC-E24B3A23921B}" name="Item quantity" dataDxfId="2252"/>
    <tableColumn id="8" xr3:uid="{CC271B3F-992F-4C63-AE04-A1492AC15C2A}" name="Item Amount" dataDxfId="2251" dataCellStyle="Comma">
      <calculatedColumnFormula>Town_Team[[#This Row],[Item quantity]]*Town_Team[[#This Row],[Selling price]]</calculatedColumnFormula>
    </tableColumn>
    <tableColumn id="9" xr3:uid="{972C9AA3-A0EE-40AB-AD6F-977F95CB194C}" name="Sales after Discount" dataDxfId="2250" dataCellStyle="Comma">
      <calculatedColumnFormula>IF(Town_Team[[#This Row],[Item name]]=" Jeans - Denim",Town_Team[[#This Row],[Item Amount]]*85%,Town_Team[[#This Row],[Item Amount]])</calculatedColumnFormula>
    </tableColumn>
    <tableColumn id="10" xr3:uid="{6B3175B9-73C1-4F78-BDE6-8F997B800BB1}" name="Day Name" dataDxfId="2184">
      <calculatedColumnFormula>TEXT(Town_Team[[#This Row],[Date ]],"dddd")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A53EAFC-3D14-461D-B5C7-6CE056D6DBED}" sourceName="Date ">
  <pivotTables>
    <pivotTable tabId="36" name="PivotTable10"/>
    <pivotTable tabId="36" name="PivotTable11"/>
    <pivotTable tabId="36" name="PivotTable12"/>
    <pivotTable tabId="36" name="PivotTable19"/>
    <pivotTable tabId="36" name="PivotTable24"/>
    <pivotTable tabId="36" name="PivotTable25"/>
    <pivotTable tabId="36" name="PivotTable26"/>
    <pivotTable tabId="36" name="PivotTable32"/>
  </pivotTables>
  <state minimalRefreshVersion="6" lastRefreshVersion="6" pivotCacheId="1592685491" filterType="unknown">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 xr10:uid="{2ECCEB49-3112-4C13-8FE7-911DA2BE9F19}" cache="NativeTimeline_Date" caption="Date " level="2" selectionLevel="2" scrollPosition="2021-05-19T00:00:00"/>
  <timeline name="Date  1" xr10:uid="{674A0ECB-CF02-47D4-B569-DA422C06CB66}" cache="NativeTimeline_Date" caption="Date " level="2" selectionLevel="2" scrollPosition="2021-05-19T00:00:00"/>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microsoft.com/office/2007/relationships/slicer" Target="../slicers/slicer2.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18" Type="http://schemas.openxmlformats.org/officeDocument/2006/relationships/pivotTable" Target="../pivotTables/pivotTable35.xml"/><Relationship Id="rId26" Type="http://schemas.microsoft.com/office/2007/relationships/slicer" Target="../slicers/slicer4.xml"/><Relationship Id="rId3" Type="http://schemas.openxmlformats.org/officeDocument/2006/relationships/pivotTable" Target="../pivotTables/pivotTable20.xml"/><Relationship Id="rId21" Type="http://schemas.openxmlformats.org/officeDocument/2006/relationships/pivotTable" Target="../pivotTables/pivotTable38.xml"/><Relationship Id="rId7" Type="http://schemas.openxmlformats.org/officeDocument/2006/relationships/pivotTable" Target="../pivotTables/pivotTable24.xml"/><Relationship Id="rId12" Type="http://schemas.openxmlformats.org/officeDocument/2006/relationships/pivotTable" Target="../pivotTables/pivotTable29.xml"/><Relationship Id="rId17" Type="http://schemas.openxmlformats.org/officeDocument/2006/relationships/pivotTable" Target="../pivotTables/pivotTable34.xml"/><Relationship Id="rId25" Type="http://schemas.openxmlformats.org/officeDocument/2006/relationships/drawing" Target="../drawings/drawing7.xml"/><Relationship Id="rId2" Type="http://schemas.openxmlformats.org/officeDocument/2006/relationships/pivotTable" Target="../pivotTables/pivotTable19.xml"/><Relationship Id="rId16" Type="http://schemas.openxmlformats.org/officeDocument/2006/relationships/pivotTable" Target="../pivotTables/pivotTable33.xml"/><Relationship Id="rId20" Type="http://schemas.openxmlformats.org/officeDocument/2006/relationships/pivotTable" Target="../pivotTables/pivotTable37.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24" Type="http://schemas.openxmlformats.org/officeDocument/2006/relationships/pivotTable" Target="../pivotTables/pivotTable41.xml"/><Relationship Id="rId5" Type="http://schemas.openxmlformats.org/officeDocument/2006/relationships/pivotTable" Target="../pivotTables/pivotTable22.xml"/><Relationship Id="rId15" Type="http://schemas.openxmlformats.org/officeDocument/2006/relationships/pivotTable" Target="../pivotTables/pivotTable32.xml"/><Relationship Id="rId23" Type="http://schemas.openxmlformats.org/officeDocument/2006/relationships/pivotTable" Target="../pivotTables/pivotTable40.xml"/><Relationship Id="rId10" Type="http://schemas.openxmlformats.org/officeDocument/2006/relationships/pivotTable" Target="../pivotTables/pivotTable27.xml"/><Relationship Id="rId19" Type="http://schemas.openxmlformats.org/officeDocument/2006/relationships/pivotTable" Target="../pivotTables/pivotTable36.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pivotTable" Target="../pivotTables/pivotTable31.xml"/><Relationship Id="rId22" Type="http://schemas.openxmlformats.org/officeDocument/2006/relationships/pivotTable" Target="../pivotTables/pivotTable39.xml"/><Relationship Id="rId27" Type="http://schemas.microsoft.com/office/2011/relationships/timeline" Target="../timelines/timeline1.xml"/></Relationships>
</file>

<file path=xl/worksheets/_rels/sheet1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sheetPr>
  <dimension ref="B2:D15"/>
  <sheetViews>
    <sheetView topLeftCell="A38" zoomScale="145" zoomScaleNormal="145" workbookViewId="0">
      <selection activeCell="B53" sqref="B53"/>
    </sheetView>
  </sheetViews>
  <sheetFormatPr defaultRowHeight="14.4" x14ac:dyDescent="0.3"/>
  <cols>
    <col min="1" max="1" width="2.5546875" style="2" customWidth="1"/>
    <col min="2" max="2" width="66.33203125" style="2" customWidth="1"/>
    <col min="3" max="16384" width="8.88671875" style="2"/>
  </cols>
  <sheetData>
    <row r="2" spans="2:4" ht="21" x14ac:dyDescent="0.4">
      <c r="B2" s="7" t="s">
        <v>37</v>
      </c>
    </row>
    <row r="3" spans="2:4" ht="27" customHeight="1" x14ac:dyDescent="0.35">
      <c r="B3" s="6" t="s">
        <v>36</v>
      </c>
    </row>
    <row r="4" spans="2:4" ht="28.8" customHeight="1" x14ac:dyDescent="0.35">
      <c r="B4" s="6" t="s">
        <v>47</v>
      </c>
    </row>
    <row r="5" spans="2:4" ht="30" customHeight="1" x14ac:dyDescent="0.35">
      <c r="B5" s="6" t="s">
        <v>48</v>
      </c>
    </row>
    <row r="6" spans="2:4" ht="15.6" x14ac:dyDescent="0.3">
      <c r="B6" s="3"/>
    </row>
    <row r="7" spans="2:4" ht="15.6" x14ac:dyDescent="0.3">
      <c r="B7" s="3" t="s">
        <v>35</v>
      </c>
    </row>
    <row r="8" spans="2:4" ht="15.6" x14ac:dyDescent="0.3">
      <c r="B8" s="5" t="s">
        <v>34</v>
      </c>
      <c r="C8" s="3" t="s">
        <v>33</v>
      </c>
      <c r="D8" s="3"/>
    </row>
    <row r="9" spans="2:4" ht="15.6" x14ac:dyDescent="0.3">
      <c r="B9" s="4" t="s">
        <v>32</v>
      </c>
      <c r="C9" s="3" t="s">
        <v>31</v>
      </c>
      <c r="D9" s="3"/>
    </row>
    <row r="10" spans="2:4" ht="15.6" x14ac:dyDescent="0.3">
      <c r="B10" s="4" t="s">
        <v>3</v>
      </c>
      <c r="C10" s="3" t="s">
        <v>30</v>
      </c>
      <c r="D10" s="3"/>
    </row>
    <row r="11" spans="2:4" ht="15.6" x14ac:dyDescent="0.3">
      <c r="B11" s="4" t="s">
        <v>4</v>
      </c>
      <c r="C11" s="3" t="s">
        <v>29</v>
      </c>
      <c r="D11" s="3"/>
    </row>
    <row r="12" spans="2:4" ht="15.6" x14ac:dyDescent="0.3">
      <c r="B12" s="4" t="s">
        <v>5</v>
      </c>
      <c r="C12" s="3" t="s">
        <v>28</v>
      </c>
      <c r="D12" s="3"/>
    </row>
    <row r="13" spans="2:4" ht="15.6" x14ac:dyDescent="0.3">
      <c r="B13" s="4" t="s">
        <v>6</v>
      </c>
      <c r="C13" s="3" t="s">
        <v>27</v>
      </c>
      <c r="D13" s="3"/>
    </row>
    <row r="14" spans="2:4" ht="15.6" x14ac:dyDescent="0.3">
      <c r="B14" s="4" t="s">
        <v>7</v>
      </c>
      <c r="C14" s="3" t="s">
        <v>26</v>
      </c>
      <c r="D14" s="3"/>
    </row>
    <row r="15" spans="2:4" ht="15.6" x14ac:dyDescent="0.3">
      <c r="B15" s="4" t="s">
        <v>8</v>
      </c>
      <c r="C15" s="3" t="s">
        <v>25</v>
      </c>
      <c r="D1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3:D9"/>
  <sheetViews>
    <sheetView zoomScale="168" zoomScaleNormal="190" workbookViewId="0">
      <selection activeCell="E2" sqref="E2"/>
    </sheetView>
  </sheetViews>
  <sheetFormatPr defaultRowHeight="14.4" x14ac:dyDescent="0.3"/>
  <cols>
    <col min="2" max="2" width="9.33203125" customWidth="1"/>
    <col min="3" max="3" width="35.5546875" bestFit="1" customWidth="1"/>
  </cols>
  <sheetData>
    <row r="3" spans="2:4" x14ac:dyDescent="0.3">
      <c r="B3" s="13">
        <v>1</v>
      </c>
      <c r="C3" s="13" t="s">
        <v>49</v>
      </c>
    </row>
    <row r="4" spans="2:4" x14ac:dyDescent="0.3">
      <c r="B4" s="13">
        <v>2</v>
      </c>
      <c r="C4" s="13" t="s">
        <v>51</v>
      </c>
      <c r="D4" t="s">
        <v>50</v>
      </c>
    </row>
    <row r="5" spans="2:4" x14ac:dyDescent="0.3">
      <c r="B5" s="13">
        <v>3</v>
      </c>
      <c r="C5" s="13" t="s">
        <v>52</v>
      </c>
    </row>
    <row r="6" spans="2:4" x14ac:dyDescent="0.3">
      <c r="B6" s="13">
        <v>4</v>
      </c>
      <c r="C6" s="13" t="s">
        <v>53</v>
      </c>
    </row>
    <row r="7" spans="2:4" x14ac:dyDescent="0.3">
      <c r="B7" s="13">
        <v>5</v>
      </c>
      <c r="C7" s="13" t="s">
        <v>54</v>
      </c>
    </row>
    <row r="8" spans="2:4" x14ac:dyDescent="0.3">
      <c r="B8" s="13"/>
    </row>
    <row r="9" spans="2:4" x14ac:dyDescent="0.3">
      <c r="B9"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03633-AC75-40BB-BFA1-65AAB3B8DC41}">
  <dimension ref="A1:I181"/>
  <sheetViews>
    <sheetView workbookViewId="0">
      <selection activeCell="A3" sqref="A3:I181"/>
    </sheetView>
  </sheetViews>
  <sheetFormatPr defaultRowHeight="14.4" x14ac:dyDescent="0.3"/>
  <cols>
    <col min="1" max="1" width="12.5546875" bestFit="1" customWidth="1"/>
    <col min="2" max="2" width="12.6640625" bestFit="1" customWidth="1"/>
    <col min="3" max="3" width="17.109375" bestFit="1" customWidth="1"/>
    <col min="4" max="4" width="12.6640625" bestFit="1" customWidth="1"/>
    <col min="5" max="5" width="16.109375" bestFit="1" customWidth="1"/>
    <col min="6" max="6" width="13.21875" bestFit="1" customWidth="1"/>
    <col min="7" max="7" width="14.6640625" bestFit="1" customWidth="1"/>
    <col min="8" max="8" width="12.109375" bestFit="1" customWidth="1"/>
    <col min="9" max="9" width="20.6640625" bestFit="1" customWidth="1"/>
  </cols>
  <sheetData>
    <row r="1" spans="1:9" x14ac:dyDescent="0.3">
      <c r="A1" s="25" t="s">
        <v>89</v>
      </c>
    </row>
    <row r="3" spans="1:9" x14ac:dyDescent="0.3">
      <c r="A3" t="s">
        <v>1</v>
      </c>
      <c r="B3" t="s">
        <v>2</v>
      </c>
      <c r="C3" t="s">
        <v>3</v>
      </c>
      <c r="D3" t="s">
        <v>4</v>
      </c>
      <c r="E3" t="s">
        <v>5</v>
      </c>
      <c r="F3" t="s">
        <v>6</v>
      </c>
      <c r="G3" t="s">
        <v>7</v>
      </c>
      <c r="H3" t="s">
        <v>79</v>
      </c>
      <c r="I3" t="s">
        <v>82</v>
      </c>
    </row>
    <row r="4" spans="1:9" x14ac:dyDescent="0.3">
      <c r="A4">
        <v>1031</v>
      </c>
      <c r="B4" s="24">
        <v>44496</v>
      </c>
      <c r="C4" t="s">
        <v>81</v>
      </c>
      <c r="D4" t="s">
        <v>12</v>
      </c>
      <c r="E4" t="s">
        <v>11</v>
      </c>
      <c r="F4">
        <v>900</v>
      </c>
      <c r="G4">
        <v>1</v>
      </c>
      <c r="H4">
        <v>900</v>
      </c>
      <c r="I4">
        <v>765</v>
      </c>
    </row>
    <row r="5" spans="1:9" x14ac:dyDescent="0.3">
      <c r="A5">
        <v>1024</v>
      </c>
      <c r="B5" s="24">
        <v>44489</v>
      </c>
      <c r="C5" t="s">
        <v>80</v>
      </c>
      <c r="D5" t="s">
        <v>12</v>
      </c>
      <c r="E5" t="s">
        <v>11</v>
      </c>
      <c r="F5">
        <v>900</v>
      </c>
      <c r="G5">
        <v>1</v>
      </c>
      <c r="H5">
        <v>900</v>
      </c>
      <c r="I5">
        <v>765</v>
      </c>
    </row>
    <row r="6" spans="1:9" x14ac:dyDescent="0.3">
      <c r="A6">
        <v>1013</v>
      </c>
      <c r="B6" s="24">
        <v>44478</v>
      </c>
      <c r="C6" t="s">
        <v>81</v>
      </c>
      <c r="D6" t="s">
        <v>12</v>
      </c>
      <c r="E6" t="s">
        <v>11</v>
      </c>
      <c r="F6">
        <v>900</v>
      </c>
      <c r="G6">
        <v>1</v>
      </c>
      <c r="H6">
        <v>900</v>
      </c>
      <c r="I6">
        <v>765</v>
      </c>
    </row>
    <row r="7" spans="1:9" x14ac:dyDescent="0.3">
      <c r="A7">
        <v>1012</v>
      </c>
      <c r="B7" s="24">
        <v>44477</v>
      </c>
      <c r="C7" t="s">
        <v>81</v>
      </c>
      <c r="D7" t="s">
        <v>12</v>
      </c>
      <c r="E7" t="s">
        <v>11</v>
      </c>
      <c r="F7">
        <v>900</v>
      </c>
      <c r="G7">
        <v>1</v>
      </c>
      <c r="H7">
        <v>900</v>
      </c>
      <c r="I7">
        <v>765</v>
      </c>
    </row>
    <row r="8" spans="1:9" x14ac:dyDescent="0.3">
      <c r="A8">
        <v>1009</v>
      </c>
      <c r="B8" s="24">
        <v>44474</v>
      </c>
      <c r="C8" t="s">
        <v>81</v>
      </c>
      <c r="D8" t="s">
        <v>12</v>
      </c>
      <c r="E8" t="s">
        <v>11</v>
      </c>
      <c r="F8">
        <v>900</v>
      </c>
      <c r="G8">
        <v>2</v>
      </c>
      <c r="H8">
        <v>1800</v>
      </c>
      <c r="I8">
        <v>1530</v>
      </c>
    </row>
    <row r="9" spans="1:9" x14ac:dyDescent="0.3">
      <c r="A9">
        <v>1003</v>
      </c>
      <c r="B9" s="24">
        <v>44468</v>
      </c>
      <c r="C9" t="s">
        <v>81</v>
      </c>
      <c r="D9" t="s">
        <v>12</v>
      </c>
      <c r="E9" t="s">
        <v>11</v>
      </c>
      <c r="F9">
        <v>900</v>
      </c>
      <c r="G9">
        <v>1</v>
      </c>
      <c r="H9">
        <v>900</v>
      </c>
      <c r="I9">
        <v>765</v>
      </c>
    </row>
    <row r="10" spans="1:9" x14ac:dyDescent="0.3">
      <c r="A10">
        <v>982</v>
      </c>
      <c r="B10" s="24">
        <v>44447</v>
      </c>
      <c r="C10" t="s">
        <v>81</v>
      </c>
      <c r="D10" t="s">
        <v>12</v>
      </c>
      <c r="E10" t="s">
        <v>11</v>
      </c>
      <c r="F10">
        <v>900</v>
      </c>
      <c r="G10">
        <v>1</v>
      </c>
      <c r="H10">
        <v>900</v>
      </c>
      <c r="I10">
        <v>765</v>
      </c>
    </row>
    <row r="11" spans="1:9" x14ac:dyDescent="0.3">
      <c r="A11">
        <v>980</v>
      </c>
      <c r="B11" s="24">
        <v>44445</v>
      </c>
      <c r="C11" t="s">
        <v>81</v>
      </c>
      <c r="D11" t="s">
        <v>12</v>
      </c>
      <c r="E11" t="s">
        <v>11</v>
      </c>
      <c r="F11">
        <v>900</v>
      </c>
      <c r="G11">
        <v>1</v>
      </c>
      <c r="H11">
        <v>900</v>
      </c>
      <c r="I11">
        <v>765</v>
      </c>
    </row>
    <row r="12" spans="1:9" x14ac:dyDescent="0.3">
      <c r="A12">
        <v>976</v>
      </c>
      <c r="B12" s="24">
        <v>44441</v>
      </c>
      <c r="C12" t="s">
        <v>81</v>
      </c>
      <c r="D12" t="s">
        <v>12</v>
      </c>
      <c r="E12" t="s">
        <v>11</v>
      </c>
      <c r="F12">
        <v>900</v>
      </c>
      <c r="G12">
        <v>1</v>
      </c>
      <c r="H12">
        <v>900</v>
      </c>
      <c r="I12">
        <v>765</v>
      </c>
    </row>
    <row r="13" spans="1:9" x14ac:dyDescent="0.3">
      <c r="A13">
        <v>10</v>
      </c>
      <c r="B13" s="24">
        <v>43475</v>
      </c>
      <c r="C13" t="s">
        <v>81</v>
      </c>
      <c r="D13" t="s">
        <v>12</v>
      </c>
      <c r="E13" t="s">
        <v>11</v>
      </c>
      <c r="F13">
        <v>900</v>
      </c>
      <c r="G13">
        <v>1</v>
      </c>
      <c r="H13">
        <v>900</v>
      </c>
      <c r="I13">
        <v>765</v>
      </c>
    </row>
    <row r="14" spans="1:9" x14ac:dyDescent="0.3">
      <c r="A14">
        <v>11</v>
      </c>
      <c r="B14" s="24">
        <v>43476</v>
      </c>
      <c r="C14" t="s">
        <v>80</v>
      </c>
      <c r="D14" t="s">
        <v>12</v>
      </c>
      <c r="E14" t="s">
        <v>11</v>
      </c>
      <c r="F14">
        <v>900</v>
      </c>
      <c r="G14">
        <v>1</v>
      </c>
      <c r="H14">
        <v>900</v>
      </c>
      <c r="I14">
        <v>765</v>
      </c>
    </row>
    <row r="15" spans="1:9" x14ac:dyDescent="0.3">
      <c r="A15">
        <v>12</v>
      </c>
      <c r="B15" s="24">
        <v>43477</v>
      </c>
      <c r="C15" t="s">
        <v>80</v>
      </c>
      <c r="D15" t="s">
        <v>12</v>
      </c>
      <c r="E15" t="s">
        <v>11</v>
      </c>
      <c r="F15">
        <v>900</v>
      </c>
      <c r="G15">
        <v>1</v>
      </c>
      <c r="H15">
        <v>900</v>
      </c>
      <c r="I15">
        <v>765</v>
      </c>
    </row>
    <row r="16" spans="1:9" x14ac:dyDescent="0.3">
      <c r="A16">
        <v>13</v>
      </c>
      <c r="B16" s="24">
        <v>43478</v>
      </c>
      <c r="C16" t="s">
        <v>80</v>
      </c>
      <c r="D16" t="s">
        <v>12</v>
      </c>
      <c r="E16" t="s">
        <v>11</v>
      </c>
      <c r="F16">
        <v>900</v>
      </c>
      <c r="G16">
        <v>2</v>
      </c>
      <c r="H16">
        <v>1800</v>
      </c>
      <c r="I16">
        <v>1530</v>
      </c>
    </row>
    <row r="17" spans="1:9" x14ac:dyDescent="0.3">
      <c r="A17">
        <v>14</v>
      </c>
      <c r="B17" s="24">
        <v>43479</v>
      </c>
      <c r="C17" t="s">
        <v>80</v>
      </c>
      <c r="D17" t="s">
        <v>12</v>
      </c>
      <c r="E17" t="s">
        <v>11</v>
      </c>
      <c r="F17">
        <v>900</v>
      </c>
      <c r="G17">
        <v>1</v>
      </c>
      <c r="H17">
        <v>900</v>
      </c>
      <c r="I17">
        <v>765</v>
      </c>
    </row>
    <row r="18" spans="1:9" x14ac:dyDescent="0.3">
      <c r="A18">
        <v>15</v>
      </c>
      <c r="B18" s="24">
        <v>43480</v>
      </c>
      <c r="C18" t="s">
        <v>80</v>
      </c>
      <c r="D18" t="s">
        <v>12</v>
      </c>
      <c r="E18" t="s">
        <v>11</v>
      </c>
      <c r="F18">
        <v>900</v>
      </c>
      <c r="G18">
        <v>1</v>
      </c>
      <c r="H18">
        <v>900</v>
      </c>
      <c r="I18">
        <v>765</v>
      </c>
    </row>
    <row r="19" spans="1:9" x14ac:dyDescent="0.3">
      <c r="A19">
        <v>965</v>
      </c>
      <c r="B19" s="24">
        <v>44430</v>
      </c>
      <c r="C19" t="s">
        <v>81</v>
      </c>
      <c r="D19" t="s">
        <v>12</v>
      </c>
      <c r="E19" t="s">
        <v>11</v>
      </c>
      <c r="F19">
        <v>900</v>
      </c>
      <c r="G19">
        <v>1</v>
      </c>
      <c r="H19">
        <v>900</v>
      </c>
      <c r="I19">
        <v>765</v>
      </c>
    </row>
    <row r="20" spans="1:9" x14ac:dyDescent="0.3">
      <c r="A20">
        <v>17</v>
      </c>
      <c r="B20" s="24">
        <v>43482</v>
      </c>
      <c r="C20" t="s">
        <v>80</v>
      </c>
      <c r="D20" t="s">
        <v>12</v>
      </c>
      <c r="E20" t="s">
        <v>11</v>
      </c>
      <c r="F20">
        <v>900</v>
      </c>
      <c r="G20">
        <v>1</v>
      </c>
      <c r="H20">
        <v>900</v>
      </c>
      <c r="I20">
        <v>765</v>
      </c>
    </row>
    <row r="21" spans="1:9" x14ac:dyDescent="0.3">
      <c r="A21">
        <v>946</v>
      </c>
      <c r="B21" s="24">
        <v>44411</v>
      </c>
      <c r="C21" t="s">
        <v>81</v>
      </c>
      <c r="D21" t="s">
        <v>12</v>
      </c>
      <c r="E21" t="s">
        <v>11</v>
      </c>
      <c r="F21">
        <v>900</v>
      </c>
      <c r="G21">
        <v>1</v>
      </c>
      <c r="H21">
        <v>900</v>
      </c>
      <c r="I21">
        <v>765</v>
      </c>
    </row>
    <row r="22" spans="1:9" x14ac:dyDescent="0.3">
      <c r="A22">
        <v>939</v>
      </c>
      <c r="B22" s="24">
        <v>44404</v>
      </c>
      <c r="C22" t="s">
        <v>81</v>
      </c>
      <c r="D22" t="s">
        <v>12</v>
      </c>
      <c r="E22" t="s">
        <v>11</v>
      </c>
      <c r="F22">
        <v>900</v>
      </c>
      <c r="G22">
        <v>1</v>
      </c>
      <c r="H22">
        <v>900</v>
      </c>
      <c r="I22">
        <v>765</v>
      </c>
    </row>
    <row r="23" spans="1:9" x14ac:dyDescent="0.3">
      <c r="A23">
        <v>20</v>
      </c>
      <c r="B23" s="24">
        <v>43485</v>
      </c>
      <c r="C23" t="s">
        <v>81</v>
      </c>
      <c r="D23" t="s">
        <v>12</v>
      </c>
      <c r="E23" t="s">
        <v>11</v>
      </c>
      <c r="F23">
        <v>900</v>
      </c>
      <c r="G23">
        <v>1</v>
      </c>
      <c r="H23">
        <v>900</v>
      </c>
      <c r="I23">
        <v>765</v>
      </c>
    </row>
    <row r="24" spans="1:9" x14ac:dyDescent="0.3">
      <c r="A24">
        <v>21</v>
      </c>
      <c r="B24" s="24">
        <v>43486</v>
      </c>
      <c r="C24" t="s">
        <v>81</v>
      </c>
      <c r="D24" t="s">
        <v>12</v>
      </c>
      <c r="E24" t="s">
        <v>11</v>
      </c>
      <c r="F24">
        <v>900</v>
      </c>
      <c r="G24">
        <v>1</v>
      </c>
      <c r="H24">
        <v>900</v>
      </c>
      <c r="I24">
        <v>765</v>
      </c>
    </row>
    <row r="25" spans="1:9" x14ac:dyDescent="0.3">
      <c r="A25">
        <v>928</v>
      </c>
      <c r="B25" s="24">
        <v>44393</v>
      </c>
      <c r="C25" t="s">
        <v>81</v>
      </c>
      <c r="D25" t="s">
        <v>12</v>
      </c>
      <c r="E25" t="s">
        <v>11</v>
      </c>
      <c r="F25">
        <v>900</v>
      </c>
      <c r="G25">
        <v>1</v>
      </c>
      <c r="H25">
        <v>900</v>
      </c>
      <c r="I25">
        <v>765</v>
      </c>
    </row>
    <row r="26" spans="1:9" x14ac:dyDescent="0.3">
      <c r="A26">
        <v>927</v>
      </c>
      <c r="B26" s="24">
        <v>44392</v>
      </c>
      <c r="C26" t="s">
        <v>81</v>
      </c>
      <c r="D26" t="s">
        <v>12</v>
      </c>
      <c r="E26" t="s">
        <v>11</v>
      </c>
      <c r="F26">
        <v>900</v>
      </c>
      <c r="G26">
        <v>1</v>
      </c>
      <c r="H26">
        <v>900</v>
      </c>
      <c r="I26">
        <v>765</v>
      </c>
    </row>
    <row r="27" spans="1:9" x14ac:dyDescent="0.3">
      <c r="A27">
        <v>924</v>
      </c>
      <c r="B27" s="24">
        <v>44389</v>
      </c>
      <c r="C27" t="s">
        <v>81</v>
      </c>
      <c r="D27" t="s">
        <v>12</v>
      </c>
      <c r="E27" t="s">
        <v>11</v>
      </c>
      <c r="F27">
        <v>900</v>
      </c>
      <c r="G27">
        <v>2</v>
      </c>
      <c r="H27">
        <v>1800</v>
      </c>
      <c r="I27">
        <v>1530</v>
      </c>
    </row>
    <row r="28" spans="1:9" x14ac:dyDescent="0.3">
      <c r="A28">
        <v>918</v>
      </c>
      <c r="B28" s="24">
        <v>44383</v>
      </c>
      <c r="C28" t="s">
        <v>81</v>
      </c>
      <c r="D28" t="s">
        <v>12</v>
      </c>
      <c r="E28" t="s">
        <v>11</v>
      </c>
      <c r="F28">
        <v>900</v>
      </c>
      <c r="G28">
        <v>1</v>
      </c>
      <c r="H28">
        <v>900</v>
      </c>
      <c r="I28">
        <v>765</v>
      </c>
    </row>
    <row r="29" spans="1:9" x14ac:dyDescent="0.3">
      <c r="A29">
        <v>26</v>
      </c>
      <c r="B29" s="24">
        <v>43491</v>
      </c>
      <c r="C29" t="s">
        <v>81</v>
      </c>
      <c r="D29" t="s">
        <v>12</v>
      </c>
      <c r="E29" t="s">
        <v>11</v>
      </c>
      <c r="F29">
        <v>900</v>
      </c>
      <c r="G29">
        <v>1</v>
      </c>
      <c r="H29">
        <v>900</v>
      </c>
      <c r="I29">
        <v>765</v>
      </c>
    </row>
    <row r="30" spans="1:9" x14ac:dyDescent="0.3">
      <c r="A30">
        <v>897</v>
      </c>
      <c r="B30" s="24">
        <v>44362</v>
      </c>
      <c r="C30" t="s">
        <v>81</v>
      </c>
      <c r="D30" t="s">
        <v>12</v>
      </c>
      <c r="E30" t="s">
        <v>11</v>
      </c>
      <c r="F30">
        <v>900</v>
      </c>
      <c r="G30">
        <v>1</v>
      </c>
      <c r="H30">
        <v>900</v>
      </c>
      <c r="I30">
        <v>765</v>
      </c>
    </row>
    <row r="31" spans="1:9" x14ac:dyDescent="0.3">
      <c r="A31">
        <v>895</v>
      </c>
      <c r="B31" s="24">
        <v>44360</v>
      </c>
      <c r="C31" t="s">
        <v>81</v>
      </c>
      <c r="D31" t="s">
        <v>12</v>
      </c>
      <c r="E31" t="s">
        <v>11</v>
      </c>
      <c r="F31">
        <v>900</v>
      </c>
      <c r="G31">
        <v>1</v>
      </c>
      <c r="H31">
        <v>900</v>
      </c>
      <c r="I31">
        <v>765</v>
      </c>
    </row>
    <row r="32" spans="1:9" x14ac:dyDescent="0.3">
      <c r="A32">
        <v>891</v>
      </c>
      <c r="B32" s="24">
        <v>44356</v>
      </c>
      <c r="C32" t="s">
        <v>81</v>
      </c>
      <c r="D32" t="s">
        <v>12</v>
      </c>
      <c r="E32" t="s">
        <v>11</v>
      </c>
      <c r="F32">
        <v>900</v>
      </c>
      <c r="G32">
        <v>1</v>
      </c>
      <c r="H32">
        <v>900</v>
      </c>
      <c r="I32">
        <v>765</v>
      </c>
    </row>
    <row r="33" spans="1:9" x14ac:dyDescent="0.3">
      <c r="A33">
        <v>880</v>
      </c>
      <c r="B33" s="24">
        <v>44345</v>
      </c>
      <c r="C33" t="s">
        <v>81</v>
      </c>
      <c r="D33" t="s">
        <v>12</v>
      </c>
      <c r="E33" t="s">
        <v>11</v>
      </c>
      <c r="F33">
        <v>900</v>
      </c>
      <c r="G33">
        <v>1</v>
      </c>
      <c r="H33">
        <v>900</v>
      </c>
      <c r="I33">
        <v>765</v>
      </c>
    </row>
    <row r="34" spans="1:9" x14ac:dyDescent="0.3">
      <c r="A34">
        <v>836</v>
      </c>
      <c r="B34" s="24">
        <v>44301</v>
      </c>
      <c r="C34" t="s">
        <v>81</v>
      </c>
      <c r="D34" t="s">
        <v>12</v>
      </c>
      <c r="E34" t="s">
        <v>11</v>
      </c>
      <c r="F34">
        <v>900</v>
      </c>
      <c r="G34">
        <v>1</v>
      </c>
      <c r="H34">
        <v>900</v>
      </c>
      <c r="I34">
        <v>765</v>
      </c>
    </row>
    <row r="35" spans="1:9" x14ac:dyDescent="0.3">
      <c r="A35">
        <v>824</v>
      </c>
      <c r="B35" s="24">
        <v>44289</v>
      </c>
      <c r="C35" t="s">
        <v>81</v>
      </c>
      <c r="D35" t="s">
        <v>12</v>
      </c>
      <c r="E35" t="s">
        <v>11</v>
      </c>
      <c r="F35">
        <v>900</v>
      </c>
      <c r="G35">
        <v>1</v>
      </c>
      <c r="H35">
        <v>900</v>
      </c>
      <c r="I35">
        <v>765</v>
      </c>
    </row>
    <row r="36" spans="1:9" x14ac:dyDescent="0.3">
      <c r="A36">
        <v>816</v>
      </c>
      <c r="B36" s="24">
        <v>44281</v>
      </c>
      <c r="C36" t="s">
        <v>81</v>
      </c>
      <c r="D36" t="s">
        <v>12</v>
      </c>
      <c r="E36" t="s">
        <v>11</v>
      </c>
      <c r="F36">
        <v>900</v>
      </c>
      <c r="G36">
        <v>1</v>
      </c>
      <c r="H36">
        <v>900</v>
      </c>
      <c r="I36">
        <v>765</v>
      </c>
    </row>
    <row r="37" spans="1:9" x14ac:dyDescent="0.3">
      <c r="A37">
        <v>796</v>
      </c>
      <c r="B37" s="24">
        <v>44261</v>
      </c>
      <c r="C37" t="s">
        <v>81</v>
      </c>
      <c r="D37" t="s">
        <v>12</v>
      </c>
      <c r="E37" t="s">
        <v>11</v>
      </c>
      <c r="F37">
        <v>900</v>
      </c>
      <c r="G37">
        <v>3</v>
      </c>
      <c r="H37">
        <v>2700</v>
      </c>
      <c r="I37">
        <v>2295</v>
      </c>
    </row>
    <row r="38" spans="1:9" x14ac:dyDescent="0.3">
      <c r="A38">
        <v>35</v>
      </c>
      <c r="B38" s="24">
        <v>43500</v>
      </c>
      <c r="C38" t="s">
        <v>81</v>
      </c>
      <c r="D38" t="s">
        <v>12</v>
      </c>
      <c r="E38" t="s">
        <v>11</v>
      </c>
      <c r="F38">
        <v>900</v>
      </c>
      <c r="G38">
        <v>1</v>
      </c>
      <c r="H38">
        <v>900</v>
      </c>
      <c r="I38">
        <v>765</v>
      </c>
    </row>
    <row r="39" spans="1:9" x14ac:dyDescent="0.3">
      <c r="A39">
        <v>36</v>
      </c>
      <c r="B39" s="24">
        <v>43501</v>
      </c>
      <c r="C39" t="s">
        <v>81</v>
      </c>
      <c r="D39" t="s">
        <v>12</v>
      </c>
      <c r="E39" t="s">
        <v>11</v>
      </c>
      <c r="F39">
        <v>900</v>
      </c>
      <c r="G39">
        <v>1</v>
      </c>
      <c r="H39">
        <v>900</v>
      </c>
      <c r="I39">
        <v>765</v>
      </c>
    </row>
    <row r="40" spans="1:9" x14ac:dyDescent="0.3">
      <c r="A40">
        <v>37</v>
      </c>
      <c r="B40" s="24">
        <v>43502</v>
      </c>
      <c r="C40" t="s">
        <v>81</v>
      </c>
      <c r="D40" t="s">
        <v>12</v>
      </c>
      <c r="E40" t="s">
        <v>11</v>
      </c>
      <c r="F40">
        <v>900</v>
      </c>
      <c r="G40">
        <v>1</v>
      </c>
      <c r="H40">
        <v>900</v>
      </c>
      <c r="I40">
        <v>765</v>
      </c>
    </row>
    <row r="41" spans="1:9" x14ac:dyDescent="0.3">
      <c r="A41">
        <v>789</v>
      </c>
      <c r="B41" s="24">
        <v>44254</v>
      </c>
      <c r="C41" t="s">
        <v>81</v>
      </c>
      <c r="D41" t="s">
        <v>12</v>
      </c>
      <c r="E41" t="s">
        <v>11</v>
      </c>
      <c r="F41">
        <v>900</v>
      </c>
      <c r="G41">
        <v>1</v>
      </c>
      <c r="H41">
        <v>900</v>
      </c>
      <c r="I41">
        <v>765</v>
      </c>
    </row>
    <row r="42" spans="1:9" x14ac:dyDescent="0.3">
      <c r="A42">
        <v>781</v>
      </c>
      <c r="B42" s="24">
        <v>44246</v>
      </c>
      <c r="C42" t="s">
        <v>81</v>
      </c>
      <c r="D42" t="s">
        <v>12</v>
      </c>
      <c r="E42" t="s">
        <v>11</v>
      </c>
      <c r="F42">
        <v>900</v>
      </c>
      <c r="G42">
        <v>1</v>
      </c>
      <c r="H42">
        <v>900</v>
      </c>
      <c r="I42">
        <v>765</v>
      </c>
    </row>
    <row r="43" spans="1:9" x14ac:dyDescent="0.3">
      <c r="A43">
        <v>762</v>
      </c>
      <c r="B43" s="24">
        <v>44227</v>
      </c>
      <c r="C43" t="s">
        <v>81</v>
      </c>
      <c r="D43" t="s">
        <v>12</v>
      </c>
      <c r="E43" t="s">
        <v>11</v>
      </c>
      <c r="F43">
        <v>900</v>
      </c>
      <c r="G43">
        <v>1</v>
      </c>
      <c r="H43">
        <v>900</v>
      </c>
      <c r="I43">
        <v>765</v>
      </c>
    </row>
    <row r="44" spans="1:9" x14ac:dyDescent="0.3">
      <c r="A44">
        <v>754</v>
      </c>
      <c r="B44" s="24">
        <v>44219</v>
      </c>
      <c r="C44" t="s">
        <v>81</v>
      </c>
      <c r="D44" t="s">
        <v>12</v>
      </c>
      <c r="E44" t="s">
        <v>11</v>
      </c>
      <c r="F44">
        <v>900</v>
      </c>
      <c r="G44">
        <v>1</v>
      </c>
      <c r="H44">
        <v>900</v>
      </c>
      <c r="I44">
        <v>765</v>
      </c>
    </row>
    <row r="45" spans="1:9" x14ac:dyDescent="0.3">
      <c r="A45">
        <v>713</v>
      </c>
      <c r="B45" s="24">
        <v>44178</v>
      </c>
      <c r="C45" t="s">
        <v>80</v>
      </c>
      <c r="D45" t="s">
        <v>12</v>
      </c>
      <c r="E45" t="s">
        <v>11</v>
      </c>
      <c r="F45">
        <v>900</v>
      </c>
      <c r="G45">
        <v>3</v>
      </c>
      <c r="H45">
        <v>2700</v>
      </c>
      <c r="I45">
        <v>2295</v>
      </c>
    </row>
    <row r="46" spans="1:9" x14ac:dyDescent="0.3">
      <c r="A46">
        <v>710</v>
      </c>
      <c r="B46" s="24">
        <v>44175</v>
      </c>
      <c r="C46" t="s">
        <v>81</v>
      </c>
      <c r="D46" t="s">
        <v>12</v>
      </c>
      <c r="E46" t="s">
        <v>11</v>
      </c>
      <c r="F46">
        <v>900</v>
      </c>
      <c r="G46">
        <v>1</v>
      </c>
      <c r="H46">
        <v>900</v>
      </c>
      <c r="I46">
        <v>765</v>
      </c>
    </row>
    <row r="47" spans="1:9" x14ac:dyDescent="0.3">
      <c r="A47">
        <v>44</v>
      </c>
      <c r="B47" s="24">
        <v>43509</v>
      </c>
      <c r="C47" t="s">
        <v>81</v>
      </c>
      <c r="D47" t="s">
        <v>12</v>
      </c>
      <c r="E47" t="s">
        <v>11</v>
      </c>
      <c r="F47">
        <v>900</v>
      </c>
      <c r="G47">
        <v>1</v>
      </c>
      <c r="H47">
        <v>900</v>
      </c>
      <c r="I47">
        <v>765</v>
      </c>
    </row>
    <row r="48" spans="1:9" x14ac:dyDescent="0.3">
      <c r="A48">
        <v>45</v>
      </c>
      <c r="B48" s="24">
        <v>43510</v>
      </c>
      <c r="C48" t="s">
        <v>81</v>
      </c>
      <c r="D48" t="s">
        <v>12</v>
      </c>
      <c r="E48" t="s">
        <v>11</v>
      </c>
      <c r="F48">
        <v>900</v>
      </c>
      <c r="G48">
        <v>2</v>
      </c>
      <c r="H48">
        <v>1800</v>
      </c>
      <c r="I48">
        <v>1530</v>
      </c>
    </row>
    <row r="49" spans="1:9" x14ac:dyDescent="0.3">
      <c r="A49">
        <v>705</v>
      </c>
      <c r="B49" s="24">
        <v>44170</v>
      </c>
      <c r="C49" t="s">
        <v>81</v>
      </c>
      <c r="D49" t="s">
        <v>12</v>
      </c>
      <c r="E49" t="s">
        <v>11</v>
      </c>
      <c r="F49">
        <v>1100</v>
      </c>
      <c r="G49">
        <v>1</v>
      </c>
      <c r="H49">
        <v>1100</v>
      </c>
      <c r="I49">
        <v>935</v>
      </c>
    </row>
    <row r="50" spans="1:9" x14ac:dyDescent="0.3">
      <c r="A50">
        <v>47</v>
      </c>
      <c r="B50" s="24">
        <v>43512</v>
      </c>
      <c r="C50" t="s">
        <v>81</v>
      </c>
      <c r="D50" t="s">
        <v>12</v>
      </c>
      <c r="E50" t="s">
        <v>11</v>
      </c>
      <c r="F50">
        <v>900</v>
      </c>
      <c r="G50">
        <v>1</v>
      </c>
      <c r="H50">
        <v>900</v>
      </c>
      <c r="I50">
        <v>765</v>
      </c>
    </row>
    <row r="51" spans="1:9" x14ac:dyDescent="0.3">
      <c r="A51">
        <v>702</v>
      </c>
      <c r="B51" s="24">
        <v>44167</v>
      </c>
      <c r="C51" t="s">
        <v>81</v>
      </c>
      <c r="D51" t="s">
        <v>12</v>
      </c>
      <c r="E51" t="s">
        <v>11</v>
      </c>
      <c r="F51">
        <v>900</v>
      </c>
      <c r="G51">
        <v>1</v>
      </c>
      <c r="H51">
        <v>900</v>
      </c>
      <c r="I51">
        <v>765</v>
      </c>
    </row>
    <row r="52" spans="1:9" x14ac:dyDescent="0.3">
      <c r="A52">
        <v>698</v>
      </c>
      <c r="B52" s="24">
        <v>44163</v>
      </c>
      <c r="C52" t="s">
        <v>81</v>
      </c>
      <c r="D52" t="s">
        <v>12</v>
      </c>
      <c r="E52" t="s">
        <v>11</v>
      </c>
      <c r="F52">
        <v>1100</v>
      </c>
      <c r="G52">
        <v>2</v>
      </c>
      <c r="H52">
        <v>2200</v>
      </c>
      <c r="I52">
        <v>1870</v>
      </c>
    </row>
    <row r="53" spans="1:9" x14ac:dyDescent="0.3">
      <c r="A53">
        <v>697</v>
      </c>
      <c r="B53" s="24">
        <v>44162</v>
      </c>
      <c r="C53" t="s">
        <v>81</v>
      </c>
      <c r="D53" t="s">
        <v>12</v>
      </c>
      <c r="E53" t="s">
        <v>11</v>
      </c>
      <c r="F53">
        <v>900</v>
      </c>
      <c r="G53">
        <v>1</v>
      </c>
      <c r="H53">
        <v>900</v>
      </c>
      <c r="I53">
        <v>765</v>
      </c>
    </row>
    <row r="54" spans="1:9" x14ac:dyDescent="0.3">
      <c r="A54">
        <v>695</v>
      </c>
      <c r="B54" s="24">
        <v>44160</v>
      </c>
      <c r="C54" t="s">
        <v>81</v>
      </c>
      <c r="D54" t="s">
        <v>12</v>
      </c>
      <c r="E54" t="s">
        <v>11</v>
      </c>
      <c r="F54">
        <v>1100</v>
      </c>
      <c r="G54">
        <v>1</v>
      </c>
      <c r="H54">
        <v>1100</v>
      </c>
      <c r="I54">
        <v>935</v>
      </c>
    </row>
    <row r="55" spans="1:9" x14ac:dyDescent="0.3">
      <c r="A55">
        <v>694</v>
      </c>
      <c r="B55" s="24">
        <v>44159</v>
      </c>
      <c r="C55" t="s">
        <v>81</v>
      </c>
      <c r="D55" t="s">
        <v>12</v>
      </c>
      <c r="E55" t="s">
        <v>11</v>
      </c>
      <c r="F55">
        <v>900</v>
      </c>
      <c r="G55">
        <v>1</v>
      </c>
      <c r="H55">
        <v>900</v>
      </c>
      <c r="I55">
        <v>765</v>
      </c>
    </row>
    <row r="56" spans="1:9" x14ac:dyDescent="0.3">
      <c r="A56">
        <v>689</v>
      </c>
      <c r="B56" s="24">
        <v>44154</v>
      </c>
      <c r="C56" t="s">
        <v>81</v>
      </c>
      <c r="D56" t="s">
        <v>12</v>
      </c>
      <c r="E56" t="s">
        <v>11</v>
      </c>
      <c r="F56">
        <v>1100</v>
      </c>
      <c r="G56">
        <v>1</v>
      </c>
      <c r="H56">
        <v>1100</v>
      </c>
      <c r="I56">
        <v>935</v>
      </c>
    </row>
    <row r="57" spans="1:9" x14ac:dyDescent="0.3">
      <c r="A57">
        <v>685</v>
      </c>
      <c r="B57" s="24">
        <v>44150</v>
      </c>
      <c r="C57" t="s">
        <v>81</v>
      </c>
      <c r="D57" t="s">
        <v>12</v>
      </c>
      <c r="E57" t="s">
        <v>11</v>
      </c>
      <c r="F57">
        <v>1100</v>
      </c>
      <c r="G57">
        <v>1</v>
      </c>
      <c r="H57">
        <v>1100</v>
      </c>
      <c r="I57">
        <v>935</v>
      </c>
    </row>
    <row r="58" spans="1:9" x14ac:dyDescent="0.3">
      <c r="A58">
        <v>684</v>
      </c>
      <c r="B58" s="24">
        <v>44149</v>
      </c>
      <c r="C58" t="s">
        <v>81</v>
      </c>
      <c r="D58" t="s">
        <v>12</v>
      </c>
      <c r="E58" t="s">
        <v>11</v>
      </c>
      <c r="F58">
        <v>900</v>
      </c>
      <c r="G58">
        <v>1</v>
      </c>
      <c r="H58">
        <v>900</v>
      </c>
      <c r="I58">
        <v>765</v>
      </c>
    </row>
    <row r="59" spans="1:9" x14ac:dyDescent="0.3">
      <c r="A59">
        <v>683</v>
      </c>
      <c r="B59" s="24">
        <v>44148</v>
      </c>
      <c r="C59" t="s">
        <v>81</v>
      </c>
      <c r="D59" t="s">
        <v>12</v>
      </c>
      <c r="E59" t="s">
        <v>11</v>
      </c>
      <c r="F59">
        <v>1100</v>
      </c>
      <c r="G59">
        <v>1</v>
      </c>
      <c r="H59">
        <v>1100</v>
      </c>
      <c r="I59">
        <v>935</v>
      </c>
    </row>
    <row r="60" spans="1:9" x14ac:dyDescent="0.3">
      <c r="A60">
        <v>57</v>
      </c>
      <c r="B60" s="24">
        <v>43522</v>
      </c>
      <c r="C60" t="s">
        <v>81</v>
      </c>
      <c r="D60" t="s">
        <v>12</v>
      </c>
      <c r="E60" t="s">
        <v>11</v>
      </c>
      <c r="F60">
        <v>900</v>
      </c>
      <c r="G60">
        <v>1</v>
      </c>
      <c r="H60">
        <v>900</v>
      </c>
      <c r="I60">
        <v>765</v>
      </c>
    </row>
    <row r="61" spans="1:9" x14ac:dyDescent="0.3">
      <c r="A61">
        <v>682</v>
      </c>
      <c r="B61" s="24">
        <v>44147</v>
      </c>
      <c r="C61" t="s">
        <v>81</v>
      </c>
      <c r="D61" t="s">
        <v>12</v>
      </c>
      <c r="E61" t="s">
        <v>11</v>
      </c>
      <c r="F61">
        <v>900</v>
      </c>
      <c r="G61">
        <v>2</v>
      </c>
      <c r="H61">
        <v>1800</v>
      </c>
      <c r="I61">
        <v>1530</v>
      </c>
    </row>
    <row r="62" spans="1:9" x14ac:dyDescent="0.3">
      <c r="A62">
        <v>681</v>
      </c>
      <c r="B62" s="24">
        <v>44146</v>
      </c>
      <c r="C62" t="s">
        <v>81</v>
      </c>
      <c r="D62" t="s">
        <v>12</v>
      </c>
      <c r="E62" t="s">
        <v>11</v>
      </c>
      <c r="F62">
        <v>900</v>
      </c>
      <c r="G62">
        <v>1</v>
      </c>
      <c r="H62">
        <v>900</v>
      </c>
      <c r="I62">
        <v>765</v>
      </c>
    </row>
    <row r="63" spans="1:9" x14ac:dyDescent="0.3">
      <c r="A63">
        <v>60</v>
      </c>
      <c r="B63" s="24">
        <v>43525</v>
      </c>
      <c r="C63" t="s">
        <v>81</v>
      </c>
      <c r="D63" t="s">
        <v>12</v>
      </c>
      <c r="E63" t="s">
        <v>11</v>
      </c>
      <c r="F63">
        <v>900</v>
      </c>
      <c r="G63">
        <v>1</v>
      </c>
      <c r="H63">
        <v>900</v>
      </c>
      <c r="I63">
        <v>765</v>
      </c>
    </row>
    <row r="64" spans="1:9" x14ac:dyDescent="0.3">
      <c r="A64">
        <v>679</v>
      </c>
      <c r="B64" s="24">
        <v>44144</v>
      </c>
      <c r="C64" t="s">
        <v>81</v>
      </c>
      <c r="D64" t="s">
        <v>12</v>
      </c>
      <c r="E64" t="s">
        <v>11</v>
      </c>
      <c r="F64">
        <v>1100</v>
      </c>
      <c r="G64">
        <v>1</v>
      </c>
      <c r="H64">
        <v>1100</v>
      </c>
      <c r="I64">
        <v>935</v>
      </c>
    </row>
    <row r="65" spans="1:9" x14ac:dyDescent="0.3">
      <c r="A65">
        <v>676</v>
      </c>
      <c r="B65" s="24">
        <v>44141</v>
      </c>
      <c r="C65" t="s">
        <v>81</v>
      </c>
      <c r="D65" t="s">
        <v>12</v>
      </c>
      <c r="E65" t="s">
        <v>11</v>
      </c>
      <c r="F65">
        <v>1100</v>
      </c>
      <c r="G65">
        <v>1</v>
      </c>
      <c r="H65">
        <v>1100</v>
      </c>
      <c r="I65">
        <v>935</v>
      </c>
    </row>
    <row r="66" spans="1:9" x14ac:dyDescent="0.3">
      <c r="A66">
        <v>675</v>
      </c>
      <c r="B66" s="24">
        <v>44140</v>
      </c>
      <c r="C66" t="s">
        <v>81</v>
      </c>
      <c r="D66" t="s">
        <v>12</v>
      </c>
      <c r="E66" t="s">
        <v>11</v>
      </c>
      <c r="F66">
        <v>1100</v>
      </c>
      <c r="G66">
        <v>1</v>
      </c>
      <c r="H66">
        <v>1100</v>
      </c>
      <c r="I66">
        <v>935</v>
      </c>
    </row>
    <row r="67" spans="1:9" x14ac:dyDescent="0.3">
      <c r="A67">
        <v>674</v>
      </c>
      <c r="B67" s="24">
        <v>44139</v>
      </c>
      <c r="C67" t="s">
        <v>81</v>
      </c>
      <c r="D67" t="s">
        <v>12</v>
      </c>
      <c r="E67" t="s">
        <v>11</v>
      </c>
      <c r="F67">
        <v>900</v>
      </c>
      <c r="G67">
        <v>1</v>
      </c>
      <c r="H67">
        <v>900</v>
      </c>
      <c r="I67">
        <v>765</v>
      </c>
    </row>
    <row r="68" spans="1:9" x14ac:dyDescent="0.3">
      <c r="A68">
        <v>65</v>
      </c>
      <c r="B68" s="24">
        <v>43530</v>
      </c>
      <c r="C68" t="s">
        <v>81</v>
      </c>
      <c r="D68" t="s">
        <v>12</v>
      </c>
      <c r="E68" t="s">
        <v>11</v>
      </c>
      <c r="F68">
        <v>900</v>
      </c>
      <c r="G68">
        <v>1</v>
      </c>
      <c r="H68">
        <v>900</v>
      </c>
      <c r="I68">
        <v>765</v>
      </c>
    </row>
    <row r="69" spans="1:9" x14ac:dyDescent="0.3">
      <c r="A69">
        <v>673</v>
      </c>
      <c r="B69" s="24">
        <v>44138</v>
      </c>
      <c r="C69" t="s">
        <v>81</v>
      </c>
      <c r="D69" t="s">
        <v>12</v>
      </c>
      <c r="E69" t="s">
        <v>11</v>
      </c>
      <c r="F69">
        <v>900</v>
      </c>
      <c r="G69">
        <v>1</v>
      </c>
      <c r="H69">
        <v>900</v>
      </c>
      <c r="I69">
        <v>765</v>
      </c>
    </row>
    <row r="70" spans="1:9" x14ac:dyDescent="0.3">
      <c r="A70">
        <v>672</v>
      </c>
      <c r="B70" s="24">
        <v>44137</v>
      </c>
      <c r="C70" t="s">
        <v>81</v>
      </c>
      <c r="D70" t="s">
        <v>12</v>
      </c>
      <c r="E70" t="s">
        <v>11</v>
      </c>
      <c r="F70">
        <v>900</v>
      </c>
      <c r="G70">
        <v>1</v>
      </c>
      <c r="H70">
        <v>900</v>
      </c>
      <c r="I70">
        <v>765</v>
      </c>
    </row>
    <row r="71" spans="1:9" x14ac:dyDescent="0.3">
      <c r="A71">
        <v>666</v>
      </c>
      <c r="B71" s="24">
        <v>44131</v>
      </c>
      <c r="C71" t="s">
        <v>81</v>
      </c>
      <c r="D71" t="s">
        <v>12</v>
      </c>
      <c r="E71" t="s">
        <v>11</v>
      </c>
      <c r="F71">
        <v>1100</v>
      </c>
      <c r="G71">
        <v>1</v>
      </c>
      <c r="H71">
        <v>1100</v>
      </c>
      <c r="I71">
        <v>935</v>
      </c>
    </row>
    <row r="72" spans="1:9" x14ac:dyDescent="0.3">
      <c r="A72">
        <v>665</v>
      </c>
      <c r="B72" s="24">
        <v>44130</v>
      </c>
      <c r="C72" t="s">
        <v>81</v>
      </c>
      <c r="D72" t="s">
        <v>12</v>
      </c>
      <c r="E72" t="s">
        <v>11</v>
      </c>
      <c r="F72">
        <v>1100</v>
      </c>
      <c r="G72">
        <v>1</v>
      </c>
      <c r="H72">
        <v>1100</v>
      </c>
      <c r="I72">
        <v>935</v>
      </c>
    </row>
    <row r="73" spans="1:9" x14ac:dyDescent="0.3">
      <c r="A73">
        <v>663</v>
      </c>
      <c r="B73" s="24">
        <v>44128</v>
      </c>
      <c r="C73" t="s">
        <v>81</v>
      </c>
      <c r="D73" t="s">
        <v>12</v>
      </c>
      <c r="E73" t="s">
        <v>11</v>
      </c>
      <c r="F73">
        <v>900</v>
      </c>
      <c r="G73">
        <v>1</v>
      </c>
      <c r="H73">
        <v>900</v>
      </c>
      <c r="I73">
        <v>765</v>
      </c>
    </row>
    <row r="74" spans="1:9" x14ac:dyDescent="0.3">
      <c r="A74">
        <v>661</v>
      </c>
      <c r="B74" s="24">
        <v>44126</v>
      </c>
      <c r="C74" t="s">
        <v>81</v>
      </c>
      <c r="D74" t="s">
        <v>12</v>
      </c>
      <c r="E74" t="s">
        <v>11</v>
      </c>
      <c r="F74">
        <v>1100</v>
      </c>
      <c r="G74">
        <v>1</v>
      </c>
      <c r="H74">
        <v>1100</v>
      </c>
      <c r="I74">
        <v>935</v>
      </c>
    </row>
    <row r="75" spans="1:9" x14ac:dyDescent="0.3">
      <c r="A75">
        <v>660</v>
      </c>
      <c r="B75" s="24">
        <v>44125</v>
      </c>
      <c r="C75" t="s">
        <v>81</v>
      </c>
      <c r="D75" t="s">
        <v>12</v>
      </c>
      <c r="E75" t="s">
        <v>11</v>
      </c>
      <c r="F75">
        <v>1100</v>
      </c>
      <c r="G75">
        <v>1</v>
      </c>
      <c r="H75">
        <v>1100</v>
      </c>
      <c r="I75">
        <v>935</v>
      </c>
    </row>
    <row r="76" spans="1:9" x14ac:dyDescent="0.3">
      <c r="A76">
        <v>73</v>
      </c>
      <c r="B76" s="24">
        <v>43538</v>
      </c>
      <c r="C76" t="s">
        <v>81</v>
      </c>
      <c r="D76" t="s">
        <v>12</v>
      </c>
      <c r="E76" t="s">
        <v>11</v>
      </c>
      <c r="F76">
        <v>900</v>
      </c>
      <c r="G76">
        <v>1</v>
      </c>
      <c r="H76">
        <v>900</v>
      </c>
      <c r="I76">
        <v>765</v>
      </c>
    </row>
    <row r="77" spans="1:9" x14ac:dyDescent="0.3">
      <c r="A77">
        <v>658</v>
      </c>
      <c r="B77" s="24">
        <v>44123</v>
      </c>
      <c r="C77" t="s">
        <v>81</v>
      </c>
      <c r="D77" t="s">
        <v>12</v>
      </c>
      <c r="E77" t="s">
        <v>11</v>
      </c>
      <c r="F77">
        <v>900</v>
      </c>
      <c r="G77">
        <v>1</v>
      </c>
      <c r="H77">
        <v>900</v>
      </c>
      <c r="I77">
        <v>765</v>
      </c>
    </row>
    <row r="78" spans="1:9" x14ac:dyDescent="0.3">
      <c r="A78">
        <v>657</v>
      </c>
      <c r="B78" s="24">
        <v>44122</v>
      </c>
      <c r="C78" t="s">
        <v>81</v>
      </c>
      <c r="D78" t="s">
        <v>12</v>
      </c>
      <c r="E78" t="s">
        <v>11</v>
      </c>
      <c r="F78">
        <v>900</v>
      </c>
      <c r="G78">
        <v>1</v>
      </c>
      <c r="H78">
        <v>900</v>
      </c>
      <c r="I78">
        <v>765</v>
      </c>
    </row>
    <row r="79" spans="1:9" x14ac:dyDescent="0.3">
      <c r="A79">
        <v>76</v>
      </c>
      <c r="B79" s="24">
        <v>43541</v>
      </c>
      <c r="C79" t="s">
        <v>81</v>
      </c>
      <c r="D79" t="s">
        <v>12</v>
      </c>
      <c r="E79" t="s">
        <v>11</v>
      </c>
      <c r="F79">
        <v>900</v>
      </c>
      <c r="G79">
        <v>3</v>
      </c>
      <c r="H79">
        <v>2700</v>
      </c>
      <c r="I79">
        <v>2295</v>
      </c>
    </row>
    <row r="80" spans="1:9" x14ac:dyDescent="0.3">
      <c r="A80">
        <v>656</v>
      </c>
      <c r="B80" s="24">
        <v>44121</v>
      </c>
      <c r="C80" t="s">
        <v>81</v>
      </c>
      <c r="D80" t="s">
        <v>12</v>
      </c>
      <c r="E80" t="s">
        <v>11</v>
      </c>
      <c r="F80">
        <v>1100</v>
      </c>
      <c r="G80">
        <v>1</v>
      </c>
      <c r="H80">
        <v>1100</v>
      </c>
      <c r="I80">
        <v>935</v>
      </c>
    </row>
    <row r="81" spans="1:9" x14ac:dyDescent="0.3">
      <c r="A81">
        <v>655</v>
      </c>
      <c r="B81" s="24">
        <v>44120</v>
      </c>
      <c r="C81" t="s">
        <v>81</v>
      </c>
      <c r="D81" t="s">
        <v>12</v>
      </c>
      <c r="E81" t="s">
        <v>11</v>
      </c>
      <c r="F81">
        <v>1100</v>
      </c>
      <c r="G81">
        <v>2</v>
      </c>
      <c r="H81">
        <v>2200</v>
      </c>
      <c r="I81">
        <v>1870</v>
      </c>
    </row>
    <row r="82" spans="1:9" x14ac:dyDescent="0.3">
      <c r="A82">
        <v>654</v>
      </c>
      <c r="B82" s="24">
        <v>44119</v>
      </c>
      <c r="C82" t="s">
        <v>81</v>
      </c>
      <c r="D82" t="s">
        <v>12</v>
      </c>
      <c r="E82" t="s">
        <v>11</v>
      </c>
      <c r="F82">
        <v>900</v>
      </c>
      <c r="G82">
        <v>1</v>
      </c>
      <c r="H82">
        <v>900</v>
      </c>
      <c r="I82">
        <v>765</v>
      </c>
    </row>
    <row r="83" spans="1:9" x14ac:dyDescent="0.3">
      <c r="A83">
        <v>653</v>
      </c>
      <c r="B83" s="24">
        <v>44118</v>
      </c>
      <c r="C83" t="s">
        <v>81</v>
      </c>
      <c r="D83" t="s">
        <v>12</v>
      </c>
      <c r="E83" t="s">
        <v>11</v>
      </c>
      <c r="F83">
        <v>1100</v>
      </c>
      <c r="G83">
        <v>1</v>
      </c>
      <c r="H83">
        <v>1100</v>
      </c>
      <c r="I83">
        <v>935</v>
      </c>
    </row>
    <row r="84" spans="1:9" x14ac:dyDescent="0.3">
      <c r="A84">
        <v>652</v>
      </c>
      <c r="B84" s="24">
        <v>44117</v>
      </c>
      <c r="C84" t="s">
        <v>81</v>
      </c>
      <c r="D84" t="s">
        <v>12</v>
      </c>
      <c r="E84" t="s">
        <v>11</v>
      </c>
      <c r="F84">
        <v>900</v>
      </c>
      <c r="G84">
        <v>1</v>
      </c>
      <c r="H84">
        <v>900</v>
      </c>
      <c r="I84">
        <v>765</v>
      </c>
    </row>
    <row r="85" spans="1:9" x14ac:dyDescent="0.3">
      <c r="A85">
        <v>651</v>
      </c>
      <c r="B85" s="24">
        <v>44116</v>
      </c>
      <c r="C85" t="s">
        <v>81</v>
      </c>
      <c r="D85" t="s">
        <v>12</v>
      </c>
      <c r="E85" t="s">
        <v>11</v>
      </c>
      <c r="F85">
        <v>900</v>
      </c>
      <c r="G85">
        <v>1</v>
      </c>
      <c r="H85">
        <v>900</v>
      </c>
      <c r="I85">
        <v>765</v>
      </c>
    </row>
    <row r="86" spans="1:9" x14ac:dyDescent="0.3">
      <c r="A86">
        <v>650</v>
      </c>
      <c r="B86" s="24">
        <v>44115</v>
      </c>
      <c r="C86" t="s">
        <v>81</v>
      </c>
      <c r="D86" t="s">
        <v>12</v>
      </c>
      <c r="E86" t="s">
        <v>11</v>
      </c>
      <c r="F86">
        <v>900</v>
      </c>
      <c r="G86">
        <v>2</v>
      </c>
      <c r="H86">
        <v>1800</v>
      </c>
      <c r="I86">
        <v>1530</v>
      </c>
    </row>
    <row r="87" spans="1:9" x14ac:dyDescent="0.3">
      <c r="A87">
        <v>649</v>
      </c>
      <c r="B87" s="24">
        <v>44114</v>
      </c>
      <c r="C87" t="s">
        <v>81</v>
      </c>
      <c r="D87" t="s">
        <v>12</v>
      </c>
      <c r="E87" t="s">
        <v>11</v>
      </c>
      <c r="F87">
        <v>900</v>
      </c>
      <c r="G87">
        <v>1</v>
      </c>
      <c r="H87">
        <v>900</v>
      </c>
      <c r="I87">
        <v>765</v>
      </c>
    </row>
    <row r="88" spans="1:9" x14ac:dyDescent="0.3">
      <c r="A88">
        <v>648</v>
      </c>
      <c r="B88" s="24">
        <v>44113</v>
      </c>
      <c r="C88" t="s">
        <v>81</v>
      </c>
      <c r="D88" t="s">
        <v>12</v>
      </c>
      <c r="E88" t="s">
        <v>11</v>
      </c>
      <c r="F88">
        <v>900</v>
      </c>
      <c r="G88">
        <v>1</v>
      </c>
      <c r="H88">
        <v>900</v>
      </c>
      <c r="I88">
        <v>765</v>
      </c>
    </row>
    <row r="89" spans="1:9" x14ac:dyDescent="0.3">
      <c r="A89">
        <v>647</v>
      </c>
      <c r="B89" s="24">
        <v>44112</v>
      </c>
      <c r="C89" t="s">
        <v>81</v>
      </c>
      <c r="D89" t="s">
        <v>12</v>
      </c>
      <c r="E89" t="s">
        <v>11</v>
      </c>
      <c r="F89">
        <v>900</v>
      </c>
      <c r="G89">
        <v>1</v>
      </c>
      <c r="H89">
        <v>900</v>
      </c>
      <c r="I89">
        <v>765</v>
      </c>
    </row>
    <row r="90" spans="1:9" x14ac:dyDescent="0.3">
      <c r="A90">
        <v>646</v>
      </c>
      <c r="B90" s="24">
        <v>44111</v>
      </c>
      <c r="C90" t="s">
        <v>81</v>
      </c>
      <c r="D90" t="s">
        <v>12</v>
      </c>
      <c r="E90" t="s">
        <v>11</v>
      </c>
      <c r="F90">
        <v>1100</v>
      </c>
      <c r="G90">
        <v>1</v>
      </c>
      <c r="H90">
        <v>1100</v>
      </c>
      <c r="I90">
        <v>935</v>
      </c>
    </row>
    <row r="91" spans="1:9" x14ac:dyDescent="0.3">
      <c r="A91">
        <v>645</v>
      </c>
      <c r="B91" s="24">
        <v>44110</v>
      </c>
      <c r="C91" t="s">
        <v>81</v>
      </c>
      <c r="D91" t="s">
        <v>12</v>
      </c>
      <c r="E91" t="s">
        <v>11</v>
      </c>
      <c r="F91">
        <v>1100</v>
      </c>
      <c r="G91">
        <v>1</v>
      </c>
      <c r="H91">
        <v>1100</v>
      </c>
      <c r="I91">
        <v>935</v>
      </c>
    </row>
    <row r="92" spans="1:9" x14ac:dyDescent="0.3">
      <c r="A92">
        <v>644</v>
      </c>
      <c r="B92" s="24">
        <v>44109</v>
      </c>
      <c r="C92" t="s">
        <v>81</v>
      </c>
      <c r="D92" t="s">
        <v>12</v>
      </c>
      <c r="E92" t="s">
        <v>11</v>
      </c>
      <c r="F92">
        <v>1100</v>
      </c>
      <c r="G92">
        <v>2</v>
      </c>
      <c r="H92">
        <v>2200</v>
      </c>
      <c r="I92">
        <v>1870</v>
      </c>
    </row>
    <row r="93" spans="1:9" x14ac:dyDescent="0.3">
      <c r="A93">
        <v>643</v>
      </c>
      <c r="B93" s="24">
        <v>44108</v>
      </c>
      <c r="C93" t="s">
        <v>81</v>
      </c>
      <c r="D93" t="s">
        <v>12</v>
      </c>
      <c r="E93" t="s">
        <v>11</v>
      </c>
      <c r="F93">
        <v>1100</v>
      </c>
      <c r="G93">
        <v>1</v>
      </c>
      <c r="H93">
        <v>1100</v>
      </c>
      <c r="I93">
        <v>935</v>
      </c>
    </row>
    <row r="94" spans="1:9" x14ac:dyDescent="0.3">
      <c r="A94">
        <v>642</v>
      </c>
      <c r="B94" s="24">
        <v>44107</v>
      </c>
      <c r="C94" t="s">
        <v>81</v>
      </c>
      <c r="D94" t="s">
        <v>12</v>
      </c>
      <c r="E94" t="s">
        <v>11</v>
      </c>
      <c r="F94">
        <v>1100</v>
      </c>
      <c r="G94">
        <v>1</v>
      </c>
      <c r="H94">
        <v>1100</v>
      </c>
      <c r="I94">
        <v>935</v>
      </c>
    </row>
    <row r="95" spans="1:9" x14ac:dyDescent="0.3">
      <c r="A95">
        <v>641</v>
      </c>
      <c r="B95" s="24">
        <v>44106</v>
      </c>
      <c r="C95" t="s">
        <v>81</v>
      </c>
      <c r="D95" t="s">
        <v>12</v>
      </c>
      <c r="E95" t="s">
        <v>11</v>
      </c>
      <c r="F95">
        <v>1100</v>
      </c>
      <c r="G95">
        <v>1</v>
      </c>
      <c r="H95">
        <v>1100</v>
      </c>
      <c r="I95">
        <v>935</v>
      </c>
    </row>
    <row r="96" spans="1:9" x14ac:dyDescent="0.3">
      <c r="A96">
        <v>640</v>
      </c>
      <c r="B96" s="24">
        <v>44105</v>
      </c>
      <c r="C96" t="s">
        <v>81</v>
      </c>
      <c r="D96" t="s">
        <v>12</v>
      </c>
      <c r="E96" t="s">
        <v>11</v>
      </c>
      <c r="F96">
        <v>1100</v>
      </c>
      <c r="G96">
        <v>1</v>
      </c>
      <c r="H96">
        <v>1100</v>
      </c>
      <c r="I96">
        <v>935</v>
      </c>
    </row>
    <row r="97" spans="1:9" x14ac:dyDescent="0.3">
      <c r="A97">
        <v>639</v>
      </c>
      <c r="B97" s="24">
        <v>44104</v>
      </c>
      <c r="C97" t="s">
        <v>81</v>
      </c>
      <c r="D97" t="s">
        <v>12</v>
      </c>
      <c r="E97" t="s">
        <v>11</v>
      </c>
      <c r="F97">
        <v>1100</v>
      </c>
      <c r="G97">
        <v>1</v>
      </c>
      <c r="H97">
        <v>1100</v>
      </c>
      <c r="I97">
        <v>935</v>
      </c>
    </row>
    <row r="98" spans="1:9" x14ac:dyDescent="0.3">
      <c r="A98">
        <v>638</v>
      </c>
      <c r="B98" s="24">
        <v>44103</v>
      </c>
      <c r="C98" t="s">
        <v>81</v>
      </c>
      <c r="D98" t="s">
        <v>12</v>
      </c>
      <c r="E98" t="s">
        <v>11</v>
      </c>
      <c r="F98">
        <v>1100</v>
      </c>
      <c r="G98">
        <v>1</v>
      </c>
      <c r="H98">
        <v>1100</v>
      </c>
      <c r="I98">
        <v>935</v>
      </c>
    </row>
    <row r="99" spans="1:9" x14ac:dyDescent="0.3">
      <c r="A99">
        <v>629</v>
      </c>
      <c r="B99" s="24">
        <v>44094</v>
      </c>
      <c r="C99" t="s">
        <v>81</v>
      </c>
      <c r="D99" t="s">
        <v>12</v>
      </c>
      <c r="E99" t="s">
        <v>11</v>
      </c>
      <c r="F99">
        <v>1100</v>
      </c>
      <c r="G99">
        <v>1</v>
      </c>
      <c r="H99">
        <v>1100</v>
      </c>
      <c r="I99">
        <v>935</v>
      </c>
    </row>
    <row r="100" spans="1:9" x14ac:dyDescent="0.3">
      <c r="A100">
        <v>625</v>
      </c>
      <c r="B100" s="24">
        <v>44090</v>
      </c>
      <c r="C100" t="s">
        <v>81</v>
      </c>
      <c r="D100" t="s">
        <v>12</v>
      </c>
      <c r="E100" t="s">
        <v>11</v>
      </c>
      <c r="F100">
        <v>1100</v>
      </c>
      <c r="G100">
        <v>1</v>
      </c>
      <c r="H100">
        <v>1100</v>
      </c>
      <c r="I100">
        <v>935</v>
      </c>
    </row>
    <row r="101" spans="1:9" x14ac:dyDescent="0.3">
      <c r="A101">
        <v>624</v>
      </c>
      <c r="B101" s="24">
        <v>44089</v>
      </c>
      <c r="C101" t="s">
        <v>81</v>
      </c>
      <c r="D101" t="s">
        <v>12</v>
      </c>
      <c r="E101" t="s">
        <v>11</v>
      </c>
      <c r="F101">
        <v>1100</v>
      </c>
      <c r="G101">
        <v>1</v>
      </c>
      <c r="H101">
        <v>1100</v>
      </c>
      <c r="I101">
        <v>935</v>
      </c>
    </row>
    <row r="102" spans="1:9" x14ac:dyDescent="0.3">
      <c r="A102">
        <v>623</v>
      </c>
      <c r="B102" s="24">
        <v>44088</v>
      </c>
      <c r="C102" t="s">
        <v>81</v>
      </c>
      <c r="D102" t="s">
        <v>12</v>
      </c>
      <c r="E102" t="s">
        <v>11</v>
      </c>
      <c r="F102">
        <v>1100</v>
      </c>
      <c r="G102">
        <v>1</v>
      </c>
      <c r="H102">
        <v>1100</v>
      </c>
      <c r="I102">
        <v>935</v>
      </c>
    </row>
    <row r="103" spans="1:9" x14ac:dyDescent="0.3">
      <c r="A103">
        <v>621</v>
      </c>
      <c r="B103" s="24">
        <v>44086</v>
      </c>
      <c r="C103" t="s">
        <v>81</v>
      </c>
      <c r="D103" t="s">
        <v>12</v>
      </c>
      <c r="E103" t="s">
        <v>11</v>
      </c>
      <c r="F103">
        <v>1100</v>
      </c>
      <c r="G103">
        <v>1</v>
      </c>
      <c r="H103">
        <v>1100</v>
      </c>
      <c r="I103">
        <v>935</v>
      </c>
    </row>
    <row r="104" spans="1:9" x14ac:dyDescent="0.3">
      <c r="A104">
        <v>617</v>
      </c>
      <c r="B104" s="24">
        <v>44082</v>
      </c>
      <c r="C104" t="s">
        <v>81</v>
      </c>
      <c r="D104" t="s">
        <v>12</v>
      </c>
      <c r="E104" t="s">
        <v>11</v>
      </c>
      <c r="F104">
        <v>900</v>
      </c>
      <c r="G104">
        <v>3</v>
      </c>
      <c r="H104">
        <v>2700</v>
      </c>
      <c r="I104">
        <v>2295</v>
      </c>
    </row>
    <row r="105" spans="1:9" x14ac:dyDescent="0.3">
      <c r="A105">
        <v>614</v>
      </c>
      <c r="B105" s="24">
        <v>44079</v>
      </c>
      <c r="C105" t="s">
        <v>81</v>
      </c>
      <c r="D105" t="s">
        <v>12</v>
      </c>
      <c r="E105" t="s">
        <v>11</v>
      </c>
      <c r="F105">
        <v>900</v>
      </c>
      <c r="G105">
        <v>1</v>
      </c>
      <c r="H105">
        <v>900</v>
      </c>
      <c r="I105">
        <v>765</v>
      </c>
    </row>
    <row r="106" spans="1:9" x14ac:dyDescent="0.3">
      <c r="A106">
        <v>612</v>
      </c>
      <c r="B106" s="24">
        <v>44077</v>
      </c>
      <c r="C106" t="s">
        <v>81</v>
      </c>
      <c r="D106" t="s">
        <v>12</v>
      </c>
      <c r="E106" t="s">
        <v>11</v>
      </c>
      <c r="F106">
        <v>1100</v>
      </c>
      <c r="G106">
        <v>1</v>
      </c>
      <c r="H106">
        <v>1100</v>
      </c>
      <c r="I106">
        <v>935</v>
      </c>
    </row>
    <row r="107" spans="1:9" x14ac:dyDescent="0.3">
      <c r="A107">
        <v>611</v>
      </c>
      <c r="B107" s="24">
        <v>44076</v>
      </c>
      <c r="C107" t="s">
        <v>81</v>
      </c>
      <c r="D107" t="s">
        <v>12</v>
      </c>
      <c r="E107" t="s">
        <v>11</v>
      </c>
      <c r="F107">
        <v>1100</v>
      </c>
      <c r="G107">
        <v>2</v>
      </c>
      <c r="H107">
        <v>2200</v>
      </c>
      <c r="I107">
        <v>1870</v>
      </c>
    </row>
    <row r="108" spans="1:9" x14ac:dyDescent="0.3">
      <c r="A108">
        <v>609</v>
      </c>
      <c r="B108" s="24">
        <v>44074</v>
      </c>
      <c r="C108" t="s">
        <v>81</v>
      </c>
      <c r="D108" t="s">
        <v>12</v>
      </c>
      <c r="E108" t="s">
        <v>11</v>
      </c>
      <c r="F108">
        <v>1100</v>
      </c>
      <c r="G108">
        <v>1</v>
      </c>
      <c r="H108">
        <v>1100</v>
      </c>
      <c r="I108">
        <v>935</v>
      </c>
    </row>
    <row r="109" spans="1:9" x14ac:dyDescent="0.3">
      <c r="A109">
        <v>606</v>
      </c>
      <c r="B109" s="24">
        <v>44071</v>
      </c>
      <c r="C109" t="s">
        <v>81</v>
      </c>
      <c r="D109" t="s">
        <v>12</v>
      </c>
      <c r="E109" t="s">
        <v>11</v>
      </c>
      <c r="F109">
        <v>900</v>
      </c>
      <c r="G109">
        <v>1</v>
      </c>
      <c r="H109">
        <v>900</v>
      </c>
      <c r="I109">
        <v>765</v>
      </c>
    </row>
    <row r="110" spans="1:9" x14ac:dyDescent="0.3">
      <c r="A110">
        <v>602</v>
      </c>
      <c r="B110" s="24">
        <v>44067</v>
      </c>
      <c r="C110" t="s">
        <v>81</v>
      </c>
      <c r="D110" t="s">
        <v>12</v>
      </c>
      <c r="E110" t="s">
        <v>11</v>
      </c>
      <c r="F110">
        <v>1100</v>
      </c>
      <c r="G110">
        <v>2</v>
      </c>
      <c r="H110">
        <v>2200</v>
      </c>
      <c r="I110">
        <v>1870</v>
      </c>
    </row>
    <row r="111" spans="1:9" x14ac:dyDescent="0.3">
      <c r="A111">
        <v>601</v>
      </c>
      <c r="B111" s="24">
        <v>44066</v>
      </c>
      <c r="C111" t="s">
        <v>81</v>
      </c>
      <c r="D111" t="s">
        <v>12</v>
      </c>
      <c r="E111" t="s">
        <v>11</v>
      </c>
      <c r="F111">
        <v>900</v>
      </c>
      <c r="G111">
        <v>1</v>
      </c>
      <c r="H111">
        <v>900</v>
      </c>
      <c r="I111">
        <v>765</v>
      </c>
    </row>
    <row r="112" spans="1:9" x14ac:dyDescent="0.3">
      <c r="A112">
        <v>599</v>
      </c>
      <c r="B112" s="24">
        <v>44064</v>
      </c>
      <c r="C112" t="s">
        <v>81</v>
      </c>
      <c r="D112" t="s">
        <v>12</v>
      </c>
      <c r="E112" t="s">
        <v>11</v>
      </c>
      <c r="F112">
        <v>1100</v>
      </c>
      <c r="G112">
        <v>1</v>
      </c>
      <c r="H112">
        <v>1100</v>
      </c>
      <c r="I112">
        <v>935</v>
      </c>
    </row>
    <row r="113" spans="1:9" x14ac:dyDescent="0.3">
      <c r="A113">
        <v>598</v>
      </c>
      <c r="B113" s="24">
        <v>44063</v>
      </c>
      <c r="C113" t="s">
        <v>81</v>
      </c>
      <c r="D113" t="s">
        <v>12</v>
      </c>
      <c r="E113" t="s">
        <v>11</v>
      </c>
      <c r="F113">
        <v>900</v>
      </c>
      <c r="G113">
        <v>1</v>
      </c>
      <c r="H113">
        <v>900</v>
      </c>
      <c r="I113">
        <v>765</v>
      </c>
    </row>
    <row r="114" spans="1:9" x14ac:dyDescent="0.3">
      <c r="A114">
        <v>593</v>
      </c>
      <c r="B114" s="24">
        <v>44058</v>
      </c>
      <c r="C114" t="s">
        <v>81</v>
      </c>
      <c r="D114" t="s">
        <v>12</v>
      </c>
      <c r="E114" t="s">
        <v>11</v>
      </c>
      <c r="F114">
        <v>1100</v>
      </c>
      <c r="G114">
        <v>1</v>
      </c>
      <c r="H114">
        <v>1100</v>
      </c>
      <c r="I114">
        <v>935</v>
      </c>
    </row>
    <row r="115" spans="1:9" x14ac:dyDescent="0.3">
      <c r="A115">
        <v>589</v>
      </c>
      <c r="B115" s="24">
        <v>44054</v>
      </c>
      <c r="C115" t="s">
        <v>81</v>
      </c>
      <c r="D115" t="s">
        <v>12</v>
      </c>
      <c r="E115" t="s">
        <v>11</v>
      </c>
      <c r="F115">
        <v>1100</v>
      </c>
      <c r="G115">
        <v>1</v>
      </c>
      <c r="H115">
        <v>1100</v>
      </c>
      <c r="I115">
        <v>935</v>
      </c>
    </row>
    <row r="116" spans="1:9" x14ac:dyDescent="0.3">
      <c r="A116">
        <v>588</v>
      </c>
      <c r="B116" s="24">
        <v>44053</v>
      </c>
      <c r="C116" t="s">
        <v>81</v>
      </c>
      <c r="D116" t="s">
        <v>12</v>
      </c>
      <c r="E116" t="s">
        <v>11</v>
      </c>
      <c r="F116">
        <v>900</v>
      </c>
      <c r="G116">
        <v>1</v>
      </c>
      <c r="H116">
        <v>900</v>
      </c>
      <c r="I116">
        <v>765</v>
      </c>
    </row>
    <row r="117" spans="1:9" x14ac:dyDescent="0.3">
      <c r="A117">
        <v>587</v>
      </c>
      <c r="B117" s="24">
        <v>44052</v>
      </c>
      <c r="C117" t="s">
        <v>81</v>
      </c>
      <c r="D117" t="s">
        <v>12</v>
      </c>
      <c r="E117" t="s">
        <v>11</v>
      </c>
      <c r="F117">
        <v>1100</v>
      </c>
      <c r="G117">
        <v>1</v>
      </c>
      <c r="H117">
        <v>1100</v>
      </c>
      <c r="I117">
        <v>935</v>
      </c>
    </row>
    <row r="118" spans="1:9" x14ac:dyDescent="0.3">
      <c r="A118">
        <v>586</v>
      </c>
      <c r="B118" s="24">
        <v>44051</v>
      </c>
      <c r="C118" t="s">
        <v>81</v>
      </c>
      <c r="D118" t="s">
        <v>12</v>
      </c>
      <c r="E118" t="s">
        <v>11</v>
      </c>
      <c r="F118">
        <v>900</v>
      </c>
      <c r="G118">
        <v>2</v>
      </c>
      <c r="H118">
        <v>1800</v>
      </c>
      <c r="I118">
        <v>1530</v>
      </c>
    </row>
    <row r="119" spans="1:9" x14ac:dyDescent="0.3">
      <c r="A119">
        <v>585</v>
      </c>
      <c r="B119" s="24">
        <v>44050</v>
      </c>
      <c r="C119" t="s">
        <v>81</v>
      </c>
      <c r="D119" t="s">
        <v>12</v>
      </c>
      <c r="E119" t="s">
        <v>11</v>
      </c>
      <c r="F119">
        <v>900</v>
      </c>
      <c r="G119">
        <v>1</v>
      </c>
      <c r="H119">
        <v>900</v>
      </c>
      <c r="I119">
        <v>765</v>
      </c>
    </row>
    <row r="120" spans="1:9" x14ac:dyDescent="0.3">
      <c r="A120">
        <v>117</v>
      </c>
      <c r="B120" s="24">
        <v>43582</v>
      </c>
      <c r="C120" t="s">
        <v>81</v>
      </c>
      <c r="D120" t="s">
        <v>12</v>
      </c>
      <c r="E120" t="s">
        <v>11</v>
      </c>
      <c r="F120">
        <v>900</v>
      </c>
      <c r="G120">
        <v>1</v>
      </c>
      <c r="H120">
        <v>900</v>
      </c>
      <c r="I120">
        <v>765</v>
      </c>
    </row>
    <row r="121" spans="1:9" x14ac:dyDescent="0.3">
      <c r="A121">
        <v>583</v>
      </c>
      <c r="B121" s="24">
        <v>44048</v>
      </c>
      <c r="C121" t="s">
        <v>81</v>
      </c>
      <c r="D121" t="s">
        <v>12</v>
      </c>
      <c r="E121" t="s">
        <v>11</v>
      </c>
      <c r="F121">
        <v>1100</v>
      </c>
      <c r="G121">
        <v>1</v>
      </c>
      <c r="H121">
        <v>1100</v>
      </c>
      <c r="I121">
        <v>935</v>
      </c>
    </row>
    <row r="122" spans="1:9" x14ac:dyDescent="0.3">
      <c r="A122">
        <v>580</v>
      </c>
      <c r="B122" s="24">
        <v>44045</v>
      </c>
      <c r="C122" t="s">
        <v>81</v>
      </c>
      <c r="D122" t="s">
        <v>12</v>
      </c>
      <c r="E122" t="s">
        <v>11</v>
      </c>
      <c r="F122">
        <v>1100</v>
      </c>
      <c r="G122">
        <v>1</v>
      </c>
      <c r="H122">
        <v>1100</v>
      </c>
      <c r="I122">
        <v>935</v>
      </c>
    </row>
    <row r="123" spans="1:9" x14ac:dyDescent="0.3">
      <c r="A123">
        <v>579</v>
      </c>
      <c r="B123" s="24">
        <v>44044</v>
      </c>
      <c r="C123" t="s">
        <v>81</v>
      </c>
      <c r="D123" t="s">
        <v>12</v>
      </c>
      <c r="E123" t="s">
        <v>11</v>
      </c>
      <c r="F123">
        <v>1100</v>
      </c>
      <c r="G123">
        <v>1</v>
      </c>
      <c r="H123">
        <v>1100</v>
      </c>
      <c r="I123">
        <v>935</v>
      </c>
    </row>
    <row r="124" spans="1:9" x14ac:dyDescent="0.3">
      <c r="A124">
        <v>578</v>
      </c>
      <c r="B124" s="24">
        <v>44043</v>
      </c>
      <c r="C124" t="s">
        <v>81</v>
      </c>
      <c r="D124" t="s">
        <v>12</v>
      </c>
      <c r="E124" t="s">
        <v>11</v>
      </c>
      <c r="F124">
        <v>900</v>
      </c>
      <c r="G124">
        <v>1</v>
      </c>
      <c r="H124">
        <v>900</v>
      </c>
      <c r="I124">
        <v>765</v>
      </c>
    </row>
    <row r="125" spans="1:9" x14ac:dyDescent="0.3">
      <c r="A125">
        <v>577</v>
      </c>
      <c r="B125" s="24">
        <v>44042</v>
      </c>
      <c r="C125" t="s">
        <v>81</v>
      </c>
      <c r="D125" t="s">
        <v>12</v>
      </c>
      <c r="E125" t="s">
        <v>11</v>
      </c>
      <c r="F125">
        <v>900</v>
      </c>
      <c r="G125">
        <v>1</v>
      </c>
      <c r="H125">
        <v>900</v>
      </c>
      <c r="I125">
        <v>765</v>
      </c>
    </row>
    <row r="126" spans="1:9" x14ac:dyDescent="0.3">
      <c r="A126">
        <v>576</v>
      </c>
      <c r="B126" s="24">
        <v>44041</v>
      </c>
      <c r="C126" t="s">
        <v>81</v>
      </c>
      <c r="D126" t="s">
        <v>12</v>
      </c>
      <c r="E126" t="s">
        <v>11</v>
      </c>
      <c r="F126">
        <v>900</v>
      </c>
      <c r="G126">
        <v>1</v>
      </c>
      <c r="H126">
        <v>900</v>
      </c>
      <c r="I126">
        <v>765</v>
      </c>
    </row>
    <row r="127" spans="1:9" x14ac:dyDescent="0.3">
      <c r="A127">
        <v>570</v>
      </c>
      <c r="B127" s="24">
        <v>44035</v>
      </c>
      <c r="C127" t="s">
        <v>81</v>
      </c>
      <c r="D127" t="s">
        <v>12</v>
      </c>
      <c r="E127" t="s">
        <v>11</v>
      </c>
      <c r="F127">
        <v>1100</v>
      </c>
      <c r="G127">
        <v>1</v>
      </c>
      <c r="H127">
        <v>1100</v>
      </c>
      <c r="I127">
        <v>935</v>
      </c>
    </row>
    <row r="128" spans="1:9" x14ac:dyDescent="0.3">
      <c r="A128">
        <v>125</v>
      </c>
      <c r="B128" s="24">
        <v>43590</v>
      </c>
      <c r="C128" t="s">
        <v>81</v>
      </c>
      <c r="D128" t="s">
        <v>12</v>
      </c>
      <c r="E128" t="s">
        <v>11</v>
      </c>
      <c r="F128">
        <v>900</v>
      </c>
      <c r="G128">
        <v>1</v>
      </c>
      <c r="H128">
        <v>900</v>
      </c>
      <c r="I128">
        <v>765</v>
      </c>
    </row>
    <row r="129" spans="1:9" x14ac:dyDescent="0.3">
      <c r="A129">
        <v>569</v>
      </c>
      <c r="B129" s="24">
        <v>44034</v>
      </c>
      <c r="C129" t="s">
        <v>81</v>
      </c>
      <c r="D129" t="s">
        <v>12</v>
      </c>
      <c r="E129" t="s">
        <v>11</v>
      </c>
      <c r="F129">
        <v>1100</v>
      </c>
      <c r="G129">
        <v>1</v>
      </c>
      <c r="H129">
        <v>1100</v>
      </c>
      <c r="I129">
        <v>935</v>
      </c>
    </row>
    <row r="130" spans="1:9" x14ac:dyDescent="0.3">
      <c r="A130">
        <v>567</v>
      </c>
      <c r="B130" s="24">
        <v>44032</v>
      </c>
      <c r="C130" t="s">
        <v>81</v>
      </c>
      <c r="D130" t="s">
        <v>12</v>
      </c>
      <c r="E130" t="s">
        <v>11</v>
      </c>
      <c r="F130">
        <v>900</v>
      </c>
      <c r="G130">
        <v>1</v>
      </c>
      <c r="H130">
        <v>900</v>
      </c>
      <c r="I130">
        <v>765</v>
      </c>
    </row>
    <row r="131" spans="1:9" x14ac:dyDescent="0.3">
      <c r="A131">
        <v>565</v>
      </c>
      <c r="B131" s="24">
        <v>44030</v>
      </c>
      <c r="C131" t="s">
        <v>80</v>
      </c>
      <c r="D131" t="s">
        <v>12</v>
      </c>
      <c r="E131" t="s">
        <v>11</v>
      </c>
      <c r="F131">
        <v>1100</v>
      </c>
      <c r="G131">
        <v>1</v>
      </c>
      <c r="H131">
        <v>1100</v>
      </c>
      <c r="I131">
        <v>935</v>
      </c>
    </row>
    <row r="132" spans="1:9" x14ac:dyDescent="0.3">
      <c r="A132">
        <v>564</v>
      </c>
      <c r="B132" s="24">
        <v>44029</v>
      </c>
      <c r="C132" t="s">
        <v>80</v>
      </c>
      <c r="D132" t="s">
        <v>12</v>
      </c>
      <c r="E132" t="s">
        <v>11</v>
      </c>
      <c r="F132">
        <v>1100</v>
      </c>
      <c r="G132">
        <v>1</v>
      </c>
      <c r="H132">
        <v>1100</v>
      </c>
      <c r="I132">
        <v>935</v>
      </c>
    </row>
    <row r="133" spans="1:9" x14ac:dyDescent="0.3">
      <c r="A133">
        <v>562</v>
      </c>
      <c r="B133" s="24">
        <v>44027</v>
      </c>
      <c r="C133" t="s">
        <v>80</v>
      </c>
      <c r="D133" t="s">
        <v>12</v>
      </c>
      <c r="E133" t="s">
        <v>11</v>
      </c>
      <c r="F133">
        <v>900</v>
      </c>
      <c r="G133">
        <v>1</v>
      </c>
      <c r="H133">
        <v>900</v>
      </c>
      <c r="I133">
        <v>765</v>
      </c>
    </row>
    <row r="134" spans="1:9" x14ac:dyDescent="0.3">
      <c r="A134">
        <v>561</v>
      </c>
      <c r="B134" s="24">
        <v>44026</v>
      </c>
      <c r="C134" t="s">
        <v>80</v>
      </c>
      <c r="D134" t="s">
        <v>12</v>
      </c>
      <c r="E134" t="s">
        <v>11</v>
      </c>
      <c r="F134">
        <v>900</v>
      </c>
      <c r="G134">
        <v>1</v>
      </c>
      <c r="H134">
        <v>900</v>
      </c>
      <c r="I134">
        <v>765</v>
      </c>
    </row>
    <row r="135" spans="1:9" x14ac:dyDescent="0.3">
      <c r="A135">
        <v>560</v>
      </c>
      <c r="B135" s="24">
        <v>44025</v>
      </c>
      <c r="C135" t="s">
        <v>80</v>
      </c>
      <c r="D135" t="s">
        <v>12</v>
      </c>
      <c r="E135" t="s">
        <v>11</v>
      </c>
      <c r="F135">
        <v>1100</v>
      </c>
      <c r="G135">
        <v>1</v>
      </c>
      <c r="H135">
        <v>1100</v>
      </c>
      <c r="I135">
        <v>935</v>
      </c>
    </row>
    <row r="136" spans="1:9" x14ac:dyDescent="0.3">
      <c r="A136">
        <v>559</v>
      </c>
      <c r="B136" s="24">
        <v>44024</v>
      </c>
      <c r="C136" t="s">
        <v>80</v>
      </c>
      <c r="D136" t="s">
        <v>12</v>
      </c>
      <c r="E136" t="s">
        <v>11</v>
      </c>
      <c r="F136">
        <v>1100</v>
      </c>
      <c r="G136">
        <v>2</v>
      </c>
      <c r="H136">
        <v>2200</v>
      </c>
      <c r="I136">
        <v>1870</v>
      </c>
    </row>
    <row r="137" spans="1:9" x14ac:dyDescent="0.3">
      <c r="A137">
        <v>558</v>
      </c>
      <c r="B137" s="24">
        <v>44023</v>
      </c>
      <c r="C137" t="s">
        <v>80</v>
      </c>
      <c r="D137" t="s">
        <v>12</v>
      </c>
      <c r="E137" t="s">
        <v>11</v>
      </c>
      <c r="F137">
        <v>900</v>
      </c>
      <c r="G137">
        <v>1</v>
      </c>
      <c r="H137">
        <v>900</v>
      </c>
      <c r="I137">
        <v>765</v>
      </c>
    </row>
    <row r="138" spans="1:9" x14ac:dyDescent="0.3">
      <c r="A138">
        <v>557</v>
      </c>
      <c r="B138" s="24">
        <v>44022</v>
      </c>
      <c r="C138" t="s">
        <v>81</v>
      </c>
      <c r="D138" t="s">
        <v>12</v>
      </c>
      <c r="E138" t="s">
        <v>11</v>
      </c>
      <c r="F138">
        <v>1100</v>
      </c>
      <c r="G138">
        <v>1</v>
      </c>
      <c r="H138">
        <v>1100</v>
      </c>
      <c r="I138">
        <v>935</v>
      </c>
    </row>
    <row r="139" spans="1:9" x14ac:dyDescent="0.3">
      <c r="A139">
        <v>556</v>
      </c>
      <c r="B139" s="24">
        <v>44021</v>
      </c>
      <c r="C139" t="s">
        <v>81</v>
      </c>
      <c r="D139" t="s">
        <v>12</v>
      </c>
      <c r="E139" t="s">
        <v>11</v>
      </c>
      <c r="F139">
        <v>900</v>
      </c>
      <c r="G139">
        <v>1</v>
      </c>
      <c r="H139">
        <v>900</v>
      </c>
      <c r="I139">
        <v>765</v>
      </c>
    </row>
    <row r="140" spans="1:9" x14ac:dyDescent="0.3">
      <c r="A140">
        <v>555</v>
      </c>
      <c r="B140" s="24">
        <v>44020</v>
      </c>
      <c r="C140" t="s">
        <v>81</v>
      </c>
      <c r="D140" t="s">
        <v>12</v>
      </c>
      <c r="E140" t="s">
        <v>11</v>
      </c>
      <c r="F140">
        <v>900</v>
      </c>
      <c r="G140">
        <v>1</v>
      </c>
      <c r="H140">
        <v>900</v>
      </c>
      <c r="I140">
        <v>765</v>
      </c>
    </row>
    <row r="141" spans="1:9" x14ac:dyDescent="0.3">
      <c r="A141">
        <v>554</v>
      </c>
      <c r="B141" s="24">
        <v>44019</v>
      </c>
      <c r="C141" t="s">
        <v>81</v>
      </c>
      <c r="D141" t="s">
        <v>12</v>
      </c>
      <c r="E141" t="s">
        <v>11</v>
      </c>
      <c r="F141">
        <v>900</v>
      </c>
      <c r="G141">
        <v>2</v>
      </c>
      <c r="H141">
        <v>1800</v>
      </c>
      <c r="I141">
        <v>1530</v>
      </c>
    </row>
    <row r="142" spans="1:9" x14ac:dyDescent="0.3">
      <c r="A142">
        <v>553</v>
      </c>
      <c r="B142" s="24">
        <v>44018</v>
      </c>
      <c r="C142" t="s">
        <v>81</v>
      </c>
      <c r="D142" t="s">
        <v>12</v>
      </c>
      <c r="E142" t="s">
        <v>11</v>
      </c>
      <c r="F142">
        <v>900</v>
      </c>
      <c r="G142">
        <v>1</v>
      </c>
      <c r="H142">
        <v>900</v>
      </c>
      <c r="I142">
        <v>765</v>
      </c>
    </row>
    <row r="143" spans="1:9" x14ac:dyDescent="0.3">
      <c r="A143">
        <v>552</v>
      </c>
      <c r="B143" s="24">
        <v>44017</v>
      </c>
      <c r="C143" t="s">
        <v>81</v>
      </c>
      <c r="D143" t="s">
        <v>12</v>
      </c>
      <c r="E143" t="s">
        <v>11</v>
      </c>
      <c r="F143">
        <v>900</v>
      </c>
      <c r="G143">
        <v>1</v>
      </c>
      <c r="H143">
        <v>900</v>
      </c>
      <c r="I143">
        <v>765</v>
      </c>
    </row>
    <row r="144" spans="1:9" x14ac:dyDescent="0.3">
      <c r="A144">
        <v>551</v>
      </c>
      <c r="B144" s="24">
        <v>44016</v>
      </c>
      <c r="C144" t="s">
        <v>81</v>
      </c>
      <c r="D144" t="s">
        <v>12</v>
      </c>
      <c r="E144" t="s">
        <v>11</v>
      </c>
      <c r="F144">
        <v>900</v>
      </c>
      <c r="G144">
        <v>1</v>
      </c>
      <c r="H144">
        <v>900</v>
      </c>
      <c r="I144">
        <v>765</v>
      </c>
    </row>
    <row r="145" spans="1:9" x14ac:dyDescent="0.3">
      <c r="A145">
        <v>550</v>
      </c>
      <c r="B145" s="24">
        <v>44015</v>
      </c>
      <c r="C145" t="s">
        <v>81</v>
      </c>
      <c r="D145" t="s">
        <v>12</v>
      </c>
      <c r="E145" t="s">
        <v>11</v>
      </c>
      <c r="F145">
        <v>1100</v>
      </c>
      <c r="G145">
        <v>1</v>
      </c>
      <c r="H145">
        <v>1100</v>
      </c>
      <c r="I145">
        <v>935</v>
      </c>
    </row>
    <row r="146" spans="1:9" x14ac:dyDescent="0.3">
      <c r="A146">
        <v>549</v>
      </c>
      <c r="B146" s="24">
        <v>44014</v>
      </c>
      <c r="C146" t="s">
        <v>81</v>
      </c>
      <c r="D146" t="s">
        <v>12</v>
      </c>
      <c r="E146" t="s">
        <v>11</v>
      </c>
      <c r="F146">
        <v>1100</v>
      </c>
      <c r="G146">
        <v>1</v>
      </c>
      <c r="H146">
        <v>1100</v>
      </c>
      <c r="I146">
        <v>935</v>
      </c>
    </row>
    <row r="147" spans="1:9" x14ac:dyDescent="0.3">
      <c r="A147">
        <v>144</v>
      </c>
      <c r="B147" s="24">
        <v>43609</v>
      </c>
      <c r="C147" t="s">
        <v>81</v>
      </c>
      <c r="D147" t="s">
        <v>12</v>
      </c>
      <c r="E147" t="s">
        <v>11</v>
      </c>
      <c r="F147">
        <v>900</v>
      </c>
      <c r="G147">
        <v>1</v>
      </c>
      <c r="H147">
        <v>900</v>
      </c>
      <c r="I147">
        <v>765</v>
      </c>
    </row>
    <row r="148" spans="1:9" x14ac:dyDescent="0.3">
      <c r="A148">
        <v>548</v>
      </c>
      <c r="B148" s="24">
        <v>44013</v>
      </c>
      <c r="C148" t="s">
        <v>81</v>
      </c>
      <c r="D148" t="s">
        <v>12</v>
      </c>
      <c r="E148" t="s">
        <v>11</v>
      </c>
      <c r="F148">
        <v>1100</v>
      </c>
      <c r="G148">
        <v>2</v>
      </c>
      <c r="H148">
        <v>2200</v>
      </c>
      <c r="I148">
        <v>1870</v>
      </c>
    </row>
    <row r="149" spans="1:9" x14ac:dyDescent="0.3">
      <c r="A149">
        <v>547</v>
      </c>
      <c r="B149" s="24">
        <v>44012</v>
      </c>
      <c r="C149" t="s">
        <v>81</v>
      </c>
      <c r="D149" t="s">
        <v>12</v>
      </c>
      <c r="E149" t="s">
        <v>11</v>
      </c>
      <c r="F149">
        <v>1100</v>
      </c>
      <c r="G149">
        <v>1</v>
      </c>
      <c r="H149">
        <v>1100</v>
      </c>
      <c r="I149">
        <v>935</v>
      </c>
    </row>
    <row r="150" spans="1:9" x14ac:dyDescent="0.3">
      <c r="A150">
        <v>546</v>
      </c>
      <c r="B150" s="24">
        <v>44011</v>
      </c>
      <c r="C150" t="s">
        <v>81</v>
      </c>
      <c r="D150" t="s">
        <v>12</v>
      </c>
      <c r="E150" t="s">
        <v>11</v>
      </c>
      <c r="F150">
        <v>1100</v>
      </c>
      <c r="G150">
        <v>1</v>
      </c>
      <c r="H150">
        <v>1100</v>
      </c>
      <c r="I150">
        <v>935</v>
      </c>
    </row>
    <row r="151" spans="1:9" x14ac:dyDescent="0.3">
      <c r="A151">
        <v>545</v>
      </c>
      <c r="B151" s="24">
        <v>44010</v>
      </c>
      <c r="C151" t="s">
        <v>81</v>
      </c>
      <c r="D151" t="s">
        <v>12</v>
      </c>
      <c r="E151" t="s">
        <v>11</v>
      </c>
      <c r="F151">
        <v>1100</v>
      </c>
      <c r="G151">
        <v>1</v>
      </c>
      <c r="H151">
        <v>1100</v>
      </c>
      <c r="I151">
        <v>935</v>
      </c>
    </row>
    <row r="152" spans="1:9" x14ac:dyDescent="0.3">
      <c r="A152">
        <v>538</v>
      </c>
      <c r="B152" s="24">
        <v>44003</v>
      </c>
      <c r="C152" t="s">
        <v>81</v>
      </c>
      <c r="D152" t="s">
        <v>12</v>
      </c>
      <c r="E152" t="s">
        <v>11</v>
      </c>
      <c r="F152">
        <v>900</v>
      </c>
      <c r="G152">
        <v>1</v>
      </c>
      <c r="H152">
        <v>900</v>
      </c>
      <c r="I152">
        <v>765</v>
      </c>
    </row>
    <row r="153" spans="1:9" x14ac:dyDescent="0.3">
      <c r="A153">
        <v>534</v>
      </c>
      <c r="B153" s="24">
        <v>43999</v>
      </c>
      <c r="C153" t="s">
        <v>81</v>
      </c>
      <c r="D153" t="s">
        <v>12</v>
      </c>
      <c r="E153" t="s">
        <v>11</v>
      </c>
      <c r="F153">
        <v>900</v>
      </c>
      <c r="G153">
        <v>1</v>
      </c>
      <c r="H153">
        <v>900</v>
      </c>
      <c r="I153">
        <v>765</v>
      </c>
    </row>
    <row r="154" spans="1:9" x14ac:dyDescent="0.3">
      <c r="A154">
        <v>533</v>
      </c>
      <c r="B154" s="24">
        <v>43998</v>
      </c>
      <c r="C154" t="s">
        <v>81</v>
      </c>
      <c r="D154" t="s">
        <v>12</v>
      </c>
      <c r="E154" t="s">
        <v>11</v>
      </c>
      <c r="F154">
        <v>900</v>
      </c>
      <c r="G154">
        <v>1</v>
      </c>
      <c r="H154">
        <v>900</v>
      </c>
      <c r="I154">
        <v>765</v>
      </c>
    </row>
    <row r="155" spans="1:9" x14ac:dyDescent="0.3">
      <c r="A155">
        <v>152</v>
      </c>
      <c r="B155" s="24">
        <v>43617</v>
      </c>
      <c r="C155" t="s">
        <v>81</v>
      </c>
      <c r="D155" t="s">
        <v>12</v>
      </c>
      <c r="E155" t="s">
        <v>11</v>
      </c>
      <c r="F155">
        <v>900</v>
      </c>
      <c r="G155">
        <v>1</v>
      </c>
      <c r="H155">
        <v>900</v>
      </c>
      <c r="I155">
        <v>765</v>
      </c>
    </row>
    <row r="156" spans="1:9" x14ac:dyDescent="0.3">
      <c r="A156">
        <v>515</v>
      </c>
      <c r="B156" s="24">
        <v>43980</v>
      </c>
      <c r="C156" t="s">
        <v>81</v>
      </c>
      <c r="D156" t="s">
        <v>12</v>
      </c>
      <c r="E156" t="s">
        <v>11</v>
      </c>
      <c r="F156">
        <v>900</v>
      </c>
      <c r="G156">
        <v>1</v>
      </c>
      <c r="H156">
        <v>900</v>
      </c>
      <c r="I156">
        <v>765</v>
      </c>
    </row>
    <row r="157" spans="1:9" x14ac:dyDescent="0.3">
      <c r="A157">
        <v>513</v>
      </c>
      <c r="B157" s="24">
        <v>43978</v>
      </c>
      <c r="C157" t="s">
        <v>81</v>
      </c>
      <c r="D157" t="s">
        <v>12</v>
      </c>
      <c r="E157" t="s">
        <v>11</v>
      </c>
      <c r="F157">
        <v>900</v>
      </c>
      <c r="G157">
        <v>1</v>
      </c>
      <c r="H157">
        <v>900</v>
      </c>
      <c r="I157">
        <v>765</v>
      </c>
    </row>
    <row r="158" spans="1:9" x14ac:dyDescent="0.3">
      <c r="A158">
        <v>501</v>
      </c>
      <c r="B158" s="24">
        <v>43966</v>
      </c>
      <c r="C158" t="s">
        <v>81</v>
      </c>
      <c r="D158" t="s">
        <v>12</v>
      </c>
      <c r="E158" t="s">
        <v>11</v>
      </c>
      <c r="F158">
        <v>900</v>
      </c>
      <c r="G158">
        <v>1</v>
      </c>
      <c r="H158">
        <v>900</v>
      </c>
      <c r="I158">
        <v>765</v>
      </c>
    </row>
    <row r="159" spans="1:9" x14ac:dyDescent="0.3">
      <c r="A159">
        <v>491</v>
      </c>
      <c r="B159" s="24">
        <v>43956</v>
      </c>
      <c r="C159" t="s">
        <v>81</v>
      </c>
      <c r="D159" t="s">
        <v>12</v>
      </c>
      <c r="E159" t="s">
        <v>11</v>
      </c>
      <c r="F159">
        <v>900</v>
      </c>
      <c r="G159">
        <v>1</v>
      </c>
      <c r="H159">
        <v>900</v>
      </c>
      <c r="I159">
        <v>765</v>
      </c>
    </row>
    <row r="160" spans="1:9" x14ac:dyDescent="0.3">
      <c r="A160">
        <v>487</v>
      </c>
      <c r="B160" s="24">
        <v>43952</v>
      </c>
      <c r="C160" t="s">
        <v>81</v>
      </c>
      <c r="D160" t="s">
        <v>12</v>
      </c>
      <c r="E160" t="s">
        <v>11</v>
      </c>
      <c r="F160">
        <v>900</v>
      </c>
      <c r="G160">
        <v>1</v>
      </c>
      <c r="H160">
        <v>900</v>
      </c>
      <c r="I160">
        <v>765</v>
      </c>
    </row>
    <row r="161" spans="1:9" x14ac:dyDescent="0.3">
      <c r="A161">
        <v>417</v>
      </c>
      <c r="B161" s="24">
        <v>43882</v>
      </c>
      <c r="C161" t="s">
        <v>81</v>
      </c>
      <c r="D161" t="s">
        <v>12</v>
      </c>
      <c r="E161" t="s">
        <v>11</v>
      </c>
      <c r="F161">
        <v>900</v>
      </c>
      <c r="G161">
        <v>1</v>
      </c>
      <c r="H161">
        <v>900</v>
      </c>
      <c r="I161">
        <v>765</v>
      </c>
    </row>
    <row r="162" spans="1:9" x14ac:dyDescent="0.3">
      <c r="A162">
        <v>159</v>
      </c>
      <c r="B162" s="24">
        <v>43624</v>
      </c>
      <c r="C162" t="s">
        <v>81</v>
      </c>
      <c r="D162" t="s">
        <v>12</v>
      </c>
      <c r="E162" t="s">
        <v>11</v>
      </c>
      <c r="F162">
        <v>900</v>
      </c>
      <c r="G162">
        <v>3</v>
      </c>
      <c r="H162">
        <v>2700</v>
      </c>
      <c r="I162">
        <v>2295</v>
      </c>
    </row>
    <row r="163" spans="1:9" x14ac:dyDescent="0.3">
      <c r="A163">
        <v>415</v>
      </c>
      <c r="B163" s="24">
        <v>43880</v>
      </c>
      <c r="C163" t="s">
        <v>81</v>
      </c>
      <c r="D163" t="s">
        <v>12</v>
      </c>
      <c r="E163" t="s">
        <v>11</v>
      </c>
      <c r="F163">
        <v>900</v>
      </c>
      <c r="G163">
        <v>1</v>
      </c>
      <c r="H163">
        <v>900</v>
      </c>
      <c r="I163">
        <v>765</v>
      </c>
    </row>
    <row r="164" spans="1:9" x14ac:dyDescent="0.3">
      <c r="A164">
        <v>404</v>
      </c>
      <c r="B164" s="24">
        <v>43869</v>
      </c>
      <c r="C164" t="s">
        <v>81</v>
      </c>
      <c r="D164" t="s">
        <v>12</v>
      </c>
      <c r="E164" t="s">
        <v>11</v>
      </c>
      <c r="F164">
        <v>900</v>
      </c>
      <c r="G164">
        <v>1</v>
      </c>
      <c r="H164">
        <v>900</v>
      </c>
      <c r="I164">
        <v>765</v>
      </c>
    </row>
    <row r="165" spans="1:9" x14ac:dyDescent="0.3">
      <c r="A165">
        <v>400</v>
      </c>
      <c r="B165" s="24">
        <v>43865</v>
      </c>
      <c r="C165" t="s">
        <v>81</v>
      </c>
      <c r="D165" t="s">
        <v>12</v>
      </c>
      <c r="E165" t="s">
        <v>11</v>
      </c>
      <c r="F165">
        <v>900</v>
      </c>
      <c r="G165">
        <v>1</v>
      </c>
      <c r="H165">
        <v>900</v>
      </c>
      <c r="I165">
        <v>765</v>
      </c>
    </row>
    <row r="166" spans="1:9" x14ac:dyDescent="0.3">
      <c r="A166">
        <v>398</v>
      </c>
      <c r="B166" s="24">
        <v>43863</v>
      </c>
      <c r="C166" t="s">
        <v>81</v>
      </c>
      <c r="D166" t="s">
        <v>12</v>
      </c>
      <c r="E166" t="s">
        <v>11</v>
      </c>
      <c r="F166">
        <v>900</v>
      </c>
      <c r="G166">
        <v>1</v>
      </c>
      <c r="H166">
        <v>900</v>
      </c>
      <c r="I166">
        <v>765</v>
      </c>
    </row>
    <row r="167" spans="1:9" x14ac:dyDescent="0.3">
      <c r="A167">
        <v>360</v>
      </c>
      <c r="B167" s="24">
        <v>43825</v>
      </c>
      <c r="C167" t="s">
        <v>81</v>
      </c>
      <c r="D167" t="s">
        <v>12</v>
      </c>
      <c r="E167" t="s">
        <v>11</v>
      </c>
      <c r="F167">
        <v>900</v>
      </c>
      <c r="G167">
        <v>1</v>
      </c>
      <c r="H167">
        <v>900</v>
      </c>
      <c r="I167">
        <v>765</v>
      </c>
    </row>
    <row r="168" spans="1:9" x14ac:dyDescent="0.3">
      <c r="A168">
        <v>339</v>
      </c>
      <c r="B168" s="24">
        <v>43804</v>
      </c>
      <c r="C168" t="s">
        <v>81</v>
      </c>
      <c r="D168" t="s">
        <v>12</v>
      </c>
      <c r="E168" t="s">
        <v>11</v>
      </c>
      <c r="F168">
        <v>1000</v>
      </c>
      <c r="G168">
        <v>1</v>
      </c>
      <c r="H168">
        <v>1000</v>
      </c>
      <c r="I168">
        <v>850</v>
      </c>
    </row>
    <row r="169" spans="1:9" x14ac:dyDescent="0.3">
      <c r="A169">
        <v>309</v>
      </c>
      <c r="B169" s="24">
        <v>43774</v>
      </c>
      <c r="C169" t="s">
        <v>81</v>
      </c>
      <c r="D169" t="s">
        <v>12</v>
      </c>
      <c r="E169" t="s">
        <v>11</v>
      </c>
      <c r="F169">
        <v>900</v>
      </c>
      <c r="G169">
        <v>1</v>
      </c>
      <c r="H169">
        <v>900</v>
      </c>
      <c r="I169">
        <v>765</v>
      </c>
    </row>
    <row r="170" spans="1:9" x14ac:dyDescent="0.3">
      <c r="A170">
        <v>302</v>
      </c>
      <c r="B170" s="24">
        <v>43767</v>
      </c>
      <c r="C170" t="s">
        <v>81</v>
      </c>
      <c r="D170" t="s">
        <v>12</v>
      </c>
      <c r="E170" t="s">
        <v>11</v>
      </c>
      <c r="F170">
        <v>900</v>
      </c>
      <c r="G170">
        <v>1</v>
      </c>
      <c r="H170">
        <v>900</v>
      </c>
      <c r="I170">
        <v>765</v>
      </c>
    </row>
    <row r="171" spans="1:9" x14ac:dyDescent="0.3">
      <c r="A171">
        <v>291</v>
      </c>
      <c r="B171" s="24">
        <v>43756</v>
      </c>
      <c r="C171" t="s">
        <v>81</v>
      </c>
      <c r="D171" t="s">
        <v>12</v>
      </c>
      <c r="E171" t="s">
        <v>11</v>
      </c>
      <c r="F171">
        <v>900</v>
      </c>
      <c r="G171">
        <v>1</v>
      </c>
      <c r="H171">
        <v>900</v>
      </c>
      <c r="I171">
        <v>765</v>
      </c>
    </row>
    <row r="172" spans="1:9" x14ac:dyDescent="0.3">
      <c r="A172">
        <v>290</v>
      </c>
      <c r="B172" s="24">
        <v>43755</v>
      </c>
      <c r="C172" t="s">
        <v>81</v>
      </c>
      <c r="D172" t="s">
        <v>12</v>
      </c>
      <c r="E172" t="s">
        <v>11</v>
      </c>
      <c r="F172">
        <v>900</v>
      </c>
      <c r="G172">
        <v>1</v>
      </c>
      <c r="H172">
        <v>900</v>
      </c>
      <c r="I172">
        <v>765</v>
      </c>
    </row>
    <row r="173" spans="1:9" x14ac:dyDescent="0.3">
      <c r="A173">
        <v>287</v>
      </c>
      <c r="B173" s="24">
        <v>43752</v>
      </c>
      <c r="C173" t="s">
        <v>81</v>
      </c>
      <c r="D173" t="s">
        <v>12</v>
      </c>
      <c r="E173" t="s">
        <v>11</v>
      </c>
      <c r="F173">
        <v>900</v>
      </c>
      <c r="G173">
        <v>2</v>
      </c>
      <c r="H173">
        <v>1800</v>
      </c>
      <c r="I173">
        <v>1530</v>
      </c>
    </row>
    <row r="174" spans="1:9" x14ac:dyDescent="0.3">
      <c r="A174">
        <v>281</v>
      </c>
      <c r="B174" s="24">
        <v>43746</v>
      </c>
      <c r="C174" t="s">
        <v>81</v>
      </c>
      <c r="D174" t="s">
        <v>12</v>
      </c>
      <c r="E174" t="s">
        <v>11</v>
      </c>
      <c r="F174">
        <v>900</v>
      </c>
      <c r="G174">
        <v>1</v>
      </c>
      <c r="H174">
        <v>900</v>
      </c>
      <c r="I174">
        <v>765</v>
      </c>
    </row>
    <row r="175" spans="1:9" x14ac:dyDescent="0.3">
      <c r="A175">
        <v>260</v>
      </c>
      <c r="B175" s="24">
        <v>43725</v>
      </c>
      <c r="C175" t="s">
        <v>81</v>
      </c>
      <c r="D175" t="s">
        <v>12</v>
      </c>
      <c r="E175" t="s">
        <v>11</v>
      </c>
      <c r="F175">
        <v>900</v>
      </c>
      <c r="G175">
        <v>1</v>
      </c>
      <c r="H175">
        <v>900</v>
      </c>
      <c r="I175">
        <v>765</v>
      </c>
    </row>
    <row r="176" spans="1:9" x14ac:dyDescent="0.3">
      <c r="A176">
        <v>258</v>
      </c>
      <c r="B176" s="24">
        <v>43723</v>
      </c>
      <c r="C176" t="s">
        <v>81</v>
      </c>
      <c r="D176" t="s">
        <v>12</v>
      </c>
      <c r="E176" t="s">
        <v>11</v>
      </c>
      <c r="F176">
        <v>900</v>
      </c>
      <c r="G176">
        <v>1</v>
      </c>
      <c r="H176">
        <v>900</v>
      </c>
      <c r="I176">
        <v>765</v>
      </c>
    </row>
    <row r="177" spans="1:9" x14ac:dyDescent="0.3">
      <c r="A177">
        <v>254</v>
      </c>
      <c r="B177" s="24">
        <v>43719</v>
      </c>
      <c r="C177" t="s">
        <v>81</v>
      </c>
      <c r="D177" t="s">
        <v>12</v>
      </c>
      <c r="E177" t="s">
        <v>11</v>
      </c>
      <c r="F177">
        <v>900</v>
      </c>
      <c r="G177">
        <v>1</v>
      </c>
      <c r="H177">
        <v>900</v>
      </c>
      <c r="I177">
        <v>765</v>
      </c>
    </row>
    <row r="178" spans="1:9" x14ac:dyDescent="0.3">
      <c r="A178">
        <v>243</v>
      </c>
      <c r="B178" s="24">
        <v>43708</v>
      </c>
      <c r="C178" t="s">
        <v>81</v>
      </c>
      <c r="D178" t="s">
        <v>12</v>
      </c>
      <c r="E178" t="s">
        <v>11</v>
      </c>
      <c r="F178">
        <v>900</v>
      </c>
      <c r="G178">
        <v>1</v>
      </c>
      <c r="H178">
        <v>900</v>
      </c>
      <c r="I178">
        <v>765</v>
      </c>
    </row>
    <row r="179" spans="1:9" x14ac:dyDescent="0.3">
      <c r="A179">
        <v>199</v>
      </c>
      <c r="B179" s="24">
        <v>43664</v>
      </c>
      <c r="C179" t="s">
        <v>81</v>
      </c>
      <c r="D179" t="s">
        <v>12</v>
      </c>
      <c r="E179" t="s">
        <v>11</v>
      </c>
      <c r="F179">
        <v>900</v>
      </c>
      <c r="G179">
        <v>1</v>
      </c>
      <c r="H179">
        <v>900</v>
      </c>
      <c r="I179">
        <v>765</v>
      </c>
    </row>
    <row r="180" spans="1:9" x14ac:dyDescent="0.3">
      <c r="A180">
        <v>187</v>
      </c>
      <c r="B180" s="24">
        <v>43652</v>
      </c>
      <c r="C180" t="s">
        <v>81</v>
      </c>
      <c r="D180" t="s">
        <v>12</v>
      </c>
      <c r="E180" t="s">
        <v>11</v>
      </c>
      <c r="F180">
        <v>900</v>
      </c>
      <c r="G180">
        <v>1</v>
      </c>
      <c r="H180">
        <v>900</v>
      </c>
      <c r="I180">
        <v>765</v>
      </c>
    </row>
    <row r="181" spans="1:9" x14ac:dyDescent="0.3">
      <c r="A181">
        <v>179</v>
      </c>
      <c r="B181" s="24">
        <v>43644</v>
      </c>
      <c r="C181" t="s">
        <v>81</v>
      </c>
      <c r="D181" t="s">
        <v>12</v>
      </c>
      <c r="E181" t="s">
        <v>11</v>
      </c>
      <c r="F181">
        <v>900</v>
      </c>
      <c r="G181">
        <v>1</v>
      </c>
      <c r="H181">
        <v>900</v>
      </c>
      <c r="I181">
        <v>765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509BD-3DDA-465C-81AB-745AA7297DF4}">
  <dimension ref="A1:I95"/>
  <sheetViews>
    <sheetView workbookViewId="0">
      <selection activeCell="A3" sqref="A3:I95"/>
    </sheetView>
  </sheetViews>
  <sheetFormatPr defaultRowHeight="14.4" x14ac:dyDescent="0.3"/>
  <cols>
    <col min="1" max="1" width="12.5546875" bestFit="1" customWidth="1"/>
    <col min="2" max="2" width="12.6640625" bestFit="1" customWidth="1"/>
    <col min="3" max="3" width="17.109375" bestFit="1" customWidth="1"/>
    <col min="4" max="4" width="12.6640625" bestFit="1" customWidth="1"/>
    <col min="5" max="5" width="16.109375" bestFit="1" customWidth="1"/>
    <col min="6" max="6" width="13.21875" bestFit="1" customWidth="1"/>
    <col min="7" max="7" width="14.6640625" bestFit="1" customWidth="1"/>
    <col min="8" max="8" width="12.109375" bestFit="1" customWidth="1"/>
    <col min="9" max="9" width="20.6640625" bestFit="1" customWidth="1"/>
  </cols>
  <sheetData>
    <row r="1" spans="1:9" x14ac:dyDescent="0.3">
      <c r="A1" s="25" t="s">
        <v>90</v>
      </c>
    </row>
    <row r="3" spans="1:9" x14ac:dyDescent="0.3">
      <c r="A3" t="s">
        <v>1</v>
      </c>
      <c r="B3" t="s">
        <v>2</v>
      </c>
      <c r="C3" t="s">
        <v>3</v>
      </c>
      <c r="D3" t="s">
        <v>4</v>
      </c>
      <c r="E3" t="s">
        <v>5</v>
      </c>
      <c r="F3" t="s">
        <v>6</v>
      </c>
      <c r="G3" t="s">
        <v>7</v>
      </c>
      <c r="H3" t="s">
        <v>79</v>
      </c>
      <c r="I3" t="s">
        <v>82</v>
      </c>
    </row>
    <row r="4" spans="1:9" x14ac:dyDescent="0.3">
      <c r="A4">
        <v>182</v>
      </c>
      <c r="B4" s="24">
        <v>43647</v>
      </c>
      <c r="C4" t="s">
        <v>81</v>
      </c>
      <c r="D4" t="s">
        <v>21</v>
      </c>
      <c r="E4" t="s">
        <v>20</v>
      </c>
      <c r="F4">
        <v>1200</v>
      </c>
      <c r="G4">
        <v>1</v>
      </c>
      <c r="H4">
        <v>1200</v>
      </c>
      <c r="I4">
        <v>1200</v>
      </c>
    </row>
    <row r="5" spans="1:9" x14ac:dyDescent="0.3">
      <c r="A5">
        <v>183</v>
      </c>
      <c r="B5" s="24">
        <v>43648</v>
      </c>
      <c r="C5" t="s">
        <v>81</v>
      </c>
      <c r="D5" t="s">
        <v>14</v>
      </c>
      <c r="E5" t="s">
        <v>11</v>
      </c>
      <c r="F5">
        <v>900</v>
      </c>
      <c r="G5">
        <v>1</v>
      </c>
      <c r="H5">
        <v>900</v>
      </c>
      <c r="I5">
        <v>900</v>
      </c>
    </row>
    <row r="6" spans="1:9" x14ac:dyDescent="0.3">
      <c r="A6">
        <v>184</v>
      </c>
      <c r="B6" s="24">
        <v>43649</v>
      </c>
      <c r="C6" t="s">
        <v>81</v>
      </c>
      <c r="D6" t="s">
        <v>10</v>
      </c>
      <c r="E6" t="s">
        <v>11</v>
      </c>
      <c r="F6">
        <v>1100</v>
      </c>
      <c r="G6">
        <v>2</v>
      </c>
      <c r="H6">
        <v>2200</v>
      </c>
      <c r="I6">
        <v>2200</v>
      </c>
    </row>
    <row r="7" spans="1:9" x14ac:dyDescent="0.3">
      <c r="A7">
        <v>185</v>
      </c>
      <c r="B7" s="24">
        <v>43650</v>
      </c>
      <c r="C7" t="s">
        <v>81</v>
      </c>
      <c r="D7" t="s">
        <v>21</v>
      </c>
      <c r="E7" t="s">
        <v>20</v>
      </c>
      <c r="F7">
        <v>1200</v>
      </c>
      <c r="G7">
        <v>1</v>
      </c>
      <c r="H7">
        <v>1200</v>
      </c>
      <c r="I7">
        <v>1200</v>
      </c>
    </row>
    <row r="8" spans="1:9" x14ac:dyDescent="0.3">
      <c r="A8">
        <v>186</v>
      </c>
      <c r="B8" s="24">
        <v>43651</v>
      </c>
      <c r="C8" t="s">
        <v>81</v>
      </c>
      <c r="D8" t="s">
        <v>10</v>
      </c>
      <c r="E8" t="s">
        <v>11</v>
      </c>
      <c r="F8">
        <v>1100</v>
      </c>
      <c r="G8">
        <v>1</v>
      </c>
      <c r="H8">
        <v>1100</v>
      </c>
      <c r="I8">
        <v>1100</v>
      </c>
    </row>
    <row r="9" spans="1:9" x14ac:dyDescent="0.3">
      <c r="A9">
        <v>187</v>
      </c>
      <c r="B9" s="24">
        <v>43652</v>
      </c>
      <c r="C9" t="s">
        <v>81</v>
      </c>
      <c r="D9" t="s">
        <v>12</v>
      </c>
      <c r="E9" t="s">
        <v>11</v>
      </c>
      <c r="F9">
        <v>900</v>
      </c>
      <c r="G9">
        <v>1</v>
      </c>
      <c r="H9">
        <v>900</v>
      </c>
      <c r="I9">
        <v>765</v>
      </c>
    </row>
    <row r="10" spans="1:9" x14ac:dyDescent="0.3">
      <c r="A10">
        <v>188</v>
      </c>
      <c r="B10" s="24">
        <v>43653</v>
      </c>
      <c r="C10" t="s">
        <v>81</v>
      </c>
      <c r="D10" t="s">
        <v>18</v>
      </c>
      <c r="E10" t="s">
        <v>17</v>
      </c>
      <c r="F10">
        <v>600</v>
      </c>
      <c r="G10">
        <v>1</v>
      </c>
      <c r="H10">
        <v>600</v>
      </c>
      <c r="I10">
        <v>600</v>
      </c>
    </row>
    <row r="11" spans="1:9" x14ac:dyDescent="0.3">
      <c r="A11">
        <v>189</v>
      </c>
      <c r="B11" s="24">
        <v>43654</v>
      </c>
      <c r="C11" t="s">
        <v>81</v>
      </c>
      <c r="D11" t="s">
        <v>22</v>
      </c>
      <c r="E11" t="s">
        <v>23</v>
      </c>
      <c r="F11">
        <v>900</v>
      </c>
      <c r="G11">
        <v>1</v>
      </c>
      <c r="H11">
        <v>900</v>
      </c>
      <c r="I11">
        <v>900</v>
      </c>
    </row>
    <row r="12" spans="1:9" x14ac:dyDescent="0.3">
      <c r="A12">
        <v>190</v>
      </c>
      <c r="B12" s="24">
        <v>43655</v>
      </c>
      <c r="C12" t="s">
        <v>81</v>
      </c>
      <c r="D12" t="s">
        <v>16</v>
      </c>
      <c r="E12" t="s">
        <v>17</v>
      </c>
      <c r="F12">
        <v>800</v>
      </c>
      <c r="G12">
        <v>1</v>
      </c>
      <c r="H12">
        <v>800</v>
      </c>
      <c r="I12">
        <v>800</v>
      </c>
    </row>
    <row r="13" spans="1:9" x14ac:dyDescent="0.3">
      <c r="A13">
        <v>191</v>
      </c>
      <c r="B13" s="24">
        <v>43656</v>
      </c>
      <c r="C13" t="s">
        <v>81</v>
      </c>
      <c r="D13" t="s">
        <v>10</v>
      </c>
      <c r="E13" t="s">
        <v>11</v>
      </c>
      <c r="F13">
        <v>1100</v>
      </c>
      <c r="G13">
        <v>1</v>
      </c>
      <c r="H13">
        <v>1100</v>
      </c>
      <c r="I13">
        <v>1100</v>
      </c>
    </row>
    <row r="14" spans="1:9" x14ac:dyDescent="0.3">
      <c r="A14">
        <v>192</v>
      </c>
      <c r="B14" s="24">
        <v>43657</v>
      </c>
      <c r="C14" t="s">
        <v>81</v>
      </c>
      <c r="D14" t="s">
        <v>14</v>
      </c>
      <c r="E14" t="s">
        <v>11</v>
      </c>
      <c r="F14">
        <v>900</v>
      </c>
      <c r="G14">
        <v>1</v>
      </c>
      <c r="H14">
        <v>900</v>
      </c>
      <c r="I14">
        <v>900</v>
      </c>
    </row>
    <row r="15" spans="1:9" x14ac:dyDescent="0.3">
      <c r="A15">
        <v>193</v>
      </c>
      <c r="B15" s="24">
        <v>43658</v>
      </c>
      <c r="C15" t="s">
        <v>81</v>
      </c>
      <c r="D15" t="s">
        <v>15</v>
      </c>
      <c r="E15" t="s">
        <v>11</v>
      </c>
      <c r="F15">
        <v>1000</v>
      </c>
      <c r="G15">
        <v>1</v>
      </c>
      <c r="H15">
        <v>1000</v>
      </c>
      <c r="I15">
        <v>1000</v>
      </c>
    </row>
    <row r="16" spans="1:9" x14ac:dyDescent="0.3">
      <c r="A16">
        <v>194</v>
      </c>
      <c r="B16" s="24">
        <v>43659</v>
      </c>
      <c r="C16" t="s">
        <v>81</v>
      </c>
      <c r="D16" t="s">
        <v>19</v>
      </c>
      <c r="E16" t="s">
        <v>20</v>
      </c>
      <c r="F16">
        <v>850</v>
      </c>
      <c r="G16">
        <v>1</v>
      </c>
      <c r="H16">
        <v>850</v>
      </c>
      <c r="I16">
        <v>850</v>
      </c>
    </row>
    <row r="17" spans="1:9" x14ac:dyDescent="0.3">
      <c r="A17">
        <v>195</v>
      </c>
      <c r="B17" s="24">
        <v>43660</v>
      </c>
      <c r="C17" t="s">
        <v>81</v>
      </c>
      <c r="D17" t="s">
        <v>18</v>
      </c>
      <c r="E17" t="s">
        <v>17</v>
      </c>
      <c r="F17">
        <v>600</v>
      </c>
      <c r="G17">
        <v>1</v>
      </c>
      <c r="H17">
        <v>600</v>
      </c>
      <c r="I17">
        <v>600</v>
      </c>
    </row>
    <row r="18" spans="1:9" x14ac:dyDescent="0.3">
      <c r="A18">
        <v>196</v>
      </c>
      <c r="B18" s="24">
        <v>43661</v>
      </c>
      <c r="C18" t="s">
        <v>81</v>
      </c>
      <c r="D18" t="s">
        <v>14</v>
      </c>
      <c r="E18" t="s">
        <v>11</v>
      </c>
      <c r="F18">
        <v>900</v>
      </c>
      <c r="G18">
        <v>1</v>
      </c>
      <c r="H18">
        <v>900</v>
      </c>
      <c r="I18">
        <v>900</v>
      </c>
    </row>
    <row r="19" spans="1:9" x14ac:dyDescent="0.3">
      <c r="A19">
        <v>197</v>
      </c>
      <c r="B19" s="24">
        <v>43662</v>
      </c>
      <c r="C19" t="s">
        <v>81</v>
      </c>
      <c r="D19" t="s">
        <v>15</v>
      </c>
      <c r="E19" t="s">
        <v>11</v>
      </c>
      <c r="F19">
        <v>1000</v>
      </c>
      <c r="G19">
        <v>1</v>
      </c>
      <c r="H19">
        <v>1000</v>
      </c>
      <c r="I19">
        <v>1000</v>
      </c>
    </row>
    <row r="20" spans="1:9" x14ac:dyDescent="0.3">
      <c r="A20">
        <v>198</v>
      </c>
      <c r="B20" s="24">
        <v>43663</v>
      </c>
      <c r="C20" t="s">
        <v>81</v>
      </c>
      <c r="D20" t="s">
        <v>14</v>
      </c>
      <c r="E20" t="s">
        <v>11</v>
      </c>
      <c r="F20">
        <v>900</v>
      </c>
      <c r="G20">
        <v>1</v>
      </c>
      <c r="H20">
        <v>900</v>
      </c>
      <c r="I20">
        <v>900</v>
      </c>
    </row>
    <row r="21" spans="1:9" x14ac:dyDescent="0.3">
      <c r="A21">
        <v>199</v>
      </c>
      <c r="B21" s="24">
        <v>43664</v>
      </c>
      <c r="C21" t="s">
        <v>81</v>
      </c>
      <c r="D21" t="s">
        <v>12</v>
      </c>
      <c r="E21" t="s">
        <v>11</v>
      </c>
      <c r="F21">
        <v>900</v>
      </c>
      <c r="G21">
        <v>1</v>
      </c>
      <c r="H21">
        <v>900</v>
      </c>
      <c r="I21">
        <v>765</v>
      </c>
    </row>
    <row r="22" spans="1:9" x14ac:dyDescent="0.3">
      <c r="A22">
        <v>200</v>
      </c>
      <c r="B22" s="24">
        <v>43665</v>
      </c>
      <c r="C22" t="s">
        <v>81</v>
      </c>
      <c r="D22" t="s">
        <v>18</v>
      </c>
      <c r="E22" t="s">
        <v>17</v>
      </c>
      <c r="F22">
        <v>600</v>
      </c>
      <c r="G22">
        <v>1</v>
      </c>
      <c r="H22">
        <v>600</v>
      </c>
      <c r="I22">
        <v>600</v>
      </c>
    </row>
    <row r="23" spans="1:9" x14ac:dyDescent="0.3">
      <c r="A23">
        <v>201</v>
      </c>
      <c r="B23" s="24">
        <v>43666</v>
      </c>
      <c r="C23" t="s">
        <v>81</v>
      </c>
      <c r="D23" t="s">
        <v>22</v>
      </c>
      <c r="E23" t="s">
        <v>23</v>
      </c>
      <c r="F23">
        <v>900</v>
      </c>
      <c r="G23">
        <v>1</v>
      </c>
      <c r="H23">
        <v>900</v>
      </c>
      <c r="I23">
        <v>900</v>
      </c>
    </row>
    <row r="24" spans="1:9" x14ac:dyDescent="0.3">
      <c r="A24">
        <v>202</v>
      </c>
      <c r="B24" s="24">
        <v>43667</v>
      </c>
      <c r="C24" t="s">
        <v>81</v>
      </c>
      <c r="D24" t="s">
        <v>22</v>
      </c>
      <c r="E24" t="s">
        <v>23</v>
      </c>
      <c r="F24">
        <v>800</v>
      </c>
      <c r="G24">
        <v>1</v>
      </c>
      <c r="H24">
        <v>800</v>
      </c>
      <c r="I24">
        <v>800</v>
      </c>
    </row>
    <row r="25" spans="1:9" x14ac:dyDescent="0.3">
      <c r="A25">
        <v>203</v>
      </c>
      <c r="B25" s="24">
        <v>43668</v>
      </c>
      <c r="C25" t="s">
        <v>81</v>
      </c>
      <c r="D25" t="s">
        <v>16</v>
      </c>
      <c r="E25" t="s">
        <v>17</v>
      </c>
      <c r="F25">
        <v>800</v>
      </c>
      <c r="G25">
        <v>1</v>
      </c>
      <c r="H25">
        <v>800</v>
      </c>
      <c r="I25">
        <v>800</v>
      </c>
    </row>
    <row r="26" spans="1:9" x14ac:dyDescent="0.3">
      <c r="A26">
        <v>204</v>
      </c>
      <c r="B26" s="24">
        <v>43669</v>
      </c>
      <c r="C26" t="s">
        <v>81</v>
      </c>
      <c r="D26" t="s">
        <v>18</v>
      </c>
      <c r="E26" t="s">
        <v>17</v>
      </c>
      <c r="F26">
        <v>600</v>
      </c>
      <c r="G26">
        <v>1</v>
      </c>
      <c r="H26">
        <v>600</v>
      </c>
      <c r="I26">
        <v>600</v>
      </c>
    </row>
    <row r="27" spans="1:9" x14ac:dyDescent="0.3">
      <c r="A27">
        <v>205</v>
      </c>
      <c r="B27" s="24">
        <v>43670</v>
      </c>
      <c r="C27" t="s">
        <v>81</v>
      </c>
      <c r="D27" t="s">
        <v>22</v>
      </c>
      <c r="E27" t="s">
        <v>23</v>
      </c>
      <c r="F27">
        <v>500</v>
      </c>
      <c r="G27">
        <v>1</v>
      </c>
      <c r="H27">
        <v>500</v>
      </c>
      <c r="I27">
        <v>500</v>
      </c>
    </row>
    <row r="28" spans="1:9" x14ac:dyDescent="0.3">
      <c r="A28">
        <v>206</v>
      </c>
      <c r="B28" s="24">
        <v>43671</v>
      </c>
      <c r="C28" t="s">
        <v>81</v>
      </c>
      <c r="D28" t="s">
        <v>14</v>
      </c>
      <c r="E28" t="s">
        <v>11</v>
      </c>
      <c r="F28">
        <v>900</v>
      </c>
      <c r="G28">
        <v>1</v>
      </c>
      <c r="H28">
        <v>900</v>
      </c>
      <c r="I28">
        <v>900</v>
      </c>
    </row>
    <row r="29" spans="1:9" x14ac:dyDescent="0.3">
      <c r="A29">
        <v>207</v>
      </c>
      <c r="B29" s="24">
        <v>43672</v>
      </c>
      <c r="C29" t="s">
        <v>81</v>
      </c>
      <c r="D29" t="s">
        <v>10</v>
      </c>
      <c r="E29" t="s">
        <v>11</v>
      </c>
      <c r="F29">
        <v>1100</v>
      </c>
      <c r="G29">
        <v>1</v>
      </c>
      <c r="H29">
        <v>1100</v>
      </c>
      <c r="I29">
        <v>1100</v>
      </c>
    </row>
    <row r="30" spans="1:9" x14ac:dyDescent="0.3">
      <c r="A30">
        <v>208</v>
      </c>
      <c r="B30" s="24">
        <v>43673</v>
      </c>
      <c r="C30" t="s">
        <v>81</v>
      </c>
      <c r="D30" t="s">
        <v>22</v>
      </c>
      <c r="E30" t="s">
        <v>23</v>
      </c>
      <c r="F30">
        <v>500</v>
      </c>
      <c r="G30">
        <v>1</v>
      </c>
      <c r="H30">
        <v>500</v>
      </c>
      <c r="I30">
        <v>500</v>
      </c>
    </row>
    <row r="31" spans="1:9" x14ac:dyDescent="0.3">
      <c r="A31">
        <v>209</v>
      </c>
      <c r="B31" s="24">
        <v>43674</v>
      </c>
      <c r="C31" t="s">
        <v>81</v>
      </c>
      <c r="D31" t="s">
        <v>18</v>
      </c>
      <c r="E31" t="s">
        <v>17</v>
      </c>
      <c r="F31">
        <v>600</v>
      </c>
      <c r="G31">
        <v>1</v>
      </c>
      <c r="H31">
        <v>600</v>
      </c>
      <c r="I31">
        <v>600</v>
      </c>
    </row>
    <row r="32" spans="1:9" x14ac:dyDescent="0.3">
      <c r="A32">
        <v>210</v>
      </c>
      <c r="B32" s="24">
        <v>43675</v>
      </c>
      <c r="C32" t="s">
        <v>81</v>
      </c>
      <c r="D32" t="s">
        <v>14</v>
      </c>
      <c r="E32" t="s">
        <v>11</v>
      </c>
      <c r="F32">
        <v>900</v>
      </c>
      <c r="G32">
        <v>1</v>
      </c>
      <c r="H32">
        <v>900</v>
      </c>
      <c r="I32">
        <v>900</v>
      </c>
    </row>
    <row r="33" spans="1:9" x14ac:dyDescent="0.3">
      <c r="A33">
        <v>211</v>
      </c>
      <c r="B33" s="24">
        <v>43676</v>
      </c>
      <c r="C33" t="s">
        <v>81</v>
      </c>
      <c r="D33" t="s">
        <v>22</v>
      </c>
      <c r="E33" t="s">
        <v>23</v>
      </c>
      <c r="F33">
        <v>500</v>
      </c>
      <c r="G33">
        <v>1</v>
      </c>
      <c r="H33">
        <v>500</v>
      </c>
      <c r="I33">
        <v>500</v>
      </c>
    </row>
    <row r="34" spans="1:9" x14ac:dyDescent="0.3">
      <c r="A34">
        <v>212</v>
      </c>
      <c r="B34" s="24">
        <v>43677</v>
      </c>
      <c r="C34" t="s">
        <v>81</v>
      </c>
      <c r="D34" t="s">
        <v>22</v>
      </c>
      <c r="E34" t="s">
        <v>23</v>
      </c>
      <c r="F34">
        <v>500</v>
      </c>
      <c r="G34">
        <v>1</v>
      </c>
      <c r="H34">
        <v>500</v>
      </c>
      <c r="I34">
        <v>500</v>
      </c>
    </row>
    <row r="35" spans="1:9" x14ac:dyDescent="0.3">
      <c r="A35">
        <v>213</v>
      </c>
      <c r="B35" s="24">
        <v>43678</v>
      </c>
      <c r="C35" t="s">
        <v>81</v>
      </c>
      <c r="D35" t="s">
        <v>18</v>
      </c>
      <c r="E35" t="s">
        <v>17</v>
      </c>
      <c r="F35">
        <v>600</v>
      </c>
      <c r="G35">
        <v>1</v>
      </c>
      <c r="H35">
        <v>600</v>
      </c>
      <c r="I35">
        <v>600</v>
      </c>
    </row>
    <row r="36" spans="1:9" x14ac:dyDescent="0.3">
      <c r="A36">
        <v>214</v>
      </c>
      <c r="B36" s="24">
        <v>43679</v>
      </c>
      <c r="C36" t="s">
        <v>81</v>
      </c>
      <c r="D36" t="s">
        <v>18</v>
      </c>
      <c r="E36" t="s">
        <v>17</v>
      </c>
      <c r="F36">
        <v>600</v>
      </c>
      <c r="G36">
        <v>1</v>
      </c>
      <c r="H36">
        <v>600</v>
      </c>
      <c r="I36">
        <v>600</v>
      </c>
    </row>
    <row r="37" spans="1:9" x14ac:dyDescent="0.3">
      <c r="A37">
        <v>215</v>
      </c>
      <c r="B37" s="24">
        <v>43680</v>
      </c>
      <c r="C37" t="s">
        <v>81</v>
      </c>
      <c r="D37" t="s">
        <v>16</v>
      </c>
      <c r="E37" t="s">
        <v>17</v>
      </c>
      <c r="F37">
        <v>800</v>
      </c>
      <c r="G37">
        <v>1</v>
      </c>
      <c r="H37">
        <v>800</v>
      </c>
      <c r="I37">
        <v>800</v>
      </c>
    </row>
    <row r="38" spans="1:9" x14ac:dyDescent="0.3">
      <c r="A38">
        <v>216</v>
      </c>
      <c r="B38" s="24">
        <v>43681</v>
      </c>
      <c r="C38" t="s">
        <v>81</v>
      </c>
      <c r="D38" t="s">
        <v>19</v>
      </c>
      <c r="E38" t="s">
        <v>20</v>
      </c>
      <c r="F38">
        <v>850</v>
      </c>
      <c r="G38">
        <v>1</v>
      </c>
      <c r="H38">
        <v>850</v>
      </c>
      <c r="I38">
        <v>850</v>
      </c>
    </row>
    <row r="39" spans="1:9" x14ac:dyDescent="0.3">
      <c r="A39">
        <v>217</v>
      </c>
      <c r="B39" s="24">
        <v>43682</v>
      </c>
      <c r="C39" t="s">
        <v>81</v>
      </c>
      <c r="D39" t="s">
        <v>22</v>
      </c>
      <c r="E39" t="s">
        <v>23</v>
      </c>
      <c r="F39">
        <v>500</v>
      </c>
      <c r="G39">
        <v>1</v>
      </c>
      <c r="H39">
        <v>500</v>
      </c>
      <c r="I39">
        <v>500</v>
      </c>
    </row>
    <row r="40" spans="1:9" x14ac:dyDescent="0.3">
      <c r="A40">
        <v>218</v>
      </c>
      <c r="B40" s="24">
        <v>43683</v>
      </c>
      <c r="C40" t="s">
        <v>81</v>
      </c>
      <c r="D40" t="s">
        <v>22</v>
      </c>
      <c r="E40" t="s">
        <v>23</v>
      </c>
      <c r="F40">
        <v>500</v>
      </c>
      <c r="G40">
        <v>1</v>
      </c>
      <c r="H40">
        <v>500</v>
      </c>
      <c r="I40">
        <v>500</v>
      </c>
    </row>
    <row r="41" spans="1:9" x14ac:dyDescent="0.3">
      <c r="A41">
        <v>219</v>
      </c>
      <c r="B41" s="24">
        <v>43684</v>
      </c>
      <c r="C41" t="s">
        <v>81</v>
      </c>
      <c r="D41" t="s">
        <v>10</v>
      </c>
      <c r="E41" t="s">
        <v>11</v>
      </c>
      <c r="F41">
        <v>1100</v>
      </c>
      <c r="G41">
        <v>1</v>
      </c>
      <c r="H41">
        <v>1100</v>
      </c>
      <c r="I41">
        <v>1100</v>
      </c>
    </row>
    <row r="42" spans="1:9" x14ac:dyDescent="0.3">
      <c r="A42">
        <v>220</v>
      </c>
      <c r="B42" s="24">
        <v>43685</v>
      </c>
      <c r="C42" t="s">
        <v>81</v>
      </c>
      <c r="D42" t="s">
        <v>22</v>
      </c>
      <c r="E42" t="s">
        <v>23</v>
      </c>
      <c r="F42">
        <v>500</v>
      </c>
      <c r="G42">
        <v>1</v>
      </c>
      <c r="H42">
        <v>500</v>
      </c>
      <c r="I42">
        <v>500</v>
      </c>
    </row>
    <row r="43" spans="1:9" x14ac:dyDescent="0.3">
      <c r="A43">
        <v>221</v>
      </c>
      <c r="B43" s="24">
        <v>43686</v>
      </c>
      <c r="C43" t="s">
        <v>81</v>
      </c>
      <c r="D43" t="s">
        <v>15</v>
      </c>
      <c r="E43" t="s">
        <v>11</v>
      </c>
      <c r="F43">
        <v>1000</v>
      </c>
      <c r="G43">
        <v>1</v>
      </c>
      <c r="H43">
        <v>1000</v>
      </c>
      <c r="I43">
        <v>1000</v>
      </c>
    </row>
    <row r="44" spans="1:9" x14ac:dyDescent="0.3">
      <c r="A44">
        <v>222</v>
      </c>
      <c r="B44" s="24">
        <v>43687</v>
      </c>
      <c r="C44" t="s">
        <v>81</v>
      </c>
      <c r="D44" t="s">
        <v>16</v>
      </c>
      <c r="E44" t="s">
        <v>17</v>
      </c>
      <c r="F44">
        <v>800</v>
      </c>
      <c r="G44">
        <v>1</v>
      </c>
      <c r="H44">
        <v>800</v>
      </c>
      <c r="I44">
        <v>800</v>
      </c>
    </row>
    <row r="45" spans="1:9" x14ac:dyDescent="0.3">
      <c r="A45">
        <v>223</v>
      </c>
      <c r="B45" s="24">
        <v>43688</v>
      </c>
      <c r="C45" t="s">
        <v>81</v>
      </c>
      <c r="D45" t="s">
        <v>24</v>
      </c>
      <c r="E45" t="s">
        <v>23</v>
      </c>
      <c r="F45">
        <v>600</v>
      </c>
      <c r="G45">
        <v>1</v>
      </c>
      <c r="H45">
        <v>600</v>
      </c>
      <c r="I45">
        <v>600</v>
      </c>
    </row>
    <row r="46" spans="1:9" x14ac:dyDescent="0.3">
      <c r="A46">
        <v>224</v>
      </c>
      <c r="B46" s="24">
        <v>43689</v>
      </c>
      <c r="C46" t="s">
        <v>81</v>
      </c>
      <c r="D46" t="s">
        <v>24</v>
      </c>
      <c r="E46" t="s">
        <v>23</v>
      </c>
      <c r="F46">
        <v>600</v>
      </c>
      <c r="G46">
        <v>1</v>
      </c>
      <c r="H46">
        <v>600</v>
      </c>
      <c r="I46">
        <v>600</v>
      </c>
    </row>
    <row r="47" spans="1:9" x14ac:dyDescent="0.3">
      <c r="A47">
        <v>225</v>
      </c>
      <c r="B47" s="24">
        <v>43690</v>
      </c>
      <c r="C47" t="s">
        <v>81</v>
      </c>
      <c r="D47" t="s">
        <v>19</v>
      </c>
      <c r="E47" t="s">
        <v>20</v>
      </c>
      <c r="F47">
        <v>850</v>
      </c>
      <c r="G47">
        <v>1</v>
      </c>
      <c r="H47">
        <v>850</v>
      </c>
      <c r="I47">
        <v>850</v>
      </c>
    </row>
    <row r="48" spans="1:9" x14ac:dyDescent="0.3">
      <c r="A48">
        <v>226</v>
      </c>
      <c r="B48" s="24">
        <v>43691</v>
      </c>
      <c r="C48" t="s">
        <v>81</v>
      </c>
      <c r="D48" t="s">
        <v>24</v>
      </c>
      <c r="E48" t="s">
        <v>23</v>
      </c>
      <c r="F48">
        <v>600</v>
      </c>
      <c r="G48">
        <v>1</v>
      </c>
      <c r="H48">
        <v>600</v>
      </c>
      <c r="I48">
        <v>600</v>
      </c>
    </row>
    <row r="49" spans="1:9" x14ac:dyDescent="0.3">
      <c r="A49">
        <v>227</v>
      </c>
      <c r="B49" s="24">
        <v>43692</v>
      </c>
      <c r="C49" t="s">
        <v>81</v>
      </c>
      <c r="D49" t="s">
        <v>18</v>
      </c>
      <c r="E49" t="s">
        <v>17</v>
      </c>
      <c r="F49">
        <v>600</v>
      </c>
      <c r="G49">
        <v>1</v>
      </c>
      <c r="H49">
        <v>600</v>
      </c>
      <c r="I49">
        <v>600</v>
      </c>
    </row>
    <row r="50" spans="1:9" x14ac:dyDescent="0.3">
      <c r="A50">
        <v>228</v>
      </c>
      <c r="B50" s="24">
        <v>43693</v>
      </c>
      <c r="C50" t="s">
        <v>81</v>
      </c>
      <c r="D50" t="s">
        <v>24</v>
      </c>
      <c r="E50" t="s">
        <v>23</v>
      </c>
      <c r="F50">
        <v>600</v>
      </c>
      <c r="G50">
        <v>1</v>
      </c>
      <c r="H50">
        <v>600</v>
      </c>
      <c r="I50">
        <v>600</v>
      </c>
    </row>
    <row r="51" spans="1:9" x14ac:dyDescent="0.3">
      <c r="A51">
        <v>229</v>
      </c>
      <c r="B51" s="24">
        <v>43694</v>
      </c>
      <c r="C51" t="s">
        <v>81</v>
      </c>
      <c r="D51" t="s">
        <v>10</v>
      </c>
      <c r="E51" t="s">
        <v>11</v>
      </c>
      <c r="F51">
        <v>1100</v>
      </c>
      <c r="G51">
        <v>1</v>
      </c>
      <c r="H51">
        <v>1100</v>
      </c>
      <c r="I51">
        <v>1100</v>
      </c>
    </row>
    <row r="52" spans="1:9" x14ac:dyDescent="0.3">
      <c r="A52">
        <v>230</v>
      </c>
      <c r="B52" s="24">
        <v>43695</v>
      </c>
      <c r="C52" t="s">
        <v>81</v>
      </c>
      <c r="D52" t="s">
        <v>18</v>
      </c>
      <c r="E52" t="s">
        <v>17</v>
      </c>
      <c r="F52">
        <v>600</v>
      </c>
      <c r="G52">
        <v>1</v>
      </c>
      <c r="H52">
        <v>600</v>
      </c>
      <c r="I52">
        <v>600</v>
      </c>
    </row>
    <row r="53" spans="1:9" x14ac:dyDescent="0.3">
      <c r="A53">
        <v>231</v>
      </c>
      <c r="B53" s="24">
        <v>43696</v>
      </c>
      <c r="C53" t="s">
        <v>81</v>
      </c>
      <c r="D53" t="s">
        <v>10</v>
      </c>
      <c r="E53" t="s">
        <v>11</v>
      </c>
      <c r="F53">
        <v>1100</v>
      </c>
      <c r="G53">
        <v>1</v>
      </c>
      <c r="H53">
        <v>1100</v>
      </c>
      <c r="I53">
        <v>1100</v>
      </c>
    </row>
    <row r="54" spans="1:9" x14ac:dyDescent="0.3">
      <c r="A54">
        <v>232</v>
      </c>
      <c r="B54" s="24">
        <v>43697</v>
      </c>
      <c r="C54" t="s">
        <v>81</v>
      </c>
      <c r="D54" t="s">
        <v>10</v>
      </c>
      <c r="E54" t="s">
        <v>11</v>
      </c>
      <c r="F54">
        <v>1100</v>
      </c>
      <c r="G54">
        <v>1</v>
      </c>
      <c r="H54">
        <v>1100</v>
      </c>
      <c r="I54">
        <v>1100</v>
      </c>
    </row>
    <row r="55" spans="1:9" x14ac:dyDescent="0.3">
      <c r="A55">
        <v>233</v>
      </c>
      <c r="B55" s="24">
        <v>43698</v>
      </c>
      <c r="C55" t="s">
        <v>81</v>
      </c>
      <c r="D55" t="s">
        <v>10</v>
      </c>
      <c r="E55" t="s">
        <v>11</v>
      </c>
      <c r="F55">
        <v>1100</v>
      </c>
      <c r="G55">
        <v>1</v>
      </c>
      <c r="H55">
        <v>1100</v>
      </c>
      <c r="I55">
        <v>1100</v>
      </c>
    </row>
    <row r="56" spans="1:9" x14ac:dyDescent="0.3">
      <c r="A56">
        <v>234</v>
      </c>
      <c r="B56" s="24">
        <v>43699</v>
      </c>
      <c r="C56" t="s">
        <v>81</v>
      </c>
      <c r="D56" t="s">
        <v>19</v>
      </c>
      <c r="E56" t="s">
        <v>20</v>
      </c>
      <c r="F56">
        <v>850</v>
      </c>
      <c r="G56">
        <v>1</v>
      </c>
      <c r="H56">
        <v>850</v>
      </c>
      <c r="I56">
        <v>850</v>
      </c>
    </row>
    <row r="57" spans="1:9" x14ac:dyDescent="0.3">
      <c r="A57">
        <v>235</v>
      </c>
      <c r="B57" s="24">
        <v>43700</v>
      </c>
      <c r="C57" t="s">
        <v>81</v>
      </c>
      <c r="D57" t="s">
        <v>18</v>
      </c>
      <c r="E57" t="s">
        <v>17</v>
      </c>
      <c r="F57">
        <v>600</v>
      </c>
      <c r="G57">
        <v>1</v>
      </c>
      <c r="H57">
        <v>600</v>
      </c>
      <c r="I57">
        <v>600</v>
      </c>
    </row>
    <row r="58" spans="1:9" x14ac:dyDescent="0.3">
      <c r="A58">
        <v>236</v>
      </c>
      <c r="B58" s="24">
        <v>43701</v>
      </c>
      <c r="C58" t="s">
        <v>81</v>
      </c>
      <c r="D58" t="s">
        <v>18</v>
      </c>
      <c r="E58" t="s">
        <v>17</v>
      </c>
      <c r="F58">
        <v>600</v>
      </c>
      <c r="G58">
        <v>1</v>
      </c>
      <c r="H58">
        <v>600</v>
      </c>
      <c r="I58">
        <v>600</v>
      </c>
    </row>
    <row r="59" spans="1:9" x14ac:dyDescent="0.3">
      <c r="A59">
        <v>237</v>
      </c>
      <c r="B59" s="24">
        <v>43702</v>
      </c>
      <c r="C59" t="s">
        <v>81</v>
      </c>
      <c r="D59" t="s">
        <v>16</v>
      </c>
      <c r="E59" t="s">
        <v>17</v>
      </c>
      <c r="F59">
        <v>800</v>
      </c>
      <c r="G59">
        <v>1</v>
      </c>
      <c r="H59">
        <v>800</v>
      </c>
      <c r="I59">
        <v>800</v>
      </c>
    </row>
    <row r="60" spans="1:9" x14ac:dyDescent="0.3">
      <c r="A60">
        <v>238</v>
      </c>
      <c r="B60" s="24">
        <v>43703</v>
      </c>
      <c r="C60" t="s">
        <v>81</v>
      </c>
      <c r="D60" t="s">
        <v>21</v>
      </c>
      <c r="E60" t="s">
        <v>20</v>
      </c>
      <c r="F60">
        <v>1200</v>
      </c>
      <c r="G60">
        <v>1</v>
      </c>
      <c r="H60">
        <v>1200</v>
      </c>
      <c r="I60">
        <v>1200</v>
      </c>
    </row>
    <row r="61" spans="1:9" x14ac:dyDescent="0.3">
      <c r="A61">
        <v>239</v>
      </c>
      <c r="B61" s="24">
        <v>43704</v>
      </c>
      <c r="C61" t="s">
        <v>81</v>
      </c>
      <c r="D61" t="s">
        <v>15</v>
      </c>
      <c r="E61" t="s">
        <v>11</v>
      </c>
      <c r="F61">
        <v>1000</v>
      </c>
      <c r="G61">
        <v>1</v>
      </c>
      <c r="H61">
        <v>1000</v>
      </c>
      <c r="I61">
        <v>1000</v>
      </c>
    </row>
    <row r="62" spans="1:9" x14ac:dyDescent="0.3">
      <c r="A62">
        <v>240</v>
      </c>
      <c r="B62" s="24">
        <v>43705</v>
      </c>
      <c r="C62" t="s">
        <v>81</v>
      </c>
      <c r="D62" t="s">
        <v>24</v>
      </c>
      <c r="E62" t="s">
        <v>23</v>
      </c>
      <c r="F62">
        <v>600</v>
      </c>
      <c r="G62">
        <v>1</v>
      </c>
      <c r="H62">
        <v>600</v>
      </c>
      <c r="I62">
        <v>600</v>
      </c>
    </row>
    <row r="63" spans="1:9" x14ac:dyDescent="0.3">
      <c r="A63">
        <v>241</v>
      </c>
      <c r="B63" s="24">
        <v>43706</v>
      </c>
      <c r="C63" t="s">
        <v>81</v>
      </c>
      <c r="D63" t="s">
        <v>14</v>
      </c>
      <c r="E63" t="s">
        <v>11</v>
      </c>
      <c r="F63">
        <v>900</v>
      </c>
      <c r="G63">
        <v>1</v>
      </c>
      <c r="H63">
        <v>900</v>
      </c>
      <c r="I63">
        <v>900</v>
      </c>
    </row>
    <row r="64" spans="1:9" x14ac:dyDescent="0.3">
      <c r="A64">
        <v>242</v>
      </c>
      <c r="B64" s="24">
        <v>43707</v>
      </c>
      <c r="C64" t="s">
        <v>81</v>
      </c>
      <c r="D64" t="s">
        <v>18</v>
      </c>
      <c r="E64" t="s">
        <v>17</v>
      </c>
      <c r="F64">
        <v>600</v>
      </c>
      <c r="G64">
        <v>1</v>
      </c>
      <c r="H64">
        <v>600</v>
      </c>
      <c r="I64">
        <v>600</v>
      </c>
    </row>
    <row r="65" spans="1:9" x14ac:dyDescent="0.3">
      <c r="A65">
        <v>243</v>
      </c>
      <c r="B65" s="24">
        <v>43708</v>
      </c>
      <c r="C65" t="s">
        <v>81</v>
      </c>
      <c r="D65" t="s">
        <v>12</v>
      </c>
      <c r="E65" t="s">
        <v>11</v>
      </c>
      <c r="F65">
        <v>900</v>
      </c>
      <c r="G65">
        <v>1</v>
      </c>
      <c r="H65">
        <v>900</v>
      </c>
      <c r="I65">
        <v>765</v>
      </c>
    </row>
    <row r="66" spans="1:9" x14ac:dyDescent="0.3">
      <c r="A66">
        <v>244</v>
      </c>
      <c r="B66" s="24">
        <v>43709</v>
      </c>
      <c r="C66" t="s">
        <v>81</v>
      </c>
      <c r="D66" t="s">
        <v>24</v>
      </c>
      <c r="E66" t="s">
        <v>23</v>
      </c>
      <c r="F66">
        <v>600</v>
      </c>
      <c r="G66">
        <v>1</v>
      </c>
      <c r="H66">
        <v>600</v>
      </c>
      <c r="I66">
        <v>600</v>
      </c>
    </row>
    <row r="67" spans="1:9" x14ac:dyDescent="0.3">
      <c r="A67">
        <v>245</v>
      </c>
      <c r="B67" s="24">
        <v>43710</v>
      </c>
      <c r="C67" t="s">
        <v>81</v>
      </c>
      <c r="D67" t="s">
        <v>19</v>
      </c>
      <c r="E67" t="s">
        <v>20</v>
      </c>
      <c r="F67">
        <v>850</v>
      </c>
      <c r="G67">
        <v>1</v>
      </c>
      <c r="H67">
        <v>850</v>
      </c>
      <c r="I67">
        <v>850</v>
      </c>
    </row>
    <row r="68" spans="1:9" x14ac:dyDescent="0.3">
      <c r="A68">
        <v>246</v>
      </c>
      <c r="B68" s="24">
        <v>43711</v>
      </c>
      <c r="C68" t="s">
        <v>81</v>
      </c>
      <c r="D68" t="s">
        <v>14</v>
      </c>
      <c r="E68" t="s">
        <v>11</v>
      </c>
      <c r="F68">
        <v>900</v>
      </c>
      <c r="G68">
        <v>1</v>
      </c>
      <c r="H68">
        <v>900</v>
      </c>
      <c r="I68">
        <v>900</v>
      </c>
    </row>
    <row r="69" spans="1:9" x14ac:dyDescent="0.3">
      <c r="A69">
        <v>247</v>
      </c>
      <c r="B69" s="24">
        <v>43712</v>
      </c>
      <c r="C69" t="s">
        <v>81</v>
      </c>
      <c r="D69" t="s">
        <v>10</v>
      </c>
      <c r="E69" t="s">
        <v>11</v>
      </c>
      <c r="F69">
        <v>1100</v>
      </c>
      <c r="G69">
        <v>1</v>
      </c>
      <c r="H69">
        <v>1100</v>
      </c>
      <c r="I69">
        <v>1100</v>
      </c>
    </row>
    <row r="70" spans="1:9" x14ac:dyDescent="0.3">
      <c r="A70">
        <v>248</v>
      </c>
      <c r="B70" s="24">
        <v>43713</v>
      </c>
      <c r="C70" t="s">
        <v>81</v>
      </c>
      <c r="D70" t="s">
        <v>14</v>
      </c>
      <c r="E70" t="s">
        <v>11</v>
      </c>
      <c r="F70">
        <v>900</v>
      </c>
      <c r="G70">
        <v>1</v>
      </c>
      <c r="H70">
        <v>900</v>
      </c>
      <c r="I70">
        <v>900</v>
      </c>
    </row>
    <row r="71" spans="1:9" x14ac:dyDescent="0.3">
      <c r="A71">
        <v>249</v>
      </c>
      <c r="B71" s="24">
        <v>43714</v>
      </c>
      <c r="C71" t="s">
        <v>81</v>
      </c>
      <c r="D71" t="s">
        <v>15</v>
      </c>
      <c r="E71" t="s">
        <v>11</v>
      </c>
      <c r="F71">
        <v>1000</v>
      </c>
      <c r="G71">
        <v>1</v>
      </c>
      <c r="H71">
        <v>1000</v>
      </c>
      <c r="I71">
        <v>1000</v>
      </c>
    </row>
    <row r="72" spans="1:9" x14ac:dyDescent="0.3">
      <c r="A72">
        <v>250</v>
      </c>
      <c r="B72" s="24">
        <v>43715</v>
      </c>
      <c r="C72" t="s">
        <v>81</v>
      </c>
      <c r="D72" t="s">
        <v>10</v>
      </c>
      <c r="E72" t="s">
        <v>11</v>
      </c>
      <c r="F72">
        <v>1100</v>
      </c>
      <c r="G72">
        <v>1</v>
      </c>
      <c r="H72">
        <v>1100</v>
      </c>
      <c r="I72">
        <v>1100</v>
      </c>
    </row>
    <row r="73" spans="1:9" x14ac:dyDescent="0.3">
      <c r="A73">
        <v>251</v>
      </c>
      <c r="B73" s="24">
        <v>43716</v>
      </c>
      <c r="C73" t="s">
        <v>81</v>
      </c>
      <c r="D73" t="s">
        <v>15</v>
      </c>
      <c r="E73" t="s">
        <v>11</v>
      </c>
      <c r="F73">
        <v>1000</v>
      </c>
      <c r="G73">
        <v>1</v>
      </c>
      <c r="H73">
        <v>1000</v>
      </c>
      <c r="I73">
        <v>1000</v>
      </c>
    </row>
    <row r="74" spans="1:9" x14ac:dyDescent="0.3">
      <c r="A74">
        <v>252</v>
      </c>
      <c r="B74" s="24">
        <v>43717</v>
      </c>
      <c r="C74" t="s">
        <v>81</v>
      </c>
      <c r="D74" t="s">
        <v>10</v>
      </c>
      <c r="E74" t="s">
        <v>11</v>
      </c>
      <c r="F74">
        <v>1100</v>
      </c>
      <c r="G74">
        <v>1</v>
      </c>
      <c r="H74">
        <v>1100</v>
      </c>
      <c r="I74">
        <v>1100</v>
      </c>
    </row>
    <row r="75" spans="1:9" x14ac:dyDescent="0.3">
      <c r="A75">
        <v>253</v>
      </c>
      <c r="B75" s="24">
        <v>43718</v>
      </c>
      <c r="C75" t="s">
        <v>81</v>
      </c>
      <c r="D75" t="s">
        <v>14</v>
      </c>
      <c r="E75" t="s">
        <v>11</v>
      </c>
      <c r="F75">
        <v>900</v>
      </c>
      <c r="G75">
        <v>1</v>
      </c>
      <c r="H75">
        <v>900</v>
      </c>
      <c r="I75">
        <v>900</v>
      </c>
    </row>
    <row r="76" spans="1:9" x14ac:dyDescent="0.3">
      <c r="A76">
        <v>254</v>
      </c>
      <c r="B76" s="24">
        <v>43719</v>
      </c>
      <c r="C76" t="s">
        <v>81</v>
      </c>
      <c r="D76" t="s">
        <v>12</v>
      </c>
      <c r="E76" t="s">
        <v>11</v>
      </c>
      <c r="F76">
        <v>900</v>
      </c>
      <c r="G76">
        <v>1</v>
      </c>
      <c r="H76">
        <v>900</v>
      </c>
      <c r="I76">
        <v>765</v>
      </c>
    </row>
    <row r="77" spans="1:9" x14ac:dyDescent="0.3">
      <c r="A77">
        <v>255</v>
      </c>
      <c r="B77" s="24">
        <v>43720</v>
      </c>
      <c r="C77" t="s">
        <v>81</v>
      </c>
      <c r="D77" t="s">
        <v>10</v>
      </c>
      <c r="E77" t="s">
        <v>11</v>
      </c>
      <c r="F77">
        <v>1100</v>
      </c>
      <c r="G77">
        <v>1</v>
      </c>
      <c r="H77">
        <v>1100</v>
      </c>
      <c r="I77">
        <v>1100</v>
      </c>
    </row>
    <row r="78" spans="1:9" x14ac:dyDescent="0.3">
      <c r="A78">
        <v>256</v>
      </c>
      <c r="B78" s="24">
        <v>43721</v>
      </c>
      <c r="C78" t="s">
        <v>81</v>
      </c>
      <c r="D78" t="s">
        <v>10</v>
      </c>
      <c r="E78" t="s">
        <v>11</v>
      </c>
      <c r="F78">
        <v>1100</v>
      </c>
      <c r="G78">
        <v>1</v>
      </c>
      <c r="H78">
        <v>1100</v>
      </c>
      <c r="I78">
        <v>1100</v>
      </c>
    </row>
    <row r="79" spans="1:9" x14ac:dyDescent="0.3">
      <c r="A79">
        <v>257</v>
      </c>
      <c r="B79" s="24">
        <v>43722</v>
      </c>
      <c r="C79" t="s">
        <v>81</v>
      </c>
      <c r="D79" t="s">
        <v>15</v>
      </c>
      <c r="E79" t="s">
        <v>11</v>
      </c>
      <c r="F79">
        <v>1000</v>
      </c>
      <c r="G79">
        <v>1</v>
      </c>
      <c r="H79">
        <v>1000</v>
      </c>
      <c r="I79">
        <v>1000</v>
      </c>
    </row>
    <row r="80" spans="1:9" x14ac:dyDescent="0.3">
      <c r="A80">
        <v>258</v>
      </c>
      <c r="B80" s="24">
        <v>43723</v>
      </c>
      <c r="C80" t="s">
        <v>81</v>
      </c>
      <c r="D80" t="s">
        <v>12</v>
      </c>
      <c r="E80" t="s">
        <v>11</v>
      </c>
      <c r="F80">
        <v>900</v>
      </c>
      <c r="G80">
        <v>1</v>
      </c>
      <c r="H80">
        <v>900</v>
      </c>
      <c r="I80">
        <v>765</v>
      </c>
    </row>
    <row r="81" spans="1:9" x14ac:dyDescent="0.3">
      <c r="A81">
        <v>259</v>
      </c>
      <c r="B81" s="24">
        <v>43724</v>
      </c>
      <c r="C81" t="s">
        <v>81</v>
      </c>
      <c r="D81" t="s">
        <v>18</v>
      </c>
      <c r="E81" t="s">
        <v>17</v>
      </c>
      <c r="F81">
        <v>600</v>
      </c>
      <c r="G81">
        <v>1</v>
      </c>
      <c r="H81">
        <v>600</v>
      </c>
      <c r="I81">
        <v>600</v>
      </c>
    </row>
    <row r="82" spans="1:9" x14ac:dyDescent="0.3">
      <c r="A82">
        <v>260</v>
      </c>
      <c r="B82" s="24">
        <v>43725</v>
      </c>
      <c r="C82" t="s">
        <v>81</v>
      </c>
      <c r="D82" t="s">
        <v>12</v>
      </c>
      <c r="E82" t="s">
        <v>11</v>
      </c>
      <c r="F82">
        <v>900</v>
      </c>
      <c r="G82">
        <v>1</v>
      </c>
      <c r="H82">
        <v>900</v>
      </c>
      <c r="I82">
        <v>765</v>
      </c>
    </row>
    <row r="83" spans="1:9" x14ac:dyDescent="0.3">
      <c r="A83">
        <v>261</v>
      </c>
      <c r="B83" s="24">
        <v>43726</v>
      </c>
      <c r="C83" t="s">
        <v>81</v>
      </c>
      <c r="D83" t="s">
        <v>18</v>
      </c>
      <c r="E83" t="s">
        <v>17</v>
      </c>
      <c r="F83">
        <v>600</v>
      </c>
      <c r="G83">
        <v>1</v>
      </c>
      <c r="H83">
        <v>600</v>
      </c>
      <c r="I83">
        <v>600</v>
      </c>
    </row>
    <row r="84" spans="1:9" x14ac:dyDescent="0.3">
      <c r="A84">
        <v>262</v>
      </c>
      <c r="B84" s="24">
        <v>43727</v>
      </c>
      <c r="C84" t="s">
        <v>81</v>
      </c>
      <c r="D84" t="s">
        <v>14</v>
      </c>
      <c r="E84" t="s">
        <v>11</v>
      </c>
      <c r="F84">
        <v>900</v>
      </c>
      <c r="G84">
        <v>1</v>
      </c>
      <c r="H84">
        <v>900</v>
      </c>
      <c r="I84">
        <v>900</v>
      </c>
    </row>
    <row r="85" spans="1:9" x14ac:dyDescent="0.3">
      <c r="A85">
        <v>263</v>
      </c>
      <c r="B85" s="24">
        <v>43728</v>
      </c>
      <c r="C85" t="s">
        <v>81</v>
      </c>
      <c r="D85" t="s">
        <v>10</v>
      </c>
      <c r="E85" t="s">
        <v>11</v>
      </c>
      <c r="F85">
        <v>1100</v>
      </c>
      <c r="G85">
        <v>2</v>
      </c>
      <c r="H85">
        <v>2200</v>
      </c>
      <c r="I85">
        <v>2200</v>
      </c>
    </row>
    <row r="86" spans="1:9" x14ac:dyDescent="0.3">
      <c r="A86">
        <v>264</v>
      </c>
      <c r="B86" s="24">
        <v>43729</v>
      </c>
      <c r="C86" t="s">
        <v>81</v>
      </c>
      <c r="D86" t="s">
        <v>18</v>
      </c>
      <c r="E86" t="s">
        <v>17</v>
      </c>
      <c r="F86">
        <v>600</v>
      </c>
      <c r="G86">
        <v>1</v>
      </c>
      <c r="H86">
        <v>600</v>
      </c>
      <c r="I86">
        <v>600</v>
      </c>
    </row>
    <row r="87" spans="1:9" x14ac:dyDescent="0.3">
      <c r="A87">
        <v>265</v>
      </c>
      <c r="B87" s="24">
        <v>43730</v>
      </c>
      <c r="C87" t="s">
        <v>81</v>
      </c>
      <c r="D87" t="s">
        <v>18</v>
      </c>
      <c r="E87" t="s">
        <v>17</v>
      </c>
      <c r="F87">
        <v>600</v>
      </c>
      <c r="G87">
        <v>1</v>
      </c>
      <c r="H87">
        <v>600</v>
      </c>
      <c r="I87">
        <v>600</v>
      </c>
    </row>
    <row r="88" spans="1:9" x14ac:dyDescent="0.3">
      <c r="A88">
        <v>266</v>
      </c>
      <c r="B88" s="24">
        <v>43731</v>
      </c>
      <c r="C88" t="s">
        <v>81</v>
      </c>
      <c r="D88" t="s">
        <v>14</v>
      </c>
      <c r="E88" t="s">
        <v>11</v>
      </c>
      <c r="F88">
        <v>900</v>
      </c>
      <c r="G88">
        <v>1</v>
      </c>
      <c r="H88">
        <v>900</v>
      </c>
      <c r="I88">
        <v>900</v>
      </c>
    </row>
    <row r="89" spans="1:9" x14ac:dyDescent="0.3">
      <c r="A89">
        <v>267</v>
      </c>
      <c r="B89" s="24">
        <v>43732</v>
      </c>
      <c r="C89" t="s">
        <v>81</v>
      </c>
      <c r="D89" t="s">
        <v>10</v>
      </c>
      <c r="E89" t="s">
        <v>11</v>
      </c>
      <c r="F89">
        <v>1100</v>
      </c>
      <c r="G89">
        <v>1</v>
      </c>
      <c r="H89">
        <v>1100</v>
      </c>
      <c r="I89">
        <v>1100</v>
      </c>
    </row>
    <row r="90" spans="1:9" x14ac:dyDescent="0.3">
      <c r="A90">
        <v>268</v>
      </c>
      <c r="B90" s="24">
        <v>43733</v>
      </c>
      <c r="C90" t="s">
        <v>81</v>
      </c>
      <c r="D90" t="s">
        <v>18</v>
      </c>
      <c r="E90" t="s">
        <v>17</v>
      </c>
      <c r="F90">
        <v>600</v>
      </c>
      <c r="G90">
        <v>1</v>
      </c>
      <c r="H90">
        <v>600</v>
      </c>
      <c r="I90">
        <v>600</v>
      </c>
    </row>
    <row r="91" spans="1:9" x14ac:dyDescent="0.3">
      <c r="A91">
        <v>269</v>
      </c>
      <c r="B91" s="24">
        <v>43734</v>
      </c>
      <c r="C91" t="s">
        <v>81</v>
      </c>
      <c r="D91" t="s">
        <v>24</v>
      </c>
      <c r="E91" t="s">
        <v>23</v>
      </c>
      <c r="F91">
        <v>600</v>
      </c>
      <c r="G91">
        <v>1</v>
      </c>
      <c r="H91">
        <v>600</v>
      </c>
      <c r="I91">
        <v>600</v>
      </c>
    </row>
    <row r="92" spans="1:9" x14ac:dyDescent="0.3">
      <c r="A92">
        <v>270</v>
      </c>
      <c r="B92" s="24">
        <v>43735</v>
      </c>
      <c r="C92" t="s">
        <v>81</v>
      </c>
      <c r="D92" t="s">
        <v>18</v>
      </c>
      <c r="E92" t="s">
        <v>17</v>
      </c>
      <c r="F92">
        <v>600</v>
      </c>
      <c r="G92">
        <v>1</v>
      </c>
      <c r="H92">
        <v>600</v>
      </c>
      <c r="I92">
        <v>600</v>
      </c>
    </row>
    <row r="93" spans="1:9" x14ac:dyDescent="0.3">
      <c r="A93">
        <v>271</v>
      </c>
      <c r="B93" s="24">
        <v>43736</v>
      </c>
      <c r="C93" t="s">
        <v>81</v>
      </c>
      <c r="D93" t="s">
        <v>24</v>
      </c>
      <c r="E93" t="s">
        <v>23</v>
      </c>
      <c r="F93">
        <v>600</v>
      </c>
      <c r="G93">
        <v>1</v>
      </c>
      <c r="H93">
        <v>600</v>
      </c>
      <c r="I93">
        <v>600</v>
      </c>
    </row>
    <row r="94" spans="1:9" x14ac:dyDescent="0.3">
      <c r="A94">
        <v>272</v>
      </c>
      <c r="B94" s="24">
        <v>43737</v>
      </c>
      <c r="C94" t="s">
        <v>81</v>
      </c>
      <c r="D94" t="s">
        <v>24</v>
      </c>
      <c r="E94" t="s">
        <v>23</v>
      </c>
      <c r="F94">
        <v>600</v>
      </c>
      <c r="G94">
        <v>2</v>
      </c>
      <c r="H94">
        <v>1200</v>
      </c>
      <c r="I94">
        <v>1200</v>
      </c>
    </row>
    <row r="95" spans="1:9" x14ac:dyDescent="0.3">
      <c r="A95">
        <v>273</v>
      </c>
      <c r="B95" s="24">
        <v>43738</v>
      </c>
      <c r="C95" t="s">
        <v>81</v>
      </c>
      <c r="D95" t="s">
        <v>18</v>
      </c>
      <c r="E95" t="s">
        <v>17</v>
      </c>
      <c r="F95">
        <v>600</v>
      </c>
      <c r="G95">
        <v>1</v>
      </c>
      <c r="H95">
        <v>600</v>
      </c>
      <c r="I95">
        <v>600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1E3F7-8122-4DB3-B270-7B35E70A93EB}">
  <dimension ref="A1:I94"/>
  <sheetViews>
    <sheetView workbookViewId="0">
      <selection activeCell="A3" sqref="A3:I94"/>
    </sheetView>
  </sheetViews>
  <sheetFormatPr defaultRowHeight="14.4" x14ac:dyDescent="0.3"/>
  <cols>
    <col min="1" max="1" width="12.5546875" bestFit="1" customWidth="1"/>
    <col min="2" max="2" width="12.6640625" bestFit="1" customWidth="1"/>
    <col min="3" max="3" width="17.109375" bestFit="1" customWidth="1"/>
    <col min="4" max="4" width="12.6640625" bestFit="1" customWidth="1"/>
    <col min="5" max="5" width="16.109375" bestFit="1" customWidth="1"/>
    <col min="6" max="6" width="13.21875" bestFit="1" customWidth="1"/>
    <col min="7" max="7" width="14.6640625" bestFit="1" customWidth="1"/>
    <col min="8" max="8" width="12.109375" bestFit="1" customWidth="1"/>
    <col min="9" max="9" width="20.6640625" bestFit="1" customWidth="1"/>
  </cols>
  <sheetData>
    <row r="1" spans="1:9" x14ac:dyDescent="0.3">
      <c r="A1" s="25" t="s">
        <v>93</v>
      </c>
    </row>
    <row r="3" spans="1:9" x14ac:dyDescent="0.3">
      <c r="A3" t="s">
        <v>1</v>
      </c>
      <c r="B3" t="s">
        <v>2</v>
      </c>
      <c r="C3" t="s">
        <v>3</v>
      </c>
      <c r="D3" t="s">
        <v>4</v>
      </c>
      <c r="E3" t="s">
        <v>5</v>
      </c>
      <c r="F3" t="s">
        <v>6</v>
      </c>
      <c r="G3" t="s">
        <v>7</v>
      </c>
      <c r="H3" t="s">
        <v>79</v>
      </c>
      <c r="I3" t="s">
        <v>82</v>
      </c>
    </row>
    <row r="4" spans="1:9" x14ac:dyDescent="0.3">
      <c r="A4">
        <v>457</v>
      </c>
      <c r="B4" s="24">
        <v>43922</v>
      </c>
      <c r="C4" t="s">
        <v>81</v>
      </c>
      <c r="D4" t="s">
        <v>24</v>
      </c>
      <c r="E4" t="s">
        <v>23</v>
      </c>
      <c r="F4">
        <v>600</v>
      </c>
      <c r="G4">
        <v>1</v>
      </c>
      <c r="H4">
        <v>600</v>
      </c>
      <c r="I4">
        <v>600</v>
      </c>
    </row>
    <row r="5" spans="1:9" x14ac:dyDescent="0.3">
      <c r="A5">
        <v>458</v>
      </c>
      <c r="B5" s="24">
        <v>43923</v>
      </c>
      <c r="C5" t="s">
        <v>81</v>
      </c>
      <c r="D5" t="s">
        <v>10</v>
      </c>
      <c r="E5" t="s">
        <v>11</v>
      </c>
      <c r="F5">
        <v>1100</v>
      </c>
      <c r="G5">
        <v>1</v>
      </c>
      <c r="H5">
        <v>1100</v>
      </c>
      <c r="I5">
        <v>1100</v>
      </c>
    </row>
    <row r="6" spans="1:9" x14ac:dyDescent="0.3">
      <c r="A6">
        <v>459</v>
      </c>
      <c r="B6" s="24">
        <v>43924</v>
      </c>
      <c r="C6" t="s">
        <v>81</v>
      </c>
      <c r="D6" t="s">
        <v>16</v>
      </c>
      <c r="E6" t="s">
        <v>17</v>
      </c>
      <c r="F6">
        <v>800</v>
      </c>
      <c r="G6">
        <v>1</v>
      </c>
      <c r="H6">
        <v>800</v>
      </c>
      <c r="I6">
        <v>800</v>
      </c>
    </row>
    <row r="7" spans="1:9" x14ac:dyDescent="0.3">
      <c r="A7">
        <v>460</v>
      </c>
      <c r="B7" s="24">
        <v>43925</v>
      </c>
      <c r="C7" t="s">
        <v>81</v>
      </c>
      <c r="D7" t="s">
        <v>14</v>
      </c>
      <c r="E7" t="s">
        <v>11</v>
      </c>
      <c r="F7">
        <v>900</v>
      </c>
      <c r="G7">
        <v>1</v>
      </c>
      <c r="H7">
        <v>900</v>
      </c>
      <c r="I7">
        <v>900</v>
      </c>
    </row>
    <row r="8" spans="1:9" x14ac:dyDescent="0.3">
      <c r="A8">
        <v>461</v>
      </c>
      <c r="B8" s="24">
        <v>43926</v>
      </c>
      <c r="C8" t="s">
        <v>81</v>
      </c>
      <c r="D8" t="s">
        <v>10</v>
      </c>
      <c r="E8" t="s">
        <v>11</v>
      </c>
      <c r="F8">
        <v>1100</v>
      </c>
      <c r="G8">
        <v>1</v>
      </c>
      <c r="H8">
        <v>1100</v>
      </c>
      <c r="I8">
        <v>1100</v>
      </c>
    </row>
    <row r="9" spans="1:9" x14ac:dyDescent="0.3">
      <c r="A9">
        <v>462</v>
      </c>
      <c r="B9" s="24">
        <v>43927</v>
      </c>
      <c r="C9" t="s">
        <v>81</v>
      </c>
      <c r="D9" t="s">
        <v>14</v>
      </c>
      <c r="E9" t="s">
        <v>11</v>
      </c>
      <c r="F9">
        <v>900</v>
      </c>
      <c r="G9">
        <v>1</v>
      </c>
      <c r="H9">
        <v>900</v>
      </c>
      <c r="I9">
        <v>900</v>
      </c>
    </row>
    <row r="10" spans="1:9" x14ac:dyDescent="0.3">
      <c r="A10">
        <v>463</v>
      </c>
      <c r="B10" s="24">
        <v>43928</v>
      </c>
      <c r="C10" t="s">
        <v>81</v>
      </c>
      <c r="D10" t="s">
        <v>18</v>
      </c>
      <c r="E10" t="s">
        <v>17</v>
      </c>
      <c r="F10">
        <v>600</v>
      </c>
      <c r="G10">
        <v>1</v>
      </c>
      <c r="H10">
        <v>600</v>
      </c>
      <c r="I10">
        <v>600</v>
      </c>
    </row>
    <row r="11" spans="1:9" x14ac:dyDescent="0.3">
      <c r="A11">
        <v>464</v>
      </c>
      <c r="B11" s="24">
        <v>43929</v>
      </c>
      <c r="C11" t="s">
        <v>81</v>
      </c>
      <c r="D11" t="s">
        <v>10</v>
      </c>
      <c r="E11" t="s">
        <v>11</v>
      </c>
      <c r="F11">
        <v>1100</v>
      </c>
      <c r="G11">
        <v>1</v>
      </c>
      <c r="H11">
        <v>1100</v>
      </c>
      <c r="I11">
        <v>1100</v>
      </c>
    </row>
    <row r="12" spans="1:9" x14ac:dyDescent="0.3">
      <c r="A12">
        <v>465</v>
      </c>
      <c r="B12" s="24">
        <v>43930</v>
      </c>
      <c r="C12" t="s">
        <v>81</v>
      </c>
      <c r="D12" t="s">
        <v>10</v>
      </c>
      <c r="E12" t="s">
        <v>11</v>
      </c>
      <c r="F12">
        <v>1100</v>
      </c>
      <c r="G12">
        <v>2</v>
      </c>
      <c r="H12">
        <v>2200</v>
      </c>
      <c r="I12">
        <v>2200</v>
      </c>
    </row>
    <row r="13" spans="1:9" x14ac:dyDescent="0.3">
      <c r="A13">
        <v>466</v>
      </c>
      <c r="B13" s="24">
        <v>43931</v>
      </c>
      <c r="C13" t="s">
        <v>81</v>
      </c>
      <c r="D13" t="s">
        <v>10</v>
      </c>
      <c r="E13" t="s">
        <v>11</v>
      </c>
      <c r="F13">
        <v>1100</v>
      </c>
      <c r="G13">
        <v>1</v>
      </c>
      <c r="H13">
        <v>1100</v>
      </c>
      <c r="I13">
        <v>1100</v>
      </c>
    </row>
    <row r="14" spans="1:9" x14ac:dyDescent="0.3">
      <c r="A14">
        <v>467</v>
      </c>
      <c r="B14" s="24">
        <v>43932</v>
      </c>
      <c r="C14" t="s">
        <v>81</v>
      </c>
      <c r="D14" t="s">
        <v>10</v>
      </c>
      <c r="E14" t="s">
        <v>11</v>
      </c>
      <c r="F14">
        <v>1100</v>
      </c>
      <c r="G14">
        <v>1</v>
      </c>
      <c r="H14">
        <v>1100</v>
      </c>
      <c r="I14">
        <v>1100</v>
      </c>
    </row>
    <row r="15" spans="1:9" x14ac:dyDescent="0.3">
      <c r="A15">
        <v>468</v>
      </c>
      <c r="B15" s="24">
        <v>43933</v>
      </c>
      <c r="C15" t="s">
        <v>81</v>
      </c>
      <c r="D15" t="s">
        <v>10</v>
      </c>
      <c r="E15" t="s">
        <v>11</v>
      </c>
      <c r="F15">
        <v>1100</v>
      </c>
      <c r="G15">
        <v>1</v>
      </c>
      <c r="H15">
        <v>1100</v>
      </c>
      <c r="I15">
        <v>1100</v>
      </c>
    </row>
    <row r="16" spans="1:9" x14ac:dyDescent="0.3">
      <c r="A16">
        <v>469</v>
      </c>
      <c r="B16" s="24">
        <v>43934</v>
      </c>
      <c r="C16" t="s">
        <v>81</v>
      </c>
      <c r="D16" t="s">
        <v>18</v>
      </c>
      <c r="E16" t="s">
        <v>17</v>
      </c>
      <c r="F16">
        <v>600</v>
      </c>
      <c r="G16">
        <v>1</v>
      </c>
      <c r="H16">
        <v>600</v>
      </c>
      <c r="I16">
        <v>600</v>
      </c>
    </row>
    <row r="17" spans="1:9" x14ac:dyDescent="0.3">
      <c r="A17">
        <v>470</v>
      </c>
      <c r="B17" s="24">
        <v>43935</v>
      </c>
      <c r="C17" t="s">
        <v>81</v>
      </c>
      <c r="D17" t="s">
        <v>10</v>
      </c>
      <c r="E17" t="s">
        <v>11</v>
      </c>
      <c r="F17">
        <v>1100</v>
      </c>
      <c r="G17">
        <v>1</v>
      </c>
      <c r="H17">
        <v>1100</v>
      </c>
      <c r="I17">
        <v>1100</v>
      </c>
    </row>
    <row r="18" spans="1:9" x14ac:dyDescent="0.3">
      <c r="A18">
        <v>471</v>
      </c>
      <c r="B18" s="24">
        <v>43936</v>
      </c>
      <c r="C18" t="s">
        <v>81</v>
      </c>
      <c r="D18" t="s">
        <v>18</v>
      </c>
      <c r="E18" t="s">
        <v>17</v>
      </c>
      <c r="F18">
        <v>600</v>
      </c>
      <c r="G18">
        <v>1</v>
      </c>
      <c r="H18">
        <v>600</v>
      </c>
      <c r="I18">
        <v>600</v>
      </c>
    </row>
    <row r="19" spans="1:9" x14ac:dyDescent="0.3">
      <c r="A19">
        <v>472</v>
      </c>
      <c r="B19" s="24">
        <v>43937</v>
      </c>
      <c r="C19" t="s">
        <v>81</v>
      </c>
      <c r="D19" t="s">
        <v>14</v>
      </c>
      <c r="E19" t="s">
        <v>11</v>
      </c>
      <c r="F19">
        <v>900</v>
      </c>
      <c r="G19">
        <v>1</v>
      </c>
      <c r="H19">
        <v>900</v>
      </c>
      <c r="I19">
        <v>900</v>
      </c>
    </row>
    <row r="20" spans="1:9" x14ac:dyDescent="0.3">
      <c r="A20">
        <v>473</v>
      </c>
      <c r="B20" s="24">
        <v>43938</v>
      </c>
      <c r="C20" t="s">
        <v>81</v>
      </c>
      <c r="D20" t="s">
        <v>10</v>
      </c>
      <c r="E20" t="s">
        <v>11</v>
      </c>
      <c r="F20">
        <v>1100</v>
      </c>
      <c r="G20">
        <v>1</v>
      </c>
      <c r="H20">
        <v>1100</v>
      </c>
      <c r="I20">
        <v>1100</v>
      </c>
    </row>
    <row r="21" spans="1:9" x14ac:dyDescent="0.3">
      <c r="A21">
        <v>474</v>
      </c>
      <c r="B21" s="24">
        <v>43939</v>
      </c>
      <c r="C21" t="s">
        <v>81</v>
      </c>
      <c r="D21" t="s">
        <v>18</v>
      </c>
      <c r="E21" t="s">
        <v>17</v>
      </c>
      <c r="F21">
        <v>600</v>
      </c>
      <c r="G21">
        <v>1</v>
      </c>
      <c r="H21">
        <v>600</v>
      </c>
      <c r="I21">
        <v>600</v>
      </c>
    </row>
    <row r="22" spans="1:9" x14ac:dyDescent="0.3">
      <c r="A22">
        <v>475</v>
      </c>
      <c r="B22" s="24">
        <v>43940</v>
      </c>
      <c r="C22" t="s">
        <v>81</v>
      </c>
      <c r="D22" t="s">
        <v>18</v>
      </c>
      <c r="E22" t="s">
        <v>17</v>
      </c>
      <c r="F22">
        <v>600</v>
      </c>
      <c r="G22">
        <v>1</v>
      </c>
      <c r="H22">
        <v>600</v>
      </c>
      <c r="I22">
        <v>600</v>
      </c>
    </row>
    <row r="23" spans="1:9" x14ac:dyDescent="0.3">
      <c r="A23">
        <v>476</v>
      </c>
      <c r="B23" s="24">
        <v>43941</v>
      </c>
      <c r="C23" t="s">
        <v>81</v>
      </c>
      <c r="D23" t="s">
        <v>19</v>
      </c>
      <c r="E23" t="s">
        <v>20</v>
      </c>
      <c r="F23">
        <v>850</v>
      </c>
      <c r="G23">
        <v>1</v>
      </c>
      <c r="H23">
        <v>850</v>
      </c>
      <c r="I23">
        <v>850</v>
      </c>
    </row>
    <row r="24" spans="1:9" x14ac:dyDescent="0.3">
      <c r="A24">
        <v>477</v>
      </c>
      <c r="B24" s="24">
        <v>43942</v>
      </c>
      <c r="C24" t="s">
        <v>81</v>
      </c>
      <c r="D24" t="s">
        <v>18</v>
      </c>
      <c r="E24" t="s">
        <v>17</v>
      </c>
      <c r="F24">
        <v>600</v>
      </c>
      <c r="G24">
        <v>1</v>
      </c>
      <c r="H24">
        <v>600</v>
      </c>
      <c r="I24">
        <v>600</v>
      </c>
    </row>
    <row r="25" spans="1:9" x14ac:dyDescent="0.3">
      <c r="A25">
        <v>478</v>
      </c>
      <c r="B25" s="24">
        <v>43943</v>
      </c>
      <c r="C25" t="s">
        <v>81</v>
      </c>
      <c r="D25" t="s">
        <v>10</v>
      </c>
      <c r="E25" t="s">
        <v>11</v>
      </c>
      <c r="F25">
        <v>1100</v>
      </c>
      <c r="G25">
        <v>1</v>
      </c>
      <c r="H25">
        <v>1100</v>
      </c>
      <c r="I25">
        <v>1100</v>
      </c>
    </row>
    <row r="26" spans="1:9" x14ac:dyDescent="0.3">
      <c r="A26">
        <v>479</v>
      </c>
      <c r="B26" s="24">
        <v>43944</v>
      </c>
      <c r="C26" t="s">
        <v>81</v>
      </c>
      <c r="D26" t="s">
        <v>24</v>
      </c>
      <c r="E26" t="s">
        <v>23</v>
      </c>
      <c r="F26">
        <v>300</v>
      </c>
      <c r="G26">
        <v>1</v>
      </c>
      <c r="H26">
        <v>300</v>
      </c>
      <c r="I26">
        <v>300</v>
      </c>
    </row>
    <row r="27" spans="1:9" x14ac:dyDescent="0.3">
      <c r="A27">
        <v>480</v>
      </c>
      <c r="B27" s="24">
        <v>43945</v>
      </c>
      <c r="C27" t="s">
        <v>81</v>
      </c>
      <c r="D27" t="s">
        <v>24</v>
      </c>
      <c r="E27" t="s">
        <v>23</v>
      </c>
      <c r="F27">
        <v>300</v>
      </c>
      <c r="G27">
        <v>1</v>
      </c>
      <c r="H27">
        <v>300</v>
      </c>
      <c r="I27">
        <v>300</v>
      </c>
    </row>
    <row r="28" spans="1:9" x14ac:dyDescent="0.3">
      <c r="A28">
        <v>481</v>
      </c>
      <c r="B28" s="24">
        <v>43946</v>
      </c>
      <c r="C28" t="s">
        <v>81</v>
      </c>
      <c r="D28" t="s">
        <v>18</v>
      </c>
      <c r="E28" t="s">
        <v>17</v>
      </c>
      <c r="F28">
        <v>600</v>
      </c>
      <c r="G28">
        <v>1</v>
      </c>
      <c r="H28">
        <v>600</v>
      </c>
      <c r="I28">
        <v>600</v>
      </c>
    </row>
    <row r="29" spans="1:9" x14ac:dyDescent="0.3">
      <c r="A29">
        <v>482</v>
      </c>
      <c r="B29" s="24">
        <v>43947</v>
      </c>
      <c r="C29" t="s">
        <v>81</v>
      </c>
      <c r="D29" t="s">
        <v>22</v>
      </c>
      <c r="E29" t="s">
        <v>23</v>
      </c>
      <c r="F29">
        <v>800</v>
      </c>
      <c r="G29">
        <v>1</v>
      </c>
      <c r="H29">
        <v>800</v>
      </c>
      <c r="I29">
        <v>800</v>
      </c>
    </row>
    <row r="30" spans="1:9" x14ac:dyDescent="0.3">
      <c r="A30">
        <v>483</v>
      </c>
      <c r="B30" s="24">
        <v>43948</v>
      </c>
      <c r="C30" t="s">
        <v>81</v>
      </c>
      <c r="D30" t="s">
        <v>18</v>
      </c>
      <c r="E30" t="s">
        <v>17</v>
      </c>
      <c r="F30">
        <v>600</v>
      </c>
      <c r="G30">
        <v>1</v>
      </c>
      <c r="H30">
        <v>600</v>
      </c>
      <c r="I30">
        <v>600</v>
      </c>
    </row>
    <row r="31" spans="1:9" x14ac:dyDescent="0.3">
      <c r="A31">
        <v>484</v>
      </c>
      <c r="B31" s="24">
        <v>43949</v>
      </c>
      <c r="C31" t="s">
        <v>81</v>
      </c>
      <c r="D31" t="s">
        <v>22</v>
      </c>
      <c r="E31" t="s">
        <v>23</v>
      </c>
      <c r="F31">
        <v>500</v>
      </c>
      <c r="G31">
        <v>1</v>
      </c>
      <c r="H31">
        <v>500</v>
      </c>
      <c r="I31">
        <v>500</v>
      </c>
    </row>
    <row r="32" spans="1:9" x14ac:dyDescent="0.3">
      <c r="A32">
        <v>485</v>
      </c>
      <c r="B32" s="24">
        <v>43950</v>
      </c>
      <c r="C32" t="s">
        <v>81</v>
      </c>
      <c r="D32" t="s">
        <v>10</v>
      </c>
      <c r="E32" t="s">
        <v>11</v>
      </c>
      <c r="F32">
        <v>1100</v>
      </c>
      <c r="G32">
        <v>1</v>
      </c>
      <c r="H32">
        <v>1100</v>
      </c>
      <c r="I32">
        <v>1100</v>
      </c>
    </row>
    <row r="33" spans="1:9" x14ac:dyDescent="0.3">
      <c r="A33">
        <v>486</v>
      </c>
      <c r="B33" s="24">
        <v>43951</v>
      </c>
      <c r="C33" t="s">
        <v>81</v>
      </c>
      <c r="D33" t="s">
        <v>18</v>
      </c>
      <c r="E33" t="s">
        <v>17</v>
      </c>
      <c r="F33">
        <v>600</v>
      </c>
      <c r="G33">
        <v>1</v>
      </c>
      <c r="H33">
        <v>600</v>
      </c>
      <c r="I33">
        <v>600</v>
      </c>
    </row>
    <row r="34" spans="1:9" x14ac:dyDescent="0.3">
      <c r="A34">
        <v>487</v>
      </c>
      <c r="B34" s="24">
        <v>43952</v>
      </c>
      <c r="C34" t="s">
        <v>81</v>
      </c>
      <c r="D34" t="s">
        <v>12</v>
      </c>
      <c r="E34" t="s">
        <v>11</v>
      </c>
      <c r="F34">
        <v>900</v>
      </c>
      <c r="G34">
        <v>1</v>
      </c>
      <c r="H34">
        <v>900</v>
      </c>
      <c r="I34">
        <v>765</v>
      </c>
    </row>
    <row r="35" spans="1:9" x14ac:dyDescent="0.3">
      <c r="A35">
        <v>488</v>
      </c>
      <c r="B35" s="24">
        <v>43953</v>
      </c>
      <c r="C35" t="s">
        <v>81</v>
      </c>
      <c r="D35" t="s">
        <v>10</v>
      </c>
      <c r="E35" t="s">
        <v>11</v>
      </c>
      <c r="F35">
        <v>1100</v>
      </c>
      <c r="G35">
        <v>1</v>
      </c>
      <c r="H35">
        <v>1100</v>
      </c>
      <c r="I35">
        <v>1100</v>
      </c>
    </row>
    <row r="36" spans="1:9" x14ac:dyDescent="0.3">
      <c r="A36">
        <v>489</v>
      </c>
      <c r="B36" s="24">
        <v>43954</v>
      </c>
      <c r="C36" t="s">
        <v>81</v>
      </c>
      <c r="D36" t="s">
        <v>21</v>
      </c>
      <c r="E36" t="s">
        <v>20</v>
      </c>
      <c r="F36">
        <v>1200</v>
      </c>
      <c r="G36">
        <v>1</v>
      </c>
      <c r="H36">
        <v>1200</v>
      </c>
      <c r="I36">
        <v>1200</v>
      </c>
    </row>
    <row r="37" spans="1:9" x14ac:dyDescent="0.3">
      <c r="A37">
        <v>490</v>
      </c>
      <c r="B37" s="24">
        <v>43955</v>
      </c>
      <c r="C37" t="s">
        <v>81</v>
      </c>
      <c r="D37" t="s">
        <v>10</v>
      </c>
      <c r="E37" t="s">
        <v>11</v>
      </c>
      <c r="F37">
        <v>1100</v>
      </c>
      <c r="G37">
        <v>1</v>
      </c>
      <c r="H37">
        <v>1100</v>
      </c>
      <c r="I37">
        <v>1100</v>
      </c>
    </row>
    <row r="38" spans="1:9" x14ac:dyDescent="0.3">
      <c r="A38">
        <v>491</v>
      </c>
      <c r="B38" s="24">
        <v>43956</v>
      </c>
      <c r="C38" t="s">
        <v>81</v>
      </c>
      <c r="D38" t="s">
        <v>12</v>
      </c>
      <c r="E38" t="s">
        <v>11</v>
      </c>
      <c r="F38">
        <v>900</v>
      </c>
      <c r="G38">
        <v>1</v>
      </c>
      <c r="H38">
        <v>900</v>
      </c>
      <c r="I38">
        <v>765</v>
      </c>
    </row>
    <row r="39" spans="1:9" x14ac:dyDescent="0.3">
      <c r="A39">
        <v>492</v>
      </c>
      <c r="B39" s="24">
        <v>43957</v>
      </c>
      <c r="C39" t="s">
        <v>81</v>
      </c>
      <c r="D39" t="s">
        <v>22</v>
      </c>
      <c r="E39" t="s">
        <v>23</v>
      </c>
      <c r="F39">
        <v>900</v>
      </c>
      <c r="G39">
        <v>1</v>
      </c>
      <c r="H39">
        <v>900</v>
      </c>
      <c r="I39">
        <v>900</v>
      </c>
    </row>
    <row r="40" spans="1:9" x14ac:dyDescent="0.3">
      <c r="A40">
        <v>493</v>
      </c>
      <c r="B40" s="24">
        <v>43958</v>
      </c>
      <c r="C40" t="s">
        <v>81</v>
      </c>
      <c r="D40" t="s">
        <v>24</v>
      </c>
      <c r="E40" t="s">
        <v>23</v>
      </c>
      <c r="F40">
        <v>600</v>
      </c>
      <c r="G40">
        <v>1</v>
      </c>
      <c r="H40">
        <v>600</v>
      </c>
      <c r="I40">
        <v>600</v>
      </c>
    </row>
    <row r="41" spans="1:9" x14ac:dyDescent="0.3">
      <c r="A41">
        <v>494</v>
      </c>
      <c r="B41" s="24">
        <v>43959</v>
      </c>
      <c r="C41" t="s">
        <v>81</v>
      </c>
      <c r="D41" t="s">
        <v>10</v>
      </c>
      <c r="E41" t="s">
        <v>11</v>
      </c>
      <c r="F41">
        <v>1100</v>
      </c>
      <c r="G41">
        <v>1</v>
      </c>
      <c r="H41">
        <v>1100</v>
      </c>
      <c r="I41">
        <v>1100</v>
      </c>
    </row>
    <row r="42" spans="1:9" x14ac:dyDescent="0.3">
      <c r="A42">
        <v>495</v>
      </c>
      <c r="B42" s="24">
        <v>43960</v>
      </c>
      <c r="C42" t="s">
        <v>81</v>
      </c>
      <c r="D42" t="s">
        <v>10</v>
      </c>
      <c r="E42" t="s">
        <v>11</v>
      </c>
      <c r="F42">
        <v>1100</v>
      </c>
      <c r="G42">
        <v>1</v>
      </c>
      <c r="H42">
        <v>1100</v>
      </c>
      <c r="I42">
        <v>1100</v>
      </c>
    </row>
    <row r="43" spans="1:9" x14ac:dyDescent="0.3">
      <c r="A43">
        <v>496</v>
      </c>
      <c r="B43" s="24">
        <v>43961</v>
      </c>
      <c r="C43" t="s">
        <v>81</v>
      </c>
      <c r="D43" t="s">
        <v>22</v>
      </c>
      <c r="E43" t="s">
        <v>23</v>
      </c>
      <c r="F43">
        <v>500</v>
      </c>
      <c r="G43">
        <v>1</v>
      </c>
      <c r="H43">
        <v>500</v>
      </c>
      <c r="I43">
        <v>500</v>
      </c>
    </row>
    <row r="44" spans="1:9" x14ac:dyDescent="0.3">
      <c r="A44">
        <v>497</v>
      </c>
      <c r="B44" s="24">
        <v>43962</v>
      </c>
      <c r="C44" t="s">
        <v>81</v>
      </c>
      <c r="D44" t="s">
        <v>19</v>
      </c>
      <c r="E44" t="s">
        <v>20</v>
      </c>
      <c r="F44">
        <v>850</v>
      </c>
      <c r="G44">
        <v>1</v>
      </c>
      <c r="H44">
        <v>850</v>
      </c>
      <c r="I44">
        <v>850</v>
      </c>
    </row>
    <row r="45" spans="1:9" x14ac:dyDescent="0.3">
      <c r="A45">
        <v>498</v>
      </c>
      <c r="B45" s="24">
        <v>43963</v>
      </c>
      <c r="C45" t="s">
        <v>81</v>
      </c>
      <c r="D45" t="s">
        <v>10</v>
      </c>
      <c r="E45" t="s">
        <v>11</v>
      </c>
      <c r="F45">
        <v>1100</v>
      </c>
      <c r="G45">
        <v>1</v>
      </c>
      <c r="H45">
        <v>1100</v>
      </c>
      <c r="I45">
        <v>1100</v>
      </c>
    </row>
    <row r="46" spans="1:9" x14ac:dyDescent="0.3">
      <c r="A46">
        <v>499</v>
      </c>
      <c r="B46" s="24">
        <v>43964</v>
      </c>
      <c r="C46" t="s">
        <v>81</v>
      </c>
      <c r="D46" t="s">
        <v>24</v>
      </c>
      <c r="E46" t="s">
        <v>23</v>
      </c>
      <c r="F46">
        <v>300</v>
      </c>
      <c r="G46">
        <v>1</v>
      </c>
      <c r="H46">
        <v>300</v>
      </c>
      <c r="I46">
        <v>300</v>
      </c>
    </row>
    <row r="47" spans="1:9" x14ac:dyDescent="0.3">
      <c r="A47">
        <v>500</v>
      </c>
      <c r="B47" s="24">
        <v>43965</v>
      </c>
      <c r="C47" t="s">
        <v>81</v>
      </c>
      <c r="D47" t="s">
        <v>16</v>
      </c>
      <c r="E47" t="s">
        <v>17</v>
      </c>
      <c r="F47">
        <v>800</v>
      </c>
      <c r="G47">
        <v>1</v>
      </c>
      <c r="H47">
        <v>800</v>
      </c>
      <c r="I47">
        <v>800</v>
      </c>
    </row>
    <row r="48" spans="1:9" x14ac:dyDescent="0.3">
      <c r="A48">
        <v>501</v>
      </c>
      <c r="B48" s="24">
        <v>43966</v>
      </c>
      <c r="C48" t="s">
        <v>81</v>
      </c>
      <c r="D48" t="s">
        <v>12</v>
      </c>
      <c r="E48" t="s">
        <v>11</v>
      </c>
      <c r="F48">
        <v>900</v>
      </c>
      <c r="G48">
        <v>1</v>
      </c>
      <c r="H48">
        <v>900</v>
      </c>
      <c r="I48">
        <v>765</v>
      </c>
    </row>
    <row r="49" spans="1:9" x14ac:dyDescent="0.3">
      <c r="A49">
        <v>502</v>
      </c>
      <c r="B49" s="24">
        <v>43967</v>
      </c>
      <c r="C49" t="s">
        <v>81</v>
      </c>
      <c r="D49" t="s">
        <v>10</v>
      </c>
      <c r="E49" t="s">
        <v>11</v>
      </c>
      <c r="F49">
        <v>1100</v>
      </c>
      <c r="G49">
        <v>1</v>
      </c>
      <c r="H49">
        <v>1100</v>
      </c>
      <c r="I49">
        <v>1100</v>
      </c>
    </row>
    <row r="50" spans="1:9" x14ac:dyDescent="0.3">
      <c r="A50">
        <v>503</v>
      </c>
      <c r="B50" s="24">
        <v>43968</v>
      </c>
      <c r="C50" t="s">
        <v>81</v>
      </c>
      <c r="D50" t="s">
        <v>22</v>
      </c>
      <c r="E50" t="s">
        <v>23</v>
      </c>
      <c r="F50">
        <v>500</v>
      </c>
      <c r="G50">
        <v>1</v>
      </c>
      <c r="H50">
        <v>500</v>
      </c>
      <c r="I50">
        <v>500</v>
      </c>
    </row>
    <row r="51" spans="1:9" x14ac:dyDescent="0.3">
      <c r="A51">
        <v>504</v>
      </c>
      <c r="B51" s="24">
        <v>43969</v>
      </c>
      <c r="C51" t="s">
        <v>81</v>
      </c>
      <c r="D51" t="s">
        <v>18</v>
      </c>
      <c r="E51" t="s">
        <v>17</v>
      </c>
      <c r="F51">
        <v>600</v>
      </c>
      <c r="G51">
        <v>1</v>
      </c>
      <c r="H51">
        <v>600</v>
      </c>
      <c r="I51">
        <v>600</v>
      </c>
    </row>
    <row r="52" spans="1:9" x14ac:dyDescent="0.3">
      <c r="A52">
        <v>505</v>
      </c>
      <c r="B52" s="24">
        <v>43970</v>
      </c>
      <c r="C52" t="s">
        <v>81</v>
      </c>
      <c r="D52" t="s">
        <v>14</v>
      </c>
      <c r="E52" t="s">
        <v>11</v>
      </c>
      <c r="F52">
        <v>900</v>
      </c>
      <c r="G52">
        <v>1</v>
      </c>
      <c r="H52">
        <v>900</v>
      </c>
      <c r="I52">
        <v>900</v>
      </c>
    </row>
    <row r="53" spans="1:9" x14ac:dyDescent="0.3">
      <c r="A53">
        <v>506</v>
      </c>
      <c r="B53" s="24">
        <v>43971</v>
      </c>
      <c r="C53" t="s">
        <v>81</v>
      </c>
      <c r="D53" t="s">
        <v>24</v>
      </c>
      <c r="E53" t="s">
        <v>23</v>
      </c>
      <c r="F53">
        <v>600</v>
      </c>
      <c r="G53">
        <v>1</v>
      </c>
      <c r="H53">
        <v>600</v>
      </c>
      <c r="I53">
        <v>600</v>
      </c>
    </row>
    <row r="54" spans="1:9" x14ac:dyDescent="0.3">
      <c r="A54">
        <v>507</v>
      </c>
      <c r="B54" s="24">
        <v>43972</v>
      </c>
      <c r="C54" t="s">
        <v>81</v>
      </c>
      <c r="D54" t="s">
        <v>18</v>
      </c>
      <c r="E54" t="s">
        <v>17</v>
      </c>
      <c r="F54">
        <v>600</v>
      </c>
      <c r="G54">
        <v>1</v>
      </c>
      <c r="H54">
        <v>600</v>
      </c>
      <c r="I54">
        <v>600</v>
      </c>
    </row>
    <row r="55" spans="1:9" x14ac:dyDescent="0.3">
      <c r="A55">
        <v>508</v>
      </c>
      <c r="B55" s="24">
        <v>43973</v>
      </c>
      <c r="C55" t="s">
        <v>81</v>
      </c>
      <c r="D55" t="s">
        <v>10</v>
      </c>
      <c r="E55" t="s">
        <v>11</v>
      </c>
      <c r="F55">
        <v>1100</v>
      </c>
      <c r="G55">
        <v>1</v>
      </c>
      <c r="H55">
        <v>1100</v>
      </c>
      <c r="I55">
        <v>1100</v>
      </c>
    </row>
    <row r="56" spans="1:9" x14ac:dyDescent="0.3">
      <c r="A56">
        <v>509</v>
      </c>
      <c r="B56" s="24">
        <v>43974</v>
      </c>
      <c r="C56" t="s">
        <v>81</v>
      </c>
      <c r="D56" t="s">
        <v>10</v>
      </c>
      <c r="E56" t="s">
        <v>11</v>
      </c>
      <c r="F56">
        <v>1100</v>
      </c>
      <c r="G56">
        <v>2</v>
      </c>
      <c r="H56">
        <v>2200</v>
      </c>
      <c r="I56">
        <v>2200</v>
      </c>
    </row>
    <row r="57" spans="1:9" x14ac:dyDescent="0.3">
      <c r="A57">
        <v>510</v>
      </c>
      <c r="B57" s="24">
        <v>43975</v>
      </c>
      <c r="C57" t="s">
        <v>81</v>
      </c>
      <c r="D57" t="s">
        <v>10</v>
      </c>
      <c r="E57" t="s">
        <v>11</v>
      </c>
      <c r="F57">
        <v>1100</v>
      </c>
      <c r="G57">
        <v>1</v>
      </c>
      <c r="H57">
        <v>1100</v>
      </c>
      <c r="I57">
        <v>1100</v>
      </c>
    </row>
    <row r="58" spans="1:9" x14ac:dyDescent="0.3">
      <c r="A58">
        <v>511</v>
      </c>
      <c r="B58" s="24">
        <v>43976</v>
      </c>
      <c r="C58" t="s">
        <v>81</v>
      </c>
      <c r="D58" t="s">
        <v>19</v>
      </c>
      <c r="E58" t="s">
        <v>20</v>
      </c>
      <c r="F58">
        <v>850</v>
      </c>
      <c r="G58">
        <v>1</v>
      </c>
      <c r="H58">
        <v>850</v>
      </c>
      <c r="I58">
        <v>850</v>
      </c>
    </row>
    <row r="59" spans="1:9" x14ac:dyDescent="0.3">
      <c r="A59">
        <v>512</v>
      </c>
      <c r="B59" s="24">
        <v>43977</v>
      </c>
      <c r="C59" t="s">
        <v>81</v>
      </c>
      <c r="D59" t="s">
        <v>10</v>
      </c>
      <c r="E59" t="s">
        <v>11</v>
      </c>
      <c r="F59">
        <v>1100</v>
      </c>
      <c r="G59">
        <v>1</v>
      </c>
      <c r="H59">
        <v>1100</v>
      </c>
      <c r="I59">
        <v>1100</v>
      </c>
    </row>
    <row r="60" spans="1:9" x14ac:dyDescent="0.3">
      <c r="A60">
        <v>513</v>
      </c>
      <c r="B60" s="24">
        <v>43978</v>
      </c>
      <c r="C60" t="s">
        <v>81</v>
      </c>
      <c r="D60" t="s">
        <v>12</v>
      </c>
      <c r="E60" t="s">
        <v>11</v>
      </c>
      <c r="F60">
        <v>900</v>
      </c>
      <c r="G60">
        <v>1</v>
      </c>
      <c r="H60">
        <v>900</v>
      </c>
      <c r="I60">
        <v>765</v>
      </c>
    </row>
    <row r="61" spans="1:9" x14ac:dyDescent="0.3">
      <c r="A61">
        <v>514</v>
      </c>
      <c r="B61" s="24">
        <v>43979</v>
      </c>
      <c r="C61" t="s">
        <v>81</v>
      </c>
      <c r="D61" t="s">
        <v>14</v>
      </c>
      <c r="E61" t="s">
        <v>11</v>
      </c>
      <c r="F61">
        <v>900</v>
      </c>
      <c r="G61">
        <v>1</v>
      </c>
      <c r="H61">
        <v>900</v>
      </c>
      <c r="I61">
        <v>900</v>
      </c>
    </row>
    <row r="62" spans="1:9" x14ac:dyDescent="0.3">
      <c r="A62">
        <v>515</v>
      </c>
      <c r="B62" s="24">
        <v>43980</v>
      </c>
      <c r="C62" t="s">
        <v>81</v>
      </c>
      <c r="D62" t="s">
        <v>12</v>
      </c>
      <c r="E62" t="s">
        <v>11</v>
      </c>
      <c r="F62">
        <v>900</v>
      </c>
      <c r="G62">
        <v>1</v>
      </c>
      <c r="H62">
        <v>900</v>
      </c>
      <c r="I62">
        <v>765</v>
      </c>
    </row>
    <row r="63" spans="1:9" x14ac:dyDescent="0.3">
      <c r="A63">
        <v>516</v>
      </c>
      <c r="B63" s="24">
        <v>43981</v>
      </c>
      <c r="C63" t="s">
        <v>81</v>
      </c>
      <c r="D63" t="s">
        <v>15</v>
      </c>
      <c r="E63" t="s">
        <v>11</v>
      </c>
      <c r="F63">
        <v>1000</v>
      </c>
      <c r="G63">
        <v>1</v>
      </c>
      <c r="H63">
        <v>1000</v>
      </c>
      <c r="I63">
        <v>1000</v>
      </c>
    </row>
    <row r="64" spans="1:9" x14ac:dyDescent="0.3">
      <c r="A64">
        <v>517</v>
      </c>
      <c r="B64" s="24">
        <v>43982</v>
      </c>
      <c r="C64" t="s">
        <v>81</v>
      </c>
      <c r="D64" t="s">
        <v>21</v>
      </c>
      <c r="E64" t="s">
        <v>20</v>
      </c>
      <c r="F64">
        <v>1200</v>
      </c>
      <c r="G64">
        <v>1</v>
      </c>
      <c r="H64">
        <v>1200</v>
      </c>
      <c r="I64">
        <v>1200</v>
      </c>
    </row>
    <row r="65" spans="1:9" x14ac:dyDescent="0.3">
      <c r="A65">
        <v>518</v>
      </c>
      <c r="B65" s="24">
        <v>43983</v>
      </c>
      <c r="C65" t="s">
        <v>81</v>
      </c>
      <c r="D65" t="s">
        <v>14</v>
      </c>
      <c r="E65" t="s">
        <v>11</v>
      </c>
      <c r="F65">
        <v>900</v>
      </c>
      <c r="G65">
        <v>1</v>
      </c>
      <c r="H65">
        <v>900</v>
      </c>
      <c r="I65">
        <v>900</v>
      </c>
    </row>
    <row r="66" spans="1:9" x14ac:dyDescent="0.3">
      <c r="A66">
        <v>519</v>
      </c>
      <c r="B66" s="24">
        <v>43984</v>
      </c>
      <c r="C66" t="s">
        <v>81</v>
      </c>
      <c r="D66" t="s">
        <v>18</v>
      </c>
      <c r="E66" t="s">
        <v>17</v>
      </c>
      <c r="F66">
        <v>600</v>
      </c>
      <c r="G66">
        <v>1</v>
      </c>
      <c r="H66">
        <v>600</v>
      </c>
      <c r="I66">
        <v>600</v>
      </c>
    </row>
    <row r="67" spans="1:9" x14ac:dyDescent="0.3">
      <c r="A67">
        <v>520</v>
      </c>
      <c r="B67" s="24">
        <v>43985</v>
      </c>
      <c r="C67" t="s">
        <v>81</v>
      </c>
      <c r="D67" t="s">
        <v>24</v>
      </c>
      <c r="E67" t="s">
        <v>23</v>
      </c>
      <c r="F67">
        <v>600</v>
      </c>
      <c r="G67">
        <v>1</v>
      </c>
      <c r="H67">
        <v>600</v>
      </c>
      <c r="I67">
        <v>600</v>
      </c>
    </row>
    <row r="68" spans="1:9" x14ac:dyDescent="0.3">
      <c r="A68">
        <v>521</v>
      </c>
      <c r="B68" s="24">
        <v>43986</v>
      </c>
      <c r="C68" t="s">
        <v>81</v>
      </c>
      <c r="D68" t="s">
        <v>16</v>
      </c>
      <c r="E68" t="s">
        <v>17</v>
      </c>
      <c r="F68">
        <v>800</v>
      </c>
      <c r="G68">
        <v>1</v>
      </c>
      <c r="H68">
        <v>800</v>
      </c>
      <c r="I68">
        <v>800</v>
      </c>
    </row>
    <row r="69" spans="1:9" x14ac:dyDescent="0.3">
      <c r="A69">
        <v>522</v>
      </c>
      <c r="B69" s="24">
        <v>43987</v>
      </c>
      <c r="C69" t="s">
        <v>81</v>
      </c>
      <c r="D69" t="s">
        <v>24</v>
      </c>
      <c r="E69" t="s">
        <v>23</v>
      </c>
      <c r="F69">
        <v>600</v>
      </c>
      <c r="G69">
        <v>1</v>
      </c>
      <c r="H69">
        <v>600</v>
      </c>
      <c r="I69">
        <v>600</v>
      </c>
    </row>
    <row r="70" spans="1:9" x14ac:dyDescent="0.3">
      <c r="A70">
        <v>523</v>
      </c>
      <c r="B70" s="24">
        <v>43988</v>
      </c>
      <c r="C70" t="s">
        <v>81</v>
      </c>
      <c r="D70" t="s">
        <v>10</v>
      </c>
      <c r="E70" t="s">
        <v>11</v>
      </c>
      <c r="F70">
        <v>1100</v>
      </c>
      <c r="G70">
        <v>1</v>
      </c>
      <c r="H70">
        <v>1100</v>
      </c>
      <c r="I70">
        <v>1100</v>
      </c>
    </row>
    <row r="71" spans="1:9" x14ac:dyDescent="0.3">
      <c r="A71">
        <v>524</v>
      </c>
      <c r="B71" s="24">
        <v>43989</v>
      </c>
      <c r="C71" t="s">
        <v>81</v>
      </c>
      <c r="D71" t="s">
        <v>10</v>
      </c>
      <c r="E71" t="s">
        <v>11</v>
      </c>
      <c r="F71">
        <v>1100</v>
      </c>
      <c r="G71">
        <v>1</v>
      </c>
      <c r="H71">
        <v>1100</v>
      </c>
      <c r="I71">
        <v>1100</v>
      </c>
    </row>
    <row r="72" spans="1:9" x14ac:dyDescent="0.3">
      <c r="A72">
        <v>525</v>
      </c>
      <c r="B72" s="24">
        <v>43990</v>
      </c>
      <c r="C72" t="s">
        <v>81</v>
      </c>
      <c r="D72" t="s">
        <v>19</v>
      </c>
      <c r="E72" t="s">
        <v>20</v>
      </c>
      <c r="F72">
        <v>850</v>
      </c>
      <c r="G72">
        <v>1</v>
      </c>
      <c r="H72">
        <v>850</v>
      </c>
      <c r="I72">
        <v>850</v>
      </c>
    </row>
    <row r="73" spans="1:9" x14ac:dyDescent="0.3">
      <c r="A73">
        <v>526</v>
      </c>
      <c r="B73" s="24">
        <v>43991</v>
      </c>
      <c r="C73" t="s">
        <v>81</v>
      </c>
      <c r="D73" t="s">
        <v>10</v>
      </c>
      <c r="E73" t="s">
        <v>11</v>
      </c>
      <c r="F73">
        <v>1100</v>
      </c>
      <c r="G73">
        <v>1</v>
      </c>
      <c r="H73">
        <v>1100</v>
      </c>
      <c r="I73">
        <v>1100</v>
      </c>
    </row>
    <row r="74" spans="1:9" x14ac:dyDescent="0.3">
      <c r="A74">
        <v>527</v>
      </c>
      <c r="B74" s="24">
        <v>43992</v>
      </c>
      <c r="C74" t="s">
        <v>81</v>
      </c>
      <c r="D74" t="s">
        <v>10</v>
      </c>
      <c r="E74" t="s">
        <v>11</v>
      </c>
      <c r="F74">
        <v>1100</v>
      </c>
      <c r="G74">
        <v>2</v>
      </c>
      <c r="H74">
        <v>2200</v>
      </c>
      <c r="I74">
        <v>2200</v>
      </c>
    </row>
    <row r="75" spans="1:9" x14ac:dyDescent="0.3">
      <c r="A75">
        <v>528</v>
      </c>
      <c r="B75" s="24">
        <v>43993</v>
      </c>
      <c r="C75" t="s">
        <v>81</v>
      </c>
      <c r="D75" t="s">
        <v>24</v>
      </c>
      <c r="E75" t="s">
        <v>23</v>
      </c>
      <c r="F75">
        <v>300</v>
      </c>
      <c r="G75">
        <v>1</v>
      </c>
      <c r="H75">
        <v>300</v>
      </c>
      <c r="I75">
        <v>300</v>
      </c>
    </row>
    <row r="76" spans="1:9" x14ac:dyDescent="0.3">
      <c r="A76">
        <v>529</v>
      </c>
      <c r="B76" s="24">
        <v>43994</v>
      </c>
      <c r="C76" t="s">
        <v>81</v>
      </c>
      <c r="D76" t="s">
        <v>18</v>
      </c>
      <c r="E76" t="s">
        <v>17</v>
      </c>
      <c r="F76">
        <v>600</v>
      </c>
      <c r="G76">
        <v>1</v>
      </c>
      <c r="H76">
        <v>600</v>
      </c>
      <c r="I76">
        <v>600</v>
      </c>
    </row>
    <row r="77" spans="1:9" x14ac:dyDescent="0.3">
      <c r="A77">
        <v>530</v>
      </c>
      <c r="B77" s="24">
        <v>43995</v>
      </c>
      <c r="C77" t="s">
        <v>81</v>
      </c>
      <c r="D77" t="s">
        <v>18</v>
      </c>
      <c r="E77" t="s">
        <v>17</v>
      </c>
      <c r="F77">
        <v>600</v>
      </c>
      <c r="G77">
        <v>1</v>
      </c>
      <c r="H77">
        <v>600</v>
      </c>
      <c r="I77">
        <v>600</v>
      </c>
    </row>
    <row r="78" spans="1:9" x14ac:dyDescent="0.3">
      <c r="A78">
        <v>531</v>
      </c>
      <c r="B78" s="24">
        <v>43996</v>
      </c>
      <c r="C78" t="s">
        <v>81</v>
      </c>
      <c r="D78" t="s">
        <v>10</v>
      </c>
      <c r="E78" t="s">
        <v>11</v>
      </c>
      <c r="F78">
        <v>1100</v>
      </c>
      <c r="G78">
        <v>1</v>
      </c>
      <c r="H78">
        <v>1100</v>
      </c>
      <c r="I78">
        <v>1100</v>
      </c>
    </row>
    <row r="79" spans="1:9" x14ac:dyDescent="0.3">
      <c r="A79">
        <v>532</v>
      </c>
      <c r="B79" s="24">
        <v>43997</v>
      </c>
      <c r="C79" t="s">
        <v>81</v>
      </c>
      <c r="D79" t="s">
        <v>14</v>
      </c>
      <c r="E79" t="s">
        <v>11</v>
      </c>
      <c r="F79">
        <v>900</v>
      </c>
      <c r="G79">
        <v>1</v>
      </c>
      <c r="H79">
        <v>900</v>
      </c>
      <c r="I79">
        <v>900</v>
      </c>
    </row>
    <row r="80" spans="1:9" x14ac:dyDescent="0.3">
      <c r="A80">
        <v>533</v>
      </c>
      <c r="B80" s="24">
        <v>43998</v>
      </c>
      <c r="C80" t="s">
        <v>81</v>
      </c>
      <c r="D80" t="s">
        <v>12</v>
      </c>
      <c r="E80" t="s">
        <v>11</v>
      </c>
      <c r="F80">
        <v>900</v>
      </c>
      <c r="G80">
        <v>1</v>
      </c>
      <c r="H80">
        <v>900</v>
      </c>
      <c r="I80">
        <v>765</v>
      </c>
    </row>
    <row r="81" spans="1:9" x14ac:dyDescent="0.3">
      <c r="A81">
        <v>534</v>
      </c>
      <c r="B81" s="24">
        <v>43999</v>
      </c>
      <c r="C81" t="s">
        <v>81</v>
      </c>
      <c r="D81" t="s">
        <v>12</v>
      </c>
      <c r="E81" t="s">
        <v>11</v>
      </c>
      <c r="F81">
        <v>900</v>
      </c>
      <c r="G81">
        <v>1</v>
      </c>
      <c r="H81">
        <v>900</v>
      </c>
      <c r="I81">
        <v>765</v>
      </c>
    </row>
    <row r="82" spans="1:9" x14ac:dyDescent="0.3">
      <c r="A82">
        <v>535</v>
      </c>
      <c r="B82" s="24">
        <v>44000</v>
      </c>
      <c r="C82" t="s">
        <v>81</v>
      </c>
      <c r="D82" t="s">
        <v>10</v>
      </c>
      <c r="E82" t="s">
        <v>11</v>
      </c>
      <c r="F82">
        <v>1100</v>
      </c>
      <c r="G82">
        <v>1</v>
      </c>
      <c r="H82">
        <v>1100</v>
      </c>
      <c r="I82">
        <v>1100</v>
      </c>
    </row>
    <row r="83" spans="1:9" x14ac:dyDescent="0.3">
      <c r="A83">
        <v>536</v>
      </c>
      <c r="B83" s="24">
        <v>44001</v>
      </c>
      <c r="C83" t="s">
        <v>81</v>
      </c>
      <c r="D83" t="s">
        <v>24</v>
      </c>
      <c r="E83" t="s">
        <v>23</v>
      </c>
      <c r="F83">
        <v>600</v>
      </c>
      <c r="G83">
        <v>2</v>
      </c>
      <c r="H83">
        <v>1200</v>
      </c>
      <c r="I83">
        <v>1200</v>
      </c>
    </row>
    <row r="84" spans="1:9" x14ac:dyDescent="0.3">
      <c r="A84">
        <v>537</v>
      </c>
      <c r="B84" s="24">
        <v>44002</v>
      </c>
      <c r="C84" t="s">
        <v>81</v>
      </c>
      <c r="D84" t="s">
        <v>19</v>
      </c>
      <c r="E84" t="s">
        <v>20</v>
      </c>
      <c r="F84">
        <v>850</v>
      </c>
      <c r="G84">
        <v>1</v>
      </c>
      <c r="H84">
        <v>850</v>
      </c>
      <c r="I84">
        <v>850</v>
      </c>
    </row>
    <row r="85" spans="1:9" x14ac:dyDescent="0.3">
      <c r="A85">
        <v>538</v>
      </c>
      <c r="B85" s="24">
        <v>44003</v>
      </c>
      <c r="C85" t="s">
        <v>81</v>
      </c>
      <c r="D85" t="s">
        <v>12</v>
      </c>
      <c r="E85" t="s">
        <v>11</v>
      </c>
      <c r="F85">
        <v>900</v>
      </c>
      <c r="G85">
        <v>1</v>
      </c>
      <c r="H85">
        <v>900</v>
      </c>
      <c r="I85">
        <v>765</v>
      </c>
    </row>
    <row r="86" spans="1:9" x14ac:dyDescent="0.3">
      <c r="A86">
        <v>539</v>
      </c>
      <c r="B86" s="24">
        <v>44004</v>
      </c>
      <c r="C86" t="s">
        <v>81</v>
      </c>
      <c r="D86" t="s">
        <v>18</v>
      </c>
      <c r="E86" t="s">
        <v>17</v>
      </c>
      <c r="F86">
        <v>600</v>
      </c>
      <c r="G86">
        <v>1</v>
      </c>
      <c r="H86">
        <v>600</v>
      </c>
      <c r="I86">
        <v>600</v>
      </c>
    </row>
    <row r="87" spans="1:9" x14ac:dyDescent="0.3">
      <c r="A87">
        <v>540</v>
      </c>
      <c r="B87" s="24">
        <v>44005</v>
      </c>
      <c r="C87" t="s">
        <v>81</v>
      </c>
      <c r="D87" t="s">
        <v>18</v>
      </c>
      <c r="E87" t="s">
        <v>17</v>
      </c>
      <c r="F87">
        <v>600</v>
      </c>
      <c r="G87">
        <v>1</v>
      </c>
      <c r="H87">
        <v>600</v>
      </c>
      <c r="I87">
        <v>600</v>
      </c>
    </row>
    <row r="88" spans="1:9" x14ac:dyDescent="0.3">
      <c r="A88">
        <v>541</v>
      </c>
      <c r="B88" s="24">
        <v>44006</v>
      </c>
      <c r="C88" t="s">
        <v>81</v>
      </c>
      <c r="D88" t="s">
        <v>10</v>
      </c>
      <c r="E88" t="s">
        <v>11</v>
      </c>
      <c r="F88">
        <v>1100</v>
      </c>
      <c r="G88">
        <v>1</v>
      </c>
      <c r="H88">
        <v>1100</v>
      </c>
      <c r="I88">
        <v>1100</v>
      </c>
    </row>
    <row r="89" spans="1:9" x14ac:dyDescent="0.3">
      <c r="A89">
        <v>542</v>
      </c>
      <c r="B89" s="24">
        <v>44007</v>
      </c>
      <c r="C89" t="s">
        <v>81</v>
      </c>
      <c r="D89" t="s">
        <v>10</v>
      </c>
      <c r="E89" t="s">
        <v>11</v>
      </c>
      <c r="F89">
        <v>1100</v>
      </c>
      <c r="G89">
        <v>1</v>
      </c>
      <c r="H89">
        <v>1100</v>
      </c>
      <c r="I89">
        <v>1100</v>
      </c>
    </row>
    <row r="90" spans="1:9" x14ac:dyDescent="0.3">
      <c r="A90">
        <v>543</v>
      </c>
      <c r="B90" s="24">
        <v>44008</v>
      </c>
      <c r="C90" t="s">
        <v>81</v>
      </c>
      <c r="D90" t="s">
        <v>10</v>
      </c>
      <c r="E90" t="s">
        <v>11</v>
      </c>
      <c r="F90">
        <v>1100</v>
      </c>
      <c r="G90">
        <v>1</v>
      </c>
      <c r="H90">
        <v>1100</v>
      </c>
      <c r="I90">
        <v>1100</v>
      </c>
    </row>
    <row r="91" spans="1:9" x14ac:dyDescent="0.3">
      <c r="A91">
        <v>544</v>
      </c>
      <c r="B91" s="24">
        <v>44009</v>
      </c>
      <c r="C91" t="s">
        <v>81</v>
      </c>
      <c r="D91" t="s">
        <v>10</v>
      </c>
      <c r="E91" t="s">
        <v>11</v>
      </c>
      <c r="F91">
        <v>1100</v>
      </c>
      <c r="G91">
        <v>1</v>
      </c>
      <c r="H91">
        <v>1100</v>
      </c>
      <c r="I91">
        <v>1100</v>
      </c>
    </row>
    <row r="92" spans="1:9" x14ac:dyDescent="0.3">
      <c r="A92">
        <v>545</v>
      </c>
      <c r="B92" s="24">
        <v>44010</v>
      </c>
      <c r="C92" t="s">
        <v>81</v>
      </c>
      <c r="D92" t="s">
        <v>12</v>
      </c>
      <c r="E92" t="s">
        <v>11</v>
      </c>
      <c r="F92">
        <v>1100</v>
      </c>
      <c r="G92">
        <v>1</v>
      </c>
      <c r="H92">
        <v>1100</v>
      </c>
      <c r="I92">
        <v>935</v>
      </c>
    </row>
    <row r="93" spans="1:9" x14ac:dyDescent="0.3">
      <c r="A93">
        <v>546</v>
      </c>
      <c r="B93" s="24">
        <v>44011</v>
      </c>
      <c r="C93" t="s">
        <v>81</v>
      </c>
      <c r="D93" t="s">
        <v>12</v>
      </c>
      <c r="E93" t="s">
        <v>11</v>
      </c>
      <c r="F93">
        <v>1100</v>
      </c>
      <c r="G93">
        <v>1</v>
      </c>
      <c r="H93">
        <v>1100</v>
      </c>
      <c r="I93">
        <v>935</v>
      </c>
    </row>
    <row r="94" spans="1:9" x14ac:dyDescent="0.3">
      <c r="A94">
        <v>547</v>
      </c>
      <c r="B94" s="24">
        <v>44012</v>
      </c>
      <c r="C94" t="s">
        <v>81</v>
      </c>
      <c r="D94" t="s">
        <v>12</v>
      </c>
      <c r="E94" t="s">
        <v>11</v>
      </c>
      <c r="F94">
        <v>1100</v>
      </c>
      <c r="G94">
        <v>1</v>
      </c>
      <c r="H94">
        <v>1100</v>
      </c>
      <c r="I94">
        <v>935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9E1BE-6D92-4766-969E-D9DF29F840E4}">
  <dimension ref="A1:I368"/>
  <sheetViews>
    <sheetView workbookViewId="0">
      <selection activeCell="A3" sqref="A3:I368"/>
    </sheetView>
  </sheetViews>
  <sheetFormatPr defaultRowHeight="14.4" x14ac:dyDescent="0.3"/>
  <cols>
    <col min="1" max="1" width="12.5546875" bestFit="1" customWidth="1"/>
    <col min="2" max="2" width="12.6640625" bestFit="1" customWidth="1"/>
    <col min="3" max="3" width="17.109375" bestFit="1" customWidth="1"/>
    <col min="4" max="4" width="12.6640625" bestFit="1" customWidth="1"/>
    <col min="5" max="5" width="16.109375" bestFit="1" customWidth="1"/>
    <col min="6" max="6" width="13.21875" bestFit="1" customWidth="1"/>
    <col min="7" max="7" width="14.6640625" bestFit="1" customWidth="1"/>
    <col min="8" max="8" width="12.109375" bestFit="1" customWidth="1"/>
    <col min="9" max="9" width="20.6640625" bestFit="1" customWidth="1"/>
  </cols>
  <sheetData>
    <row r="1" spans="1:9" x14ac:dyDescent="0.3">
      <c r="A1" s="25" t="s">
        <v>94</v>
      </c>
    </row>
    <row r="3" spans="1:9" x14ac:dyDescent="0.3">
      <c r="A3" t="s">
        <v>1</v>
      </c>
      <c r="B3" t="s">
        <v>2</v>
      </c>
      <c r="C3" t="s">
        <v>3</v>
      </c>
      <c r="D3" t="s">
        <v>4</v>
      </c>
      <c r="E3" t="s">
        <v>5</v>
      </c>
      <c r="F3" t="s">
        <v>6</v>
      </c>
      <c r="G3" t="s">
        <v>7</v>
      </c>
      <c r="H3" t="s">
        <v>79</v>
      </c>
      <c r="I3" t="s">
        <v>82</v>
      </c>
    </row>
    <row r="4" spans="1:9" x14ac:dyDescent="0.3">
      <c r="A4">
        <v>1</v>
      </c>
      <c r="B4" s="24">
        <v>43466</v>
      </c>
      <c r="C4" t="s">
        <v>81</v>
      </c>
      <c r="D4" t="s">
        <v>10</v>
      </c>
      <c r="E4" t="s">
        <v>11</v>
      </c>
      <c r="F4">
        <v>1100</v>
      </c>
      <c r="G4">
        <v>1</v>
      </c>
      <c r="H4">
        <v>1100</v>
      </c>
      <c r="I4">
        <v>1100</v>
      </c>
    </row>
    <row r="5" spans="1:9" x14ac:dyDescent="0.3">
      <c r="A5">
        <v>2</v>
      </c>
      <c r="B5" s="24">
        <v>43467</v>
      </c>
      <c r="C5" t="s">
        <v>81</v>
      </c>
      <c r="D5" t="s">
        <v>10</v>
      </c>
      <c r="E5" t="s">
        <v>11</v>
      </c>
      <c r="F5">
        <v>1100</v>
      </c>
      <c r="G5">
        <v>1</v>
      </c>
      <c r="H5">
        <v>1100</v>
      </c>
      <c r="I5">
        <v>1100</v>
      </c>
    </row>
    <row r="6" spans="1:9" x14ac:dyDescent="0.3">
      <c r="A6">
        <v>3</v>
      </c>
      <c r="B6" s="24">
        <v>43468</v>
      </c>
      <c r="C6" t="s">
        <v>81</v>
      </c>
      <c r="D6" t="s">
        <v>10</v>
      </c>
      <c r="E6" t="s">
        <v>11</v>
      </c>
      <c r="F6">
        <v>1100</v>
      </c>
      <c r="G6">
        <v>1</v>
      </c>
      <c r="H6">
        <v>1100</v>
      </c>
      <c r="I6">
        <v>1100</v>
      </c>
    </row>
    <row r="7" spans="1:9" x14ac:dyDescent="0.3">
      <c r="A7">
        <v>4</v>
      </c>
      <c r="B7" s="24">
        <v>43469</v>
      </c>
      <c r="C7" t="s">
        <v>81</v>
      </c>
      <c r="D7" t="s">
        <v>10</v>
      </c>
      <c r="E7" t="s">
        <v>11</v>
      </c>
      <c r="F7">
        <v>1100</v>
      </c>
      <c r="G7">
        <v>1</v>
      </c>
      <c r="H7">
        <v>1100</v>
      </c>
      <c r="I7">
        <v>1100</v>
      </c>
    </row>
    <row r="8" spans="1:9" x14ac:dyDescent="0.3">
      <c r="A8">
        <v>5</v>
      </c>
      <c r="B8" s="24">
        <v>43470</v>
      </c>
      <c r="C8" t="s">
        <v>81</v>
      </c>
      <c r="D8" t="s">
        <v>10</v>
      </c>
      <c r="E8" t="s">
        <v>11</v>
      </c>
      <c r="F8">
        <v>1100</v>
      </c>
      <c r="G8">
        <v>1</v>
      </c>
      <c r="H8">
        <v>1100</v>
      </c>
      <c r="I8">
        <v>1100</v>
      </c>
    </row>
    <row r="9" spans="1:9" x14ac:dyDescent="0.3">
      <c r="A9">
        <v>6</v>
      </c>
      <c r="B9" s="24">
        <v>43471</v>
      </c>
      <c r="C9" t="s">
        <v>81</v>
      </c>
      <c r="D9" t="s">
        <v>10</v>
      </c>
      <c r="E9" t="s">
        <v>11</v>
      </c>
      <c r="F9">
        <v>1100</v>
      </c>
      <c r="G9">
        <v>1</v>
      </c>
      <c r="H9">
        <v>1100</v>
      </c>
      <c r="I9">
        <v>1100</v>
      </c>
    </row>
    <row r="10" spans="1:9" x14ac:dyDescent="0.3">
      <c r="A10">
        <v>7</v>
      </c>
      <c r="B10" s="24">
        <v>43472</v>
      </c>
      <c r="C10" t="s">
        <v>81</v>
      </c>
      <c r="D10" t="s">
        <v>10</v>
      </c>
      <c r="E10" t="s">
        <v>11</v>
      </c>
      <c r="F10">
        <v>1100</v>
      </c>
      <c r="G10">
        <v>2</v>
      </c>
      <c r="H10">
        <v>2200</v>
      </c>
      <c r="I10">
        <v>2200</v>
      </c>
    </row>
    <row r="11" spans="1:9" x14ac:dyDescent="0.3">
      <c r="A11">
        <v>8</v>
      </c>
      <c r="B11" s="24">
        <v>43473</v>
      </c>
      <c r="C11" t="s">
        <v>81</v>
      </c>
      <c r="D11" t="s">
        <v>10</v>
      </c>
      <c r="E11" t="s">
        <v>11</v>
      </c>
      <c r="F11">
        <v>1100</v>
      </c>
      <c r="G11">
        <v>1</v>
      </c>
      <c r="H11">
        <v>1100</v>
      </c>
      <c r="I11">
        <v>1100</v>
      </c>
    </row>
    <row r="12" spans="1:9" x14ac:dyDescent="0.3">
      <c r="A12">
        <v>9</v>
      </c>
      <c r="B12" s="24">
        <v>43474</v>
      </c>
      <c r="C12" t="s">
        <v>81</v>
      </c>
      <c r="D12" t="s">
        <v>10</v>
      </c>
      <c r="E12" t="s">
        <v>11</v>
      </c>
      <c r="F12">
        <v>1100</v>
      </c>
      <c r="G12">
        <v>1</v>
      </c>
      <c r="H12">
        <v>1100</v>
      </c>
      <c r="I12">
        <v>1100</v>
      </c>
    </row>
    <row r="13" spans="1:9" x14ac:dyDescent="0.3">
      <c r="A13">
        <v>10</v>
      </c>
      <c r="B13" s="24">
        <v>43475</v>
      </c>
      <c r="C13" t="s">
        <v>81</v>
      </c>
      <c r="D13" t="s">
        <v>12</v>
      </c>
      <c r="E13" t="s">
        <v>11</v>
      </c>
      <c r="F13">
        <v>900</v>
      </c>
      <c r="G13">
        <v>1</v>
      </c>
      <c r="H13">
        <v>900</v>
      </c>
      <c r="I13">
        <v>765</v>
      </c>
    </row>
    <row r="14" spans="1:9" x14ac:dyDescent="0.3">
      <c r="A14">
        <v>20</v>
      </c>
      <c r="B14" s="24">
        <v>43485</v>
      </c>
      <c r="C14" t="s">
        <v>81</v>
      </c>
      <c r="D14" t="s">
        <v>12</v>
      </c>
      <c r="E14" t="s">
        <v>11</v>
      </c>
      <c r="F14">
        <v>900</v>
      </c>
      <c r="G14">
        <v>1</v>
      </c>
      <c r="H14">
        <v>900</v>
      </c>
      <c r="I14">
        <v>765</v>
      </c>
    </row>
    <row r="15" spans="1:9" x14ac:dyDescent="0.3">
      <c r="A15">
        <v>21</v>
      </c>
      <c r="B15" s="24">
        <v>43486</v>
      </c>
      <c r="C15" t="s">
        <v>81</v>
      </c>
      <c r="D15" t="s">
        <v>12</v>
      </c>
      <c r="E15" t="s">
        <v>11</v>
      </c>
      <c r="F15">
        <v>900</v>
      </c>
      <c r="G15">
        <v>1</v>
      </c>
      <c r="H15">
        <v>900</v>
      </c>
      <c r="I15">
        <v>765</v>
      </c>
    </row>
    <row r="16" spans="1:9" x14ac:dyDescent="0.3">
      <c r="A16">
        <v>22</v>
      </c>
      <c r="B16" s="24">
        <v>43487</v>
      </c>
      <c r="C16" t="s">
        <v>81</v>
      </c>
      <c r="D16" t="s">
        <v>14</v>
      </c>
      <c r="E16" t="s">
        <v>11</v>
      </c>
      <c r="F16">
        <v>900</v>
      </c>
      <c r="G16">
        <v>1</v>
      </c>
      <c r="H16">
        <v>900</v>
      </c>
      <c r="I16">
        <v>900</v>
      </c>
    </row>
    <row r="17" spans="1:9" x14ac:dyDescent="0.3">
      <c r="A17">
        <v>23</v>
      </c>
      <c r="B17" s="24">
        <v>43488</v>
      </c>
      <c r="C17" t="s">
        <v>81</v>
      </c>
      <c r="D17" t="s">
        <v>10</v>
      </c>
      <c r="E17" t="s">
        <v>11</v>
      </c>
      <c r="F17">
        <v>1100</v>
      </c>
      <c r="G17">
        <v>1</v>
      </c>
      <c r="H17">
        <v>1100</v>
      </c>
      <c r="I17">
        <v>1100</v>
      </c>
    </row>
    <row r="18" spans="1:9" x14ac:dyDescent="0.3">
      <c r="A18">
        <v>24</v>
      </c>
      <c r="B18" s="24">
        <v>43489</v>
      </c>
      <c r="C18" t="s">
        <v>81</v>
      </c>
      <c r="D18" t="s">
        <v>10</v>
      </c>
      <c r="E18" t="s">
        <v>11</v>
      </c>
      <c r="F18">
        <v>1100</v>
      </c>
      <c r="G18">
        <v>1</v>
      </c>
      <c r="H18">
        <v>1100</v>
      </c>
      <c r="I18">
        <v>1100</v>
      </c>
    </row>
    <row r="19" spans="1:9" x14ac:dyDescent="0.3">
      <c r="A19">
        <v>25</v>
      </c>
      <c r="B19" s="24">
        <v>43490</v>
      </c>
      <c r="C19" t="s">
        <v>81</v>
      </c>
      <c r="D19" t="s">
        <v>14</v>
      </c>
      <c r="E19" t="s">
        <v>11</v>
      </c>
      <c r="F19">
        <v>900</v>
      </c>
      <c r="G19">
        <v>1</v>
      </c>
      <c r="H19">
        <v>900</v>
      </c>
      <c r="I19">
        <v>900</v>
      </c>
    </row>
    <row r="20" spans="1:9" x14ac:dyDescent="0.3">
      <c r="A20">
        <v>26</v>
      </c>
      <c r="B20" s="24">
        <v>43491</v>
      </c>
      <c r="C20" t="s">
        <v>81</v>
      </c>
      <c r="D20" t="s">
        <v>12</v>
      </c>
      <c r="E20" t="s">
        <v>11</v>
      </c>
      <c r="F20">
        <v>900</v>
      </c>
      <c r="G20">
        <v>1</v>
      </c>
      <c r="H20">
        <v>900</v>
      </c>
      <c r="I20">
        <v>765</v>
      </c>
    </row>
    <row r="21" spans="1:9" x14ac:dyDescent="0.3">
      <c r="A21">
        <v>27</v>
      </c>
      <c r="B21" s="24">
        <v>43492</v>
      </c>
      <c r="C21" t="s">
        <v>81</v>
      </c>
      <c r="D21" t="s">
        <v>14</v>
      </c>
      <c r="E21" t="s">
        <v>11</v>
      </c>
      <c r="F21">
        <v>900</v>
      </c>
      <c r="G21">
        <v>1</v>
      </c>
      <c r="H21">
        <v>900</v>
      </c>
      <c r="I21">
        <v>900</v>
      </c>
    </row>
    <row r="22" spans="1:9" x14ac:dyDescent="0.3">
      <c r="A22">
        <v>28</v>
      </c>
      <c r="B22" s="24">
        <v>43493</v>
      </c>
      <c r="C22" t="s">
        <v>81</v>
      </c>
      <c r="D22" t="s">
        <v>10</v>
      </c>
      <c r="E22" t="s">
        <v>11</v>
      </c>
      <c r="F22">
        <v>1100</v>
      </c>
      <c r="G22">
        <v>1</v>
      </c>
      <c r="H22">
        <v>1100</v>
      </c>
      <c r="I22">
        <v>1100</v>
      </c>
    </row>
    <row r="23" spans="1:9" x14ac:dyDescent="0.3">
      <c r="A23">
        <v>29</v>
      </c>
      <c r="B23" s="24">
        <v>43494</v>
      </c>
      <c r="C23" t="s">
        <v>81</v>
      </c>
      <c r="D23" t="s">
        <v>10</v>
      </c>
      <c r="E23" t="s">
        <v>11</v>
      </c>
      <c r="F23">
        <v>1100</v>
      </c>
      <c r="G23">
        <v>1</v>
      </c>
      <c r="H23">
        <v>1100</v>
      </c>
      <c r="I23">
        <v>1100</v>
      </c>
    </row>
    <row r="24" spans="1:9" x14ac:dyDescent="0.3">
      <c r="A24">
        <v>30</v>
      </c>
      <c r="B24" s="24">
        <v>43495</v>
      </c>
      <c r="C24" t="s">
        <v>81</v>
      </c>
      <c r="D24" t="s">
        <v>14</v>
      </c>
      <c r="E24" t="s">
        <v>11</v>
      </c>
      <c r="F24">
        <v>900</v>
      </c>
      <c r="G24">
        <v>1</v>
      </c>
      <c r="H24">
        <v>900</v>
      </c>
      <c r="I24">
        <v>900</v>
      </c>
    </row>
    <row r="25" spans="1:9" x14ac:dyDescent="0.3">
      <c r="A25">
        <v>31</v>
      </c>
      <c r="B25" s="24">
        <v>43496</v>
      </c>
      <c r="C25" t="s">
        <v>81</v>
      </c>
      <c r="D25" t="s">
        <v>14</v>
      </c>
      <c r="E25" t="s">
        <v>11</v>
      </c>
      <c r="F25">
        <v>900</v>
      </c>
      <c r="G25">
        <v>1</v>
      </c>
      <c r="H25">
        <v>900</v>
      </c>
      <c r="I25">
        <v>900</v>
      </c>
    </row>
    <row r="26" spans="1:9" x14ac:dyDescent="0.3">
      <c r="A26">
        <v>32</v>
      </c>
      <c r="B26" s="24">
        <v>43497</v>
      </c>
      <c r="C26" t="s">
        <v>81</v>
      </c>
      <c r="D26" t="s">
        <v>14</v>
      </c>
      <c r="E26" t="s">
        <v>11</v>
      </c>
      <c r="F26">
        <v>900</v>
      </c>
      <c r="G26">
        <v>1</v>
      </c>
      <c r="H26">
        <v>900</v>
      </c>
      <c r="I26">
        <v>900</v>
      </c>
    </row>
    <row r="27" spans="1:9" x14ac:dyDescent="0.3">
      <c r="A27">
        <v>33</v>
      </c>
      <c r="B27" s="24">
        <v>43498</v>
      </c>
      <c r="C27" t="s">
        <v>81</v>
      </c>
      <c r="D27" t="s">
        <v>14</v>
      </c>
      <c r="E27" t="s">
        <v>11</v>
      </c>
      <c r="F27">
        <v>900</v>
      </c>
      <c r="G27">
        <v>1</v>
      </c>
      <c r="H27">
        <v>900</v>
      </c>
      <c r="I27">
        <v>900</v>
      </c>
    </row>
    <row r="28" spans="1:9" x14ac:dyDescent="0.3">
      <c r="A28">
        <v>34</v>
      </c>
      <c r="B28" s="24">
        <v>43499</v>
      </c>
      <c r="C28" t="s">
        <v>81</v>
      </c>
      <c r="D28" t="s">
        <v>14</v>
      </c>
      <c r="E28" t="s">
        <v>11</v>
      </c>
      <c r="F28">
        <v>900</v>
      </c>
      <c r="G28">
        <v>1</v>
      </c>
      <c r="H28">
        <v>900</v>
      </c>
      <c r="I28">
        <v>900</v>
      </c>
    </row>
    <row r="29" spans="1:9" x14ac:dyDescent="0.3">
      <c r="A29">
        <v>35</v>
      </c>
      <c r="B29" s="24">
        <v>43500</v>
      </c>
      <c r="C29" t="s">
        <v>81</v>
      </c>
      <c r="D29" t="s">
        <v>12</v>
      </c>
      <c r="E29" t="s">
        <v>11</v>
      </c>
      <c r="F29">
        <v>900</v>
      </c>
      <c r="G29">
        <v>1</v>
      </c>
      <c r="H29">
        <v>900</v>
      </c>
      <c r="I29">
        <v>765</v>
      </c>
    </row>
    <row r="30" spans="1:9" x14ac:dyDescent="0.3">
      <c r="A30">
        <v>36</v>
      </c>
      <c r="B30" s="24">
        <v>43501</v>
      </c>
      <c r="C30" t="s">
        <v>81</v>
      </c>
      <c r="D30" t="s">
        <v>12</v>
      </c>
      <c r="E30" t="s">
        <v>11</v>
      </c>
      <c r="F30">
        <v>900</v>
      </c>
      <c r="G30">
        <v>1</v>
      </c>
      <c r="H30">
        <v>900</v>
      </c>
      <c r="I30">
        <v>765</v>
      </c>
    </row>
    <row r="31" spans="1:9" x14ac:dyDescent="0.3">
      <c r="A31">
        <v>37</v>
      </c>
      <c r="B31" s="24">
        <v>43502</v>
      </c>
      <c r="C31" t="s">
        <v>81</v>
      </c>
      <c r="D31" t="s">
        <v>12</v>
      </c>
      <c r="E31" t="s">
        <v>11</v>
      </c>
      <c r="F31">
        <v>900</v>
      </c>
      <c r="G31">
        <v>1</v>
      </c>
      <c r="H31">
        <v>900</v>
      </c>
      <c r="I31">
        <v>765</v>
      </c>
    </row>
    <row r="32" spans="1:9" x14ac:dyDescent="0.3">
      <c r="A32">
        <v>38</v>
      </c>
      <c r="B32" s="24">
        <v>43503</v>
      </c>
      <c r="C32" t="s">
        <v>81</v>
      </c>
      <c r="D32" t="s">
        <v>10</v>
      </c>
      <c r="E32" t="s">
        <v>11</v>
      </c>
      <c r="F32">
        <v>1100</v>
      </c>
      <c r="G32">
        <v>1</v>
      </c>
      <c r="H32">
        <v>1100</v>
      </c>
      <c r="I32">
        <v>1100</v>
      </c>
    </row>
    <row r="33" spans="1:9" x14ac:dyDescent="0.3">
      <c r="A33">
        <v>39</v>
      </c>
      <c r="B33" s="24">
        <v>43504</v>
      </c>
      <c r="C33" t="s">
        <v>81</v>
      </c>
      <c r="D33" t="s">
        <v>10</v>
      </c>
      <c r="E33" t="s">
        <v>11</v>
      </c>
      <c r="F33">
        <v>1100</v>
      </c>
      <c r="G33">
        <v>1</v>
      </c>
      <c r="H33">
        <v>1100</v>
      </c>
      <c r="I33">
        <v>1100</v>
      </c>
    </row>
    <row r="34" spans="1:9" x14ac:dyDescent="0.3">
      <c r="A34">
        <v>40</v>
      </c>
      <c r="B34" s="24">
        <v>43505</v>
      </c>
      <c r="C34" t="s">
        <v>81</v>
      </c>
      <c r="D34" t="s">
        <v>15</v>
      </c>
      <c r="E34" t="s">
        <v>11</v>
      </c>
      <c r="F34">
        <v>1000</v>
      </c>
      <c r="G34">
        <v>1</v>
      </c>
      <c r="H34">
        <v>1000</v>
      </c>
      <c r="I34">
        <v>1000</v>
      </c>
    </row>
    <row r="35" spans="1:9" x14ac:dyDescent="0.3">
      <c r="A35">
        <v>41</v>
      </c>
      <c r="B35" s="24">
        <v>43506</v>
      </c>
      <c r="C35" t="s">
        <v>81</v>
      </c>
      <c r="D35" t="s">
        <v>15</v>
      </c>
      <c r="E35" t="s">
        <v>11</v>
      </c>
      <c r="F35">
        <v>1000</v>
      </c>
      <c r="G35">
        <v>1</v>
      </c>
      <c r="H35">
        <v>1000</v>
      </c>
      <c r="I35">
        <v>1000</v>
      </c>
    </row>
    <row r="36" spans="1:9" x14ac:dyDescent="0.3">
      <c r="A36">
        <v>42</v>
      </c>
      <c r="B36" s="24">
        <v>43507</v>
      </c>
      <c r="C36" t="s">
        <v>81</v>
      </c>
      <c r="D36" t="s">
        <v>10</v>
      </c>
      <c r="E36" t="s">
        <v>11</v>
      </c>
      <c r="F36">
        <v>1100</v>
      </c>
      <c r="G36">
        <v>1</v>
      </c>
      <c r="H36">
        <v>1100</v>
      </c>
      <c r="I36">
        <v>1100</v>
      </c>
    </row>
    <row r="37" spans="1:9" x14ac:dyDescent="0.3">
      <c r="A37">
        <v>43</v>
      </c>
      <c r="B37" s="24">
        <v>43508</v>
      </c>
      <c r="C37" t="s">
        <v>81</v>
      </c>
      <c r="D37" t="s">
        <v>15</v>
      </c>
      <c r="E37" t="s">
        <v>11</v>
      </c>
      <c r="F37">
        <v>1000</v>
      </c>
      <c r="G37">
        <v>1</v>
      </c>
      <c r="H37">
        <v>1000</v>
      </c>
      <c r="I37">
        <v>1000</v>
      </c>
    </row>
    <row r="38" spans="1:9" x14ac:dyDescent="0.3">
      <c r="A38">
        <v>44</v>
      </c>
      <c r="B38" s="24">
        <v>43509</v>
      </c>
      <c r="C38" t="s">
        <v>81</v>
      </c>
      <c r="D38" t="s">
        <v>12</v>
      </c>
      <c r="E38" t="s">
        <v>11</v>
      </c>
      <c r="F38">
        <v>900</v>
      </c>
      <c r="G38">
        <v>1</v>
      </c>
      <c r="H38">
        <v>900</v>
      </c>
      <c r="I38">
        <v>765</v>
      </c>
    </row>
    <row r="39" spans="1:9" x14ac:dyDescent="0.3">
      <c r="A39">
        <v>45</v>
      </c>
      <c r="B39" s="24">
        <v>43510</v>
      </c>
      <c r="C39" t="s">
        <v>81</v>
      </c>
      <c r="D39" t="s">
        <v>12</v>
      </c>
      <c r="E39" t="s">
        <v>11</v>
      </c>
      <c r="F39">
        <v>900</v>
      </c>
      <c r="G39">
        <v>2</v>
      </c>
      <c r="H39">
        <v>1800</v>
      </c>
      <c r="I39">
        <v>1530</v>
      </c>
    </row>
    <row r="40" spans="1:9" x14ac:dyDescent="0.3">
      <c r="A40">
        <v>46</v>
      </c>
      <c r="B40" s="24">
        <v>43511</v>
      </c>
      <c r="C40" t="s">
        <v>81</v>
      </c>
      <c r="D40" t="s">
        <v>10</v>
      </c>
      <c r="E40" t="s">
        <v>11</v>
      </c>
      <c r="F40">
        <v>1100</v>
      </c>
      <c r="G40">
        <v>1</v>
      </c>
      <c r="H40">
        <v>1100</v>
      </c>
      <c r="I40">
        <v>1100</v>
      </c>
    </row>
    <row r="41" spans="1:9" x14ac:dyDescent="0.3">
      <c r="A41">
        <v>47</v>
      </c>
      <c r="B41" s="24">
        <v>43512</v>
      </c>
      <c r="C41" t="s">
        <v>81</v>
      </c>
      <c r="D41" t="s">
        <v>12</v>
      </c>
      <c r="E41" t="s">
        <v>11</v>
      </c>
      <c r="F41">
        <v>900</v>
      </c>
      <c r="G41">
        <v>1</v>
      </c>
      <c r="H41">
        <v>900</v>
      </c>
      <c r="I41">
        <v>765</v>
      </c>
    </row>
    <row r="42" spans="1:9" x14ac:dyDescent="0.3">
      <c r="A42">
        <v>48</v>
      </c>
      <c r="B42" s="24">
        <v>43513</v>
      </c>
      <c r="C42" t="s">
        <v>81</v>
      </c>
      <c r="D42" t="s">
        <v>10</v>
      </c>
      <c r="E42" t="s">
        <v>11</v>
      </c>
      <c r="F42">
        <v>1100</v>
      </c>
      <c r="G42">
        <v>1</v>
      </c>
      <c r="H42">
        <v>1100</v>
      </c>
      <c r="I42">
        <v>1100</v>
      </c>
    </row>
    <row r="43" spans="1:9" x14ac:dyDescent="0.3">
      <c r="A43">
        <v>49</v>
      </c>
      <c r="B43" s="24">
        <v>43514</v>
      </c>
      <c r="C43" t="s">
        <v>81</v>
      </c>
      <c r="D43" t="s">
        <v>16</v>
      </c>
      <c r="E43" t="s">
        <v>17</v>
      </c>
      <c r="F43">
        <v>800</v>
      </c>
      <c r="G43">
        <v>1</v>
      </c>
      <c r="H43">
        <v>800</v>
      </c>
      <c r="I43">
        <v>800</v>
      </c>
    </row>
    <row r="44" spans="1:9" x14ac:dyDescent="0.3">
      <c r="A44">
        <v>50</v>
      </c>
      <c r="B44" s="24">
        <v>43515</v>
      </c>
      <c r="C44" t="s">
        <v>81</v>
      </c>
      <c r="D44" t="s">
        <v>16</v>
      </c>
      <c r="E44" t="s">
        <v>17</v>
      </c>
      <c r="F44">
        <v>800</v>
      </c>
      <c r="G44">
        <v>2</v>
      </c>
      <c r="H44">
        <v>1600</v>
      </c>
      <c r="I44">
        <v>1600</v>
      </c>
    </row>
    <row r="45" spans="1:9" x14ac:dyDescent="0.3">
      <c r="A45">
        <v>51</v>
      </c>
      <c r="B45" s="24">
        <v>43516</v>
      </c>
      <c r="C45" t="s">
        <v>81</v>
      </c>
      <c r="D45" t="s">
        <v>14</v>
      </c>
      <c r="E45" t="s">
        <v>11</v>
      </c>
      <c r="F45">
        <v>900</v>
      </c>
      <c r="G45">
        <v>1</v>
      </c>
      <c r="H45">
        <v>900</v>
      </c>
      <c r="I45">
        <v>900</v>
      </c>
    </row>
    <row r="46" spans="1:9" x14ac:dyDescent="0.3">
      <c r="A46">
        <v>52</v>
      </c>
      <c r="B46" s="24">
        <v>43517</v>
      </c>
      <c r="C46" t="s">
        <v>81</v>
      </c>
      <c r="D46" t="s">
        <v>10</v>
      </c>
      <c r="E46" t="s">
        <v>11</v>
      </c>
      <c r="F46">
        <v>1100</v>
      </c>
      <c r="G46">
        <v>1</v>
      </c>
      <c r="H46">
        <v>1100</v>
      </c>
      <c r="I46">
        <v>1100</v>
      </c>
    </row>
    <row r="47" spans="1:9" x14ac:dyDescent="0.3">
      <c r="A47">
        <v>53</v>
      </c>
      <c r="B47" s="24">
        <v>43518</v>
      </c>
      <c r="C47" t="s">
        <v>81</v>
      </c>
      <c r="D47" t="s">
        <v>16</v>
      </c>
      <c r="E47" t="s">
        <v>17</v>
      </c>
      <c r="F47">
        <v>800</v>
      </c>
      <c r="G47">
        <v>1</v>
      </c>
      <c r="H47">
        <v>800</v>
      </c>
      <c r="I47">
        <v>800</v>
      </c>
    </row>
    <row r="48" spans="1:9" x14ac:dyDescent="0.3">
      <c r="A48">
        <v>54</v>
      </c>
      <c r="B48" s="24">
        <v>43519</v>
      </c>
      <c r="C48" t="s">
        <v>81</v>
      </c>
      <c r="D48" t="s">
        <v>15</v>
      </c>
      <c r="E48" t="s">
        <v>11</v>
      </c>
      <c r="F48">
        <v>1000</v>
      </c>
      <c r="G48">
        <v>1</v>
      </c>
      <c r="H48">
        <v>1000</v>
      </c>
      <c r="I48">
        <v>1000</v>
      </c>
    </row>
    <row r="49" spans="1:9" x14ac:dyDescent="0.3">
      <c r="A49">
        <v>55</v>
      </c>
      <c r="B49" s="24">
        <v>43520</v>
      </c>
      <c r="C49" t="s">
        <v>81</v>
      </c>
      <c r="D49" t="s">
        <v>16</v>
      </c>
      <c r="E49" t="s">
        <v>17</v>
      </c>
      <c r="F49">
        <v>800</v>
      </c>
      <c r="G49">
        <v>1</v>
      </c>
      <c r="H49">
        <v>800</v>
      </c>
      <c r="I49">
        <v>800</v>
      </c>
    </row>
    <row r="50" spans="1:9" x14ac:dyDescent="0.3">
      <c r="A50">
        <v>56</v>
      </c>
      <c r="B50" s="24">
        <v>43521</v>
      </c>
      <c r="C50" t="s">
        <v>81</v>
      </c>
      <c r="D50" t="s">
        <v>18</v>
      </c>
      <c r="E50" t="s">
        <v>17</v>
      </c>
      <c r="F50">
        <v>600</v>
      </c>
      <c r="G50">
        <v>1</v>
      </c>
      <c r="H50">
        <v>600</v>
      </c>
      <c r="I50">
        <v>600</v>
      </c>
    </row>
    <row r="51" spans="1:9" x14ac:dyDescent="0.3">
      <c r="A51">
        <v>57</v>
      </c>
      <c r="B51" s="24">
        <v>43522</v>
      </c>
      <c r="C51" t="s">
        <v>81</v>
      </c>
      <c r="D51" t="s">
        <v>12</v>
      </c>
      <c r="E51" t="s">
        <v>11</v>
      </c>
      <c r="F51">
        <v>900</v>
      </c>
      <c r="G51">
        <v>1</v>
      </c>
      <c r="H51">
        <v>900</v>
      </c>
      <c r="I51">
        <v>765</v>
      </c>
    </row>
    <row r="52" spans="1:9" x14ac:dyDescent="0.3">
      <c r="A52">
        <v>58</v>
      </c>
      <c r="B52" s="24">
        <v>43523</v>
      </c>
      <c r="C52" t="s">
        <v>81</v>
      </c>
      <c r="D52" t="s">
        <v>10</v>
      </c>
      <c r="E52" t="s">
        <v>11</v>
      </c>
      <c r="F52">
        <v>1100</v>
      </c>
      <c r="G52">
        <v>1</v>
      </c>
      <c r="H52">
        <v>1100</v>
      </c>
      <c r="I52">
        <v>1100</v>
      </c>
    </row>
    <row r="53" spans="1:9" x14ac:dyDescent="0.3">
      <c r="A53">
        <v>59</v>
      </c>
      <c r="B53" s="24">
        <v>43524</v>
      </c>
      <c r="C53" t="s">
        <v>81</v>
      </c>
      <c r="D53" t="s">
        <v>15</v>
      </c>
      <c r="E53" t="s">
        <v>11</v>
      </c>
      <c r="F53">
        <v>1000</v>
      </c>
      <c r="G53">
        <v>1</v>
      </c>
      <c r="H53">
        <v>1000</v>
      </c>
      <c r="I53">
        <v>1000</v>
      </c>
    </row>
    <row r="54" spans="1:9" x14ac:dyDescent="0.3">
      <c r="A54">
        <v>60</v>
      </c>
      <c r="B54" s="24">
        <v>43525</v>
      </c>
      <c r="C54" t="s">
        <v>81</v>
      </c>
      <c r="D54" t="s">
        <v>12</v>
      </c>
      <c r="E54" t="s">
        <v>11</v>
      </c>
      <c r="F54">
        <v>900</v>
      </c>
      <c r="G54">
        <v>1</v>
      </c>
      <c r="H54">
        <v>900</v>
      </c>
      <c r="I54">
        <v>765</v>
      </c>
    </row>
    <row r="55" spans="1:9" x14ac:dyDescent="0.3">
      <c r="A55">
        <v>61</v>
      </c>
      <c r="B55" s="24">
        <v>43526</v>
      </c>
      <c r="C55" t="s">
        <v>81</v>
      </c>
      <c r="D55" t="s">
        <v>10</v>
      </c>
      <c r="E55" t="s">
        <v>11</v>
      </c>
      <c r="F55">
        <v>1100</v>
      </c>
      <c r="G55">
        <v>2</v>
      </c>
      <c r="H55">
        <v>2200</v>
      </c>
      <c r="I55">
        <v>2200</v>
      </c>
    </row>
    <row r="56" spans="1:9" x14ac:dyDescent="0.3">
      <c r="A56">
        <v>62</v>
      </c>
      <c r="B56" s="24">
        <v>43527</v>
      </c>
      <c r="C56" t="s">
        <v>81</v>
      </c>
      <c r="D56" t="s">
        <v>18</v>
      </c>
      <c r="E56" t="s">
        <v>17</v>
      </c>
      <c r="F56">
        <v>600</v>
      </c>
      <c r="G56">
        <v>1</v>
      </c>
      <c r="H56">
        <v>600</v>
      </c>
      <c r="I56">
        <v>600</v>
      </c>
    </row>
    <row r="57" spans="1:9" x14ac:dyDescent="0.3">
      <c r="A57">
        <v>63</v>
      </c>
      <c r="B57" s="24">
        <v>43528</v>
      </c>
      <c r="C57" t="s">
        <v>81</v>
      </c>
      <c r="D57" t="s">
        <v>18</v>
      </c>
      <c r="E57" t="s">
        <v>17</v>
      </c>
      <c r="F57">
        <v>600</v>
      </c>
      <c r="G57">
        <v>1</v>
      </c>
      <c r="H57">
        <v>600</v>
      </c>
      <c r="I57">
        <v>600</v>
      </c>
    </row>
    <row r="58" spans="1:9" x14ac:dyDescent="0.3">
      <c r="A58">
        <v>64</v>
      </c>
      <c r="B58" s="24">
        <v>43529</v>
      </c>
      <c r="C58" t="s">
        <v>81</v>
      </c>
      <c r="D58" t="s">
        <v>18</v>
      </c>
      <c r="E58" t="s">
        <v>17</v>
      </c>
      <c r="F58">
        <v>600</v>
      </c>
      <c r="G58">
        <v>1</v>
      </c>
      <c r="H58">
        <v>600</v>
      </c>
      <c r="I58">
        <v>600</v>
      </c>
    </row>
    <row r="59" spans="1:9" x14ac:dyDescent="0.3">
      <c r="A59">
        <v>65</v>
      </c>
      <c r="B59" s="24">
        <v>43530</v>
      </c>
      <c r="C59" t="s">
        <v>81</v>
      </c>
      <c r="D59" t="s">
        <v>12</v>
      </c>
      <c r="E59" t="s">
        <v>11</v>
      </c>
      <c r="F59">
        <v>900</v>
      </c>
      <c r="G59">
        <v>1</v>
      </c>
      <c r="H59">
        <v>900</v>
      </c>
      <c r="I59">
        <v>765</v>
      </c>
    </row>
    <row r="60" spans="1:9" x14ac:dyDescent="0.3">
      <c r="A60">
        <v>66</v>
      </c>
      <c r="B60" s="24">
        <v>43531</v>
      </c>
      <c r="C60" t="s">
        <v>81</v>
      </c>
      <c r="D60" t="s">
        <v>18</v>
      </c>
      <c r="E60" t="s">
        <v>17</v>
      </c>
      <c r="F60">
        <v>600</v>
      </c>
      <c r="G60">
        <v>1</v>
      </c>
      <c r="H60">
        <v>600</v>
      </c>
      <c r="I60">
        <v>600</v>
      </c>
    </row>
    <row r="61" spans="1:9" x14ac:dyDescent="0.3">
      <c r="A61">
        <v>67</v>
      </c>
      <c r="B61" s="24">
        <v>43532</v>
      </c>
      <c r="C61" t="s">
        <v>81</v>
      </c>
      <c r="D61" t="s">
        <v>18</v>
      </c>
      <c r="E61" t="s">
        <v>17</v>
      </c>
      <c r="F61">
        <v>600</v>
      </c>
      <c r="G61">
        <v>1</v>
      </c>
      <c r="H61">
        <v>600</v>
      </c>
      <c r="I61">
        <v>600</v>
      </c>
    </row>
    <row r="62" spans="1:9" x14ac:dyDescent="0.3">
      <c r="A62">
        <v>68</v>
      </c>
      <c r="B62" s="24">
        <v>43533</v>
      </c>
      <c r="C62" t="s">
        <v>81</v>
      </c>
      <c r="D62" t="s">
        <v>10</v>
      </c>
      <c r="E62" t="s">
        <v>11</v>
      </c>
      <c r="F62">
        <v>1100</v>
      </c>
      <c r="G62">
        <v>1</v>
      </c>
      <c r="H62">
        <v>1100</v>
      </c>
      <c r="I62">
        <v>1100</v>
      </c>
    </row>
    <row r="63" spans="1:9" x14ac:dyDescent="0.3">
      <c r="A63">
        <v>69</v>
      </c>
      <c r="B63" s="24">
        <v>43534</v>
      </c>
      <c r="C63" t="s">
        <v>81</v>
      </c>
      <c r="D63" t="s">
        <v>14</v>
      </c>
      <c r="E63" t="s">
        <v>11</v>
      </c>
      <c r="F63">
        <v>900</v>
      </c>
      <c r="G63">
        <v>3</v>
      </c>
      <c r="H63">
        <v>2700</v>
      </c>
      <c r="I63">
        <v>2700</v>
      </c>
    </row>
    <row r="64" spans="1:9" x14ac:dyDescent="0.3">
      <c r="A64">
        <v>70</v>
      </c>
      <c r="B64" s="24">
        <v>43535</v>
      </c>
      <c r="C64" t="s">
        <v>81</v>
      </c>
      <c r="D64" t="s">
        <v>10</v>
      </c>
      <c r="E64" t="s">
        <v>11</v>
      </c>
      <c r="F64">
        <v>1100</v>
      </c>
      <c r="G64">
        <v>2</v>
      </c>
      <c r="H64">
        <v>2200</v>
      </c>
      <c r="I64">
        <v>2200</v>
      </c>
    </row>
    <row r="65" spans="1:9" x14ac:dyDescent="0.3">
      <c r="A65">
        <v>71</v>
      </c>
      <c r="B65" s="24">
        <v>43536</v>
      </c>
      <c r="C65" t="s">
        <v>81</v>
      </c>
      <c r="D65" t="s">
        <v>10</v>
      </c>
      <c r="E65" t="s">
        <v>11</v>
      </c>
      <c r="F65">
        <v>1100</v>
      </c>
      <c r="G65">
        <v>1</v>
      </c>
      <c r="H65">
        <v>1100</v>
      </c>
      <c r="I65">
        <v>1100</v>
      </c>
    </row>
    <row r="66" spans="1:9" x14ac:dyDescent="0.3">
      <c r="A66">
        <v>72</v>
      </c>
      <c r="B66" s="24">
        <v>43537</v>
      </c>
      <c r="C66" t="s">
        <v>81</v>
      </c>
      <c r="D66" t="s">
        <v>18</v>
      </c>
      <c r="E66" t="s">
        <v>17</v>
      </c>
      <c r="F66">
        <v>600</v>
      </c>
      <c r="G66">
        <v>1</v>
      </c>
      <c r="H66">
        <v>600</v>
      </c>
      <c r="I66">
        <v>600</v>
      </c>
    </row>
    <row r="67" spans="1:9" x14ac:dyDescent="0.3">
      <c r="A67">
        <v>73</v>
      </c>
      <c r="B67" s="24">
        <v>43538</v>
      </c>
      <c r="C67" t="s">
        <v>81</v>
      </c>
      <c r="D67" t="s">
        <v>12</v>
      </c>
      <c r="E67" t="s">
        <v>11</v>
      </c>
      <c r="F67">
        <v>900</v>
      </c>
      <c r="G67">
        <v>1</v>
      </c>
      <c r="H67">
        <v>900</v>
      </c>
      <c r="I67">
        <v>765</v>
      </c>
    </row>
    <row r="68" spans="1:9" x14ac:dyDescent="0.3">
      <c r="A68">
        <v>74</v>
      </c>
      <c r="B68" s="24">
        <v>43539</v>
      </c>
      <c r="C68" t="s">
        <v>81</v>
      </c>
      <c r="D68" t="s">
        <v>18</v>
      </c>
      <c r="E68" t="s">
        <v>17</v>
      </c>
      <c r="F68">
        <v>600</v>
      </c>
      <c r="G68">
        <v>1</v>
      </c>
      <c r="H68">
        <v>600</v>
      </c>
      <c r="I68">
        <v>600</v>
      </c>
    </row>
    <row r="69" spans="1:9" x14ac:dyDescent="0.3">
      <c r="A69">
        <v>75</v>
      </c>
      <c r="B69" s="24">
        <v>43540</v>
      </c>
      <c r="C69" t="s">
        <v>81</v>
      </c>
      <c r="D69" t="s">
        <v>18</v>
      </c>
      <c r="E69" t="s">
        <v>17</v>
      </c>
      <c r="F69">
        <v>600</v>
      </c>
      <c r="G69">
        <v>1</v>
      </c>
      <c r="H69">
        <v>600</v>
      </c>
      <c r="I69">
        <v>600</v>
      </c>
    </row>
    <row r="70" spans="1:9" x14ac:dyDescent="0.3">
      <c r="A70">
        <v>76</v>
      </c>
      <c r="B70" s="24">
        <v>43541</v>
      </c>
      <c r="C70" t="s">
        <v>81</v>
      </c>
      <c r="D70" t="s">
        <v>12</v>
      </c>
      <c r="E70" t="s">
        <v>11</v>
      </c>
      <c r="F70">
        <v>900</v>
      </c>
      <c r="G70">
        <v>3</v>
      </c>
      <c r="H70">
        <v>2700</v>
      </c>
      <c r="I70">
        <v>2295</v>
      </c>
    </row>
    <row r="71" spans="1:9" x14ac:dyDescent="0.3">
      <c r="A71">
        <v>77</v>
      </c>
      <c r="B71" s="24">
        <v>43542</v>
      </c>
      <c r="C71" t="s">
        <v>81</v>
      </c>
      <c r="D71" t="s">
        <v>18</v>
      </c>
      <c r="E71" t="s">
        <v>17</v>
      </c>
      <c r="F71">
        <v>600</v>
      </c>
      <c r="G71">
        <v>1</v>
      </c>
      <c r="H71">
        <v>600</v>
      </c>
      <c r="I71">
        <v>600</v>
      </c>
    </row>
    <row r="72" spans="1:9" x14ac:dyDescent="0.3">
      <c r="A72">
        <v>78</v>
      </c>
      <c r="B72" s="24">
        <v>43543</v>
      </c>
      <c r="C72" t="s">
        <v>81</v>
      </c>
      <c r="D72" t="s">
        <v>16</v>
      </c>
      <c r="E72" t="s">
        <v>17</v>
      </c>
      <c r="F72">
        <v>800</v>
      </c>
      <c r="G72">
        <v>1</v>
      </c>
      <c r="H72">
        <v>800</v>
      </c>
      <c r="I72">
        <v>800</v>
      </c>
    </row>
    <row r="73" spans="1:9" x14ac:dyDescent="0.3">
      <c r="A73">
        <v>79</v>
      </c>
      <c r="B73" s="24">
        <v>43544</v>
      </c>
      <c r="C73" t="s">
        <v>81</v>
      </c>
      <c r="D73" t="s">
        <v>18</v>
      </c>
      <c r="E73" t="s">
        <v>17</v>
      </c>
      <c r="F73">
        <v>600</v>
      </c>
      <c r="G73">
        <v>1</v>
      </c>
      <c r="H73">
        <v>600</v>
      </c>
      <c r="I73">
        <v>600</v>
      </c>
    </row>
    <row r="74" spans="1:9" x14ac:dyDescent="0.3">
      <c r="A74">
        <v>80</v>
      </c>
      <c r="B74" s="24">
        <v>43545</v>
      </c>
      <c r="C74" t="s">
        <v>81</v>
      </c>
      <c r="D74" t="s">
        <v>10</v>
      </c>
      <c r="E74" t="s">
        <v>11</v>
      </c>
      <c r="F74">
        <v>1100</v>
      </c>
      <c r="G74">
        <v>1</v>
      </c>
      <c r="H74">
        <v>1100</v>
      </c>
      <c r="I74">
        <v>1100</v>
      </c>
    </row>
    <row r="75" spans="1:9" x14ac:dyDescent="0.3">
      <c r="A75">
        <v>81</v>
      </c>
      <c r="B75" s="24">
        <v>43546</v>
      </c>
      <c r="C75" t="s">
        <v>81</v>
      </c>
      <c r="D75" t="s">
        <v>14</v>
      </c>
      <c r="E75" t="s">
        <v>11</v>
      </c>
      <c r="F75">
        <v>900</v>
      </c>
      <c r="G75">
        <v>1</v>
      </c>
      <c r="H75">
        <v>900</v>
      </c>
      <c r="I75">
        <v>900</v>
      </c>
    </row>
    <row r="76" spans="1:9" x14ac:dyDescent="0.3">
      <c r="A76">
        <v>82</v>
      </c>
      <c r="B76" s="24">
        <v>43547</v>
      </c>
      <c r="C76" t="s">
        <v>81</v>
      </c>
      <c r="D76" t="s">
        <v>10</v>
      </c>
      <c r="E76" t="s">
        <v>11</v>
      </c>
      <c r="F76">
        <v>1100</v>
      </c>
      <c r="G76">
        <v>1</v>
      </c>
      <c r="H76">
        <v>1100</v>
      </c>
      <c r="I76">
        <v>1100</v>
      </c>
    </row>
    <row r="77" spans="1:9" x14ac:dyDescent="0.3">
      <c r="A77">
        <v>83</v>
      </c>
      <c r="B77" s="24">
        <v>43548</v>
      </c>
      <c r="C77" t="s">
        <v>81</v>
      </c>
      <c r="D77" t="s">
        <v>10</v>
      </c>
      <c r="E77" t="s">
        <v>11</v>
      </c>
      <c r="F77">
        <v>1100</v>
      </c>
      <c r="G77">
        <v>1</v>
      </c>
      <c r="H77">
        <v>1100</v>
      </c>
      <c r="I77">
        <v>1100</v>
      </c>
    </row>
    <row r="78" spans="1:9" x14ac:dyDescent="0.3">
      <c r="A78">
        <v>84</v>
      </c>
      <c r="B78" s="24">
        <v>43549</v>
      </c>
      <c r="C78" t="s">
        <v>81</v>
      </c>
      <c r="D78" t="s">
        <v>10</v>
      </c>
      <c r="E78" t="s">
        <v>11</v>
      </c>
      <c r="F78">
        <v>1100</v>
      </c>
      <c r="G78">
        <v>1</v>
      </c>
      <c r="H78">
        <v>1100</v>
      </c>
      <c r="I78">
        <v>1100</v>
      </c>
    </row>
    <row r="79" spans="1:9" x14ac:dyDescent="0.3">
      <c r="A79">
        <v>85</v>
      </c>
      <c r="B79" s="24">
        <v>43550</v>
      </c>
      <c r="C79" t="s">
        <v>81</v>
      </c>
      <c r="D79" t="s">
        <v>15</v>
      </c>
      <c r="E79" t="s">
        <v>11</v>
      </c>
      <c r="F79">
        <v>1000</v>
      </c>
      <c r="G79">
        <v>1</v>
      </c>
      <c r="H79">
        <v>1000</v>
      </c>
      <c r="I79">
        <v>1000</v>
      </c>
    </row>
    <row r="80" spans="1:9" x14ac:dyDescent="0.3">
      <c r="A80">
        <v>86</v>
      </c>
      <c r="B80" s="24">
        <v>43551</v>
      </c>
      <c r="C80" t="s">
        <v>81</v>
      </c>
      <c r="D80" t="s">
        <v>18</v>
      </c>
      <c r="E80" t="s">
        <v>17</v>
      </c>
      <c r="F80">
        <v>600</v>
      </c>
      <c r="G80">
        <v>1</v>
      </c>
      <c r="H80">
        <v>600</v>
      </c>
      <c r="I80">
        <v>600</v>
      </c>
    </row>
    <row r="81" spans="1:9" x14ac:dyDescent="0.3">
      <c r="A81">
        <v>87</v>
      </c>
      <c r="B81" s="24">
        <v>43552</v>
      </c>
      <c r="C81" t="s">
        <v>81</v>
      </c>
      <c r="D81" t="s">
        <v>16</v>
      </c>
      <c r="E81" t="s">
        <v>17</v>
      </c>
      <c r="F81">
        <v>800</v>
      </c>
      <c r="G81">
        <v>1</v>
      </c>
      <c r="H81">
        <v>800</v>
      </c>
      <c r="I81">
        <v>800</v>
      </c>
    </row>
    <row r="82" spans="1:9" x14ac:dyDescent="0.3">
      <c r="A82">
        <v>88</v>
      </c>
      <c r="B82" s="24">
        <v>43553</v>
      </c>
      <c r="C82" t="s">
        <v>81</v>
      </c>
      <c r="D82" t="s">
        <v>10</v>
      </c>
      <c r="E82" t="s">
        <v>11</v>
      </c>
      <c r="F82">
        <v>1100</v>
      </c>
      <c r="G82">
        <v>1</v>
      </c>
      <c r="H82">
        <v>1100</v>
      </c>
      <c r="I82">
        <v>1100</v>
      </c>
    </row>
    <row r="83" spans="1:9" x14ac:dyDescent="0.3">
      <c r="A83">
        <v>89</v>
      </c>
      <c r="B83" s="24">
        <v>43554</v>
      </c>
      <c r="C83" t="s">
        <v>81</v>
      </c>
      <c r="D83" t="s">
        <v>18</v>
      </c>
      <c r="E83" t="s">
        <v>17</v>
      </c>
      <c r="F83">
        <v>600</v>
      </c>
      <c r="G83">
        <v>1</v>
      </c>
      <c r="H83">
        <v>600</v>
      </c>
      <c r="I83">
        <v>600</v>
      </c>
    </row>
    <row r="84" spans="1:9" x14ac:dyDescent="0.3">
      <c r="A84">
        <v>90</v>
      </c>
      <c r="B84" s="24">
        <v>43555</v>
      </c>
      <c r="C84" t="s">
        <v>81</v>
      </c>
      <c r="D84" t="s">
        <v>19</v>
      </c>
      <c r="E84" t="s">
        <v>20</v>
      </c>
      <c r="F84">
        <v>850</v>
      </c>
      <c r="G84">
        <v>1</v>
      </c>
      <c r="H84">
        <v>850</v>
      </c>
      <c r="I84">
        <v>850</v>
      </c>
    </row>
    <row r="85" spans="1:9" x14ac:dyDescent="0.3">
      <c r="A85">
        <v>91</v>
      </c>
      <c r="B85" s="24">
        <v>43556</v>
      </c>
      <c r="C85" t="s">
        <v>81</v>
      </c>
      <c r="D85" t="s">
        <v>14</v>
      </c>
      <c r="E85" t="s">
        <v>11</v>
      </c>
      <c r="F85">
        <v>900</v>
      </c>
      <c r="G85">
        <v>1</v>
      </c>
      <c r="H85">
        <v>900</v>
      </c>
      <c r="I85">
        <v>900</v>
      </c>
    </row>
    <row r="86" spans="1:9" x14ac:dyDescent="0.3">
      <c r="A86">
        <v>92</v>
      </c>
      <c r="B86" s="24">
        <v>43557</v>
      </c>
      <c r="C86" t="s">
        <v>81</v>
      </c>
      <c r="D86" t="s">
        <v>15</v>
      </c>
      <c r="E86" t="s">
        <v>11</v>
      </c>
      <c r="F86">
        <v>1000</v>
      </c>
      <c r="G86">
        <v>1</v>
      </c>
      <c r="H86">
        <v>1000</v>
      </c>
      <c r="I86">
        <v>1000</v>
      </c>
    </row>
    <row r="87" spans="1:9" x14ac:dyDescent="0.3">
      <c r="A87">
        <v>93</v>
      </c>
      <c r="B87" s="24">
        <v>43558</v>
      </c>
      <c r="C87" t="s">
        <v>81</v>
      </c>
      <c r="D87" t="s">
        <v>19</v>
      </c>
      <c r="E87" t="s">
        <v>20</v>
      </c>
      <c r="F87">
        <v>850</v>
      </c>
      <c r="G87">
        <v>1</v>
      </c>
      <c r="H87">
        <v>850</v>
      </c>
      <c r="I87">
        <v>850</v>
      </c>
    </row>
    <row r="88" spans="1:9" x14ac:dyDescent="0.3">
      <c r="A88">
        <v>94</v>
      </c>
      <c r="B88" s="24">
        <v>43559</v>
      </c>
      <c r="C88" t="s">
        <v>81</v>
      </c>
      <c r="D88" t="s">
        <v>19</v>
      </c>
      <c r="E88" t="s">
        <v>20</v>
      </c>
      <c r="F88">
        <v>850</v>
      </c>
      <c r="G88">
        <v>1</v>
      </c>
      <c r="H88">
        <v>850</v>
      </c>
      <c r="I88">
        <v>850</v>
      </c>
    </row>
    <row r="89" spans="1:9" x14ac:dyDescent="0.3">
      <c r="A89">
        <v>95</v>
      </c>
      <c r="B89" s="24">
        <v>43560</v>
      </c>
      <c r="C89" t="s">
        <v>81</v>
      </c>
      <c r="D89" t="s">
        <v>15</v>
      </c>
      <c r="E89" t="s">
        <v>11</v>
      </c>
      <c r="F89">
        <v>1000</v>
      </c>
      <c r="G89">
        <v>1</v>
      </c>
      <c r="H89">
        <v>1000</v>
      </c>
      <c r="I89">
        <v>1000</v>
      </c>
    </row>
    <row r="90" spans="1:9" x14ac:dyDescent="0.3">
      <c r="A90">
        <v>96</v>
      </c>
      <c r="B90" s="24">
        <v>43561</v>
      </c>
      <c r="C90" t="s">
        <v>81</v>
      </c>
      <c r="D90" t="s">
        <v>16</v>
      </c>
      <c r="E90" t="s">
        <v>17</v>
      </c>
      <c r="F90">
        <v>800</v>
      </c>
      <c r="G90">
        <v>1</v>
      </c>
      <c r="H90">
        <v>800</v>
      </c>
      <c r="I90">
        <v>800</v>
      </c>
    </row>
    <row r="91" spans="1:9" x14ac:dyDescent="0.3">
      <c r="A91">
        <v>97</v>
      </c>
      <c r="B91" s="24">
        <v>43562</v>
      </c>
      <c r="C91" t="s">
        <v>81</v>
      </c>
      <c r="D91" t="s">
        <v>18</v>
      </c>
      <c r="E91" t="s">
        <v>17</v>
      </c>
      <c r="F91">
        <v>600</v>
      </c>
      <c r="G91">
        <v>1</v>
      </c>
      <c r="H91">
        <v>600</v>
      </c>
      <c r="I91">
        <v>600</v>
      </c>
    </row>
    <row r="92" spans="1:9" x14ac:dyDescent="0.3">
      <c r="A92">
        <v>98</v>
      </c>
      <c r="B92" s="24">
        <v>43563</v>
      </c>
      <c r="C92" t="s">
        <v>81</v>
      </c>
      <c r="D92" t="s">
        <v>16</v>
      </c>
      <c r="E92" t="s">
        <v>17</v>
      </c>
      <c r="F92">
        <v>800</v>
      </c>
      <c r="G92">
        <v>1</v>
      </c>
      <c r="H92">
        <v>800</v>
      </c>
      <c r="I92">
        <v>800</v>
      </c>
    </row>
    <row r="93" spans="1:9" x14ac:dyDescent="0.3">
      <c r="A93">
        <v>99</v>
      </c>
      <c r="B93" s="24">
        <v>43564</v>
      </c>
      <c r="C93" t="s">
        <v>81</v>
      </c>
      <c r="D93" t="s">
        <v>10</v>
      </c>
      <c r="E93" t="s">
        <v>11</v>
      </c>
      <c r="F93">
        <v>1100</v>
      </c>
      <c r="G93">
        <v>1</v>
      </c>
      <c r="H93">
        <v>1100</v>
      </c>
      <c r="I93">
        <v>1100</v>
      </c>
    </row>
    <row r="94" spans="1:9" x14ac:dyDescent="0.3">
      <c r="A94">
        <v>100</v>
      </c>
      <c r="B94" s="24">
        <v>43565</v>
      </c>
      <c r="C94" t="s">
        <v>81</v>
      </c>
      <c r="D94" t="s">
        <v>19</v>
      </c>
      <c r="E94" t="s">
        <v>20</v>
      </c>
      <c r="F94">
        <v>850</v>
      </c>
      <c r="G94">
        <v>1</v>
      </c>
      <c r="H94">
        <v>850</v>
      </c>
      <c r="I94">
        <v>850</v>
      </c>
    </row>
    <row r="95" spans="1:9" x14ac:dyDescent="0.3">
      <c r="A95">
        <v>101</v>
      </c>
      <c r="B95" s="24">
        <v>43566</v>
      </c>
      <c r="C95" t="s">
        <v>81</v>
      </c>
      <c r="D95" t="s">
        <v>19</v>
      </c>
      <c r="E95" t="s">
        <v>20</v>
      </c>
      <c r="F95">
        <v>850</v>
      </c>
      <c r="G95">
        <v>1</v>
      </c>
      <c r="H95">
        <v>850</v>
      </c>
      <c r="I95">
        <v>850</v>
      </c>
    </row>
    <row r="96" spans="1:9" x14ac:dyDescent="0.3">
      <c r="A96">
        <v>102</v>
      </c>
      <c r="B96" s="24">
        <v>43567</v>
      </c>
      <c r="C96" t="s">
        <v>81</v>
      </c>
      <c r="D96" t="s">
        <v>19</v>
      </c>
      <c r="E96" t="s">
        <v>20</v>
      </c>
      <c r="F96">
        <v>850</v>
      </c>
      <c r="G96">
        <v>1</v>
      </c>
      <c r="H96">
        <v>850</v>
      </c>
      <c r="I96">
        <v>850</v>
      </c>
    </row>
    <row r="97" spans="1:9" x14ac:dyDescent="0.3">
      <c r="A97">
        <v>103</v>
      </c>
      <c r="B97" s="24">
        <v>43568</v>
      </c>
      <c r="C97" t="s">
        <v>81</v>
      </c>
      <c r="D97" t="s">
        <v>18</v>
      </c>
      <c r="E97" t="s">
        <v>17</v>
      </c>
      <c r="F97">
        <v>600</v>
      </c>
      <c r="G97">
        <v>1</v>
      </c>
      <c r="H97">
        <v>600</v>
      </c>
      <c r="I97">
        <v>600</v>
      </c>
    </row>
    <row r="98" spans="1:9" x14ac:dyDescent="0.3">
      <c r="A98">
        <v>104</v>
      </c>
      <c r="B98" s="24">
        <v>43569</v>
      </c>
      <c r="C98" t="s">
        <v>81</v>
      </c>
      <c r="D98" t="s">
        <v>19</v>
      </c>
      <c r="E98" t="s">
        <v>20</v>
      </c>
      <c r="F98">
        <v>850</v>
      </c>
      <c r="G98">
        <v>1</v>
      </c>
      <c r="H98">
        <v>850</v>
      </c>
      <c r="I98">
        <v>850</v>
      </c>
    </row>
    <row r="99" spans="1:9" x14ac:dyDescent="0.3">
      <c r="A99">
        <v>105</v>
      </c>
      <c r="B99" s="24">
        <v>43570</v>
      </c>
      <c r="C99" t="s">
        <v>81</v>
      </c>
      <c r="D99" t="s">
        <v>19</v>
      </c>
      <c r="E99" t="s">
        <v>20</v>
      </c>
      <c r="F99">
        <v>850</v>
      </c>
      <c r="G99">
        <v>1</v>
      </c>
      <c r="H99">
        <v>850</v>
      </c>
      <c r="I99">
        <v>850</v>
      </c>
    </row>
    <row r="100" spans="1:9" x14ac:dyDescent="0.3">
      <c r="A100">
        <v>106</v>
      </c>
      <c r="B100" s="24">
        <v>43571</v>
      </c>
      <c r="C100" t="s">
        <v>81</v>
      </c>
      <c r="D100" t="s">
        <v>10</v>
      </c>
      <c r="E100" t="s">
        <v>11</v>
      </c>
      <c r="F100">
        <v>1100</v>
      </c>
      <c r="G100">
        <v>1</v>
      </c>
      <c r="H100">
        <v>1100</v>
      </c>
      <c r="I100">
        <v>1100</v>
      </c>
    </row>
    <row r="101" spans="1:9" x14ac:dyDescent="0.3">
      <c r="A101">
        <v>107</v>
      </c>
      <c r="B101" s="24">
        <v>43572</v>
      </c>
      <c r="C101" t="s">
        <v>81</v>
      </c>
      <c r="D101" t="s">
        <v>15</v>
      </c>
      <c r="E101" t="s">
        <v>11</v>
      </c>
      <c r="F101">
        <v>1000</v>
      </c>
      <c r="G101">
        <v>1</v>
      </c>
      <c r="H101">
        <v>1000</v>
      </c>
      <c r="I101">
        <v>1000</v>
      </c>
    </row>
    <row r="102" spans="1:9" x14ac:dyDescent="0.3">
      <c r="A102">
        <v>108</v>
      </c>
      <c r="B102" s="24">
        <v>43573</v>
      </c>
      <c r="C102" t="s">
        <v>81</v>
      </c>
      <c r="D102" t="s">
        <v>10</v>
      </c>
      <c r="E102" t="s">
        <v>11</v>
      </c>
      <c r="F102">
        <v>1100</v>
      </c>
      <c r="G102">
        <v>1</v>
      </c>
      <c r="H102">
        <v>1100</v>
      </c>
      <c r="I102">
        <v>1100</v>
      </c>
    </row>
    <row r="103" spans="1:9" x14ac:dyDescent="0.3">
      <c r="A103">
        <v>109</v>
      </c>
      <c r="B103" s="24">
        <v>43574</v>
      </c>
      <c r="C103" t="s">
        <v>81</v>
      </c>
      <c r="D103" t="s">
        <v>18</v>
      </c>
      <c r="E103" t="s">
        <v>17</v>
      </c>
      <c r="F103">
        <v>600</v>
      </c>
      <c r="G103">
        <v>1</v>
      </c>
      <c r="H103">
        <v>600</v>
      </c>
      <c r="I103">
        <v>600</v>
      </c>
    </row>
    <row r="104" spans="1:9" x14ac:dyDescent="0.3">
      <c r="A104">
        <v>110</v>
      </c>
      <c r="B104" s="24">
        <v>43575</v>
      </c>
      <c r="C104" t="s">
        <v>81</v>
      </c>
      <c r="D104" t="s">
        <v>18</v>
      </c>
      <c r="E104" t="s">
        <v>17</v>
      </c>
      <c r="F104">
        <v>600</v>
      </c>
      <c r="G104">
        <v>2</v>
      </c>
      <c r="H104">
        <v>1200</v>
      </c>
      <c r="I104">
        <v>1200</v>
      </c>
    </row>
    <row r="105" spans="1:9" x14ac:dyDescent="0.3">
      <c r="A105">
        <v>111</v>
      </c>
      <c r="B105" s="24">
        <v>43576</v>
      </c>
      <c r="C105" t="s">
        <v>81</v>
      </c>
      <c r="D105" t="s">
        <v>18</v>
      </c>
      <c r="E105" t="s">
        <v>17</v>
      </c>
      <c r="F105">
        <v>600</v>
      </c>
      <c r="G105">
        <v>1</v>
      </c>
      <c r="H105">
        <v>600</v>
      </c>
      <c r="I105">
        <v>600</v>
      </c>
    </row>
    <row r="106" spans="1:9" x14ac:dyDescent="0.3">
      <c r="A106">
        <v>112</v>
      </c>
      <c r="B106" s="24">
        <v>43577</v>
      </c>
      <c r="C106" t="s">
        <v>81</v>
      </c>
      <c r="D106" t="s">
        <v>18</v>
      </c>
      <c r="E106" t="s">
        <v>17</v>
      </c>
      <c r="F106">
        <v>600</v>
      </c>
      <c r="G106">
        <v>1</v>
      </c>
      <c r="H106">
        <v>600</v>
      </c>
      <c r="I106">
        <v>600</v>
      </c>
    </row>
    <row r="107" spans="1:9" x14ac:dyDescent="0.3">
      <c r="A107">
        <v>113</v>
      </c>
      <c r="B107" s="24">
        <v>43578</v>
      </c>
      <c r="C107" t="s">
        <v>81</v>
      </c>
      <c r="D107" t="s">
        <v>10</v>
      </c>
      <c r="E107" t="s">
        <v>11</v>
      </c>
      <c r="F107">
        <v>1100</v>
      </c>
      <c r="G107">
        <v>1</v>
      </c>
      <c r="H107">
        <v>1100</v>
      </c>
      <c r="I107">
        <v>1100</v>
      </c>
    </row>
    <row r="108" spans="1:9" x14ac:dyDescent="0.3">
      <c r="A108">
        <v>114</v>
      </c>
      <c r="B108" s="24">
        <v>43579</v>
      </c>
      <c r="C108" t="s">
        <v>81</v>
      </c>
      <c r="D108" t="s">
        <v>14</v>
      </c>
      <c r="E108" t="s">
        <v>11</v>
      </c>
      <c r="F108">
        <v>900</v>
      </c>
      <c r="G108">
        <v>1</v>
      </c>
      <c r="H108">
        <v>900</v>
      </c>
      <c r="I108">
        <v>900</v>
      </c>
    </row>
    <row r="109" spans="1:9" x14ac:dyDescent="0.3">
      <c r="A109">
        <v>115</v>
      </c>
      <c r="B109" s="24">
        <v>43580</v>
      </c>
      <c r="C109" t="s">
        <v>81</v>
      </c>
      <c r="D109" t="s">
        <v>18</v>
      </c>
      <c r="E109" t="s">
        <v>17</v>
      </c>
      <c r="F109">
        <v>600</v>
      </c>
      <c r="G109">
        <v>1</v>
      </c>
      <c r="H109">
        <v>600</v>
      </c>
      <c r="I109">
        <v>600</v>
      </c>
    </row>
    <row r="110" spans="1:9" x14ac:dyDescent="0.3">
      <c r="A110">
        <v>116</v>
      </c>
      <c r="B110" s="24">
        <v>43581</v>
      </c>
      <c r="C110" t="s">
        <v>81</v>
      </c>
      <c r="D110" t="s">
        <v>14</v>
      </c>
      <c r="E110" t="s">
        <v>11</v>
      </c>
      <c r="F110">
        <v>900</v>
      </c>
      <c r="G110">
        <v>1</v>
      </c>
      <c r="H110">
        <v>900</v>
      </c>
      <c r="I110">
        <v>900</v>
      </c>
    </row>
    <row r="111" spans="1:9" x14ac:dyDescent="0.3">
      <c r="A111">
        <v>117</v>
      </c>
      <c r="B111" s="24">
        <v>43582</v>
      </c>
      <c r="C111" t="s">
        <v>81</v>
      </c>
      <c r="D111" t="s">
        <v>12</v>
      </c>
      <c r="E111" t="s">
        <v>11</v>
      </c>
      <c r="F111">
        <v>900</v>
      </c>
      <c r="G111">
        <v>1</v>
      </c>
      <c r="H111">
        <v>900</v>
      </c>
      <c r="I111">
        <v>765</v>
      </c>
    </row>
    <row r="112" spans="1:9" x14ac:dyDescent="0.3">
      <c r="A112">
        <v>118</v>
      </c>
      <c r="B112" s="24">
        <v>43583</v>
      </c>
      <c r="C112" t="s">
        <v>81</v>
      </c>
      <c r="D112" t="s">
        <v>18</v>
      </c>
      <c r="E112" t="s">
        <v>17</v>
      </c>
      <c r="F112">
        <v>600</v>
      </c>
      <c r="G112">
        <v>1</v>
      </c>
      <c r="H112">
        <v>600</v>
      </c>
      <c r="I112">
        <v>600</v>
      </c>
    </row>
    <row r="113" spans="1:9" x14ac:dyDescent="0.3">
      <c r="A113">
        <v>119</v>
      </c>
      <c r="B113" s="24">
        <v>43584</v>
      </c>
      <c r="C113" t="s">
        <v>81</v>
      </c>
      <c r="D113" t="s">
        <v>18</v>
      </c>
      <c r="E113" t="s">
        <v>17</v>
      </c>
      <c r="F113">
        <v>600</v>
      </c>
      <c r="G113">
        <v>1</v>
      </c>
      <c r="H113">
        <v>600</v>
      </c>
      <c r="I113">
        <v>600</v>
      </c>
    </row>
    <row r="114" spans="1:9" x14ac:dyDescent="0.3">
      <c r="A114">
        <v>120</v>
      </c>
      <c r="B114" s="24">
        <v>43585</v>
      </c>
      <c r="C114" t="s">
        <v>81</v>
      </c>
      <c r="D114" t="s">
        <v>18</v>
      </c>
      <c r="E114" t="s">
        <v>17</v>
      </c>
      <c r="F114">
        <v>600</v>
      </c>
      <c r="G114">
        <v>1</v>
      </c>
      <c r="H114">
        <v>600</v>
      </c>
      <c r="I114">
        <v>600</v>
      </c>
    </row>
    <row r="115" spans="1:9" x14ac:dyDescent="0.3">
      <c r="A115">
        <v>121</v>
      </c>
      <c r="B115" s="24">
        <v>43586</v>
      </c>
      <c r="C115" t="s">
        <v>81</v>
      </c>
      <c r="D115" t="s">
        <v>10</v>
      </c>
      <c r="E115" t="s">
        <v>11</v>
      </c>
      <c r="F115">
        <v>1100</v>
      </c>
      <c r="G115">
        <v>1</v>
      </c>
      <c r="H115">
        <v>1100</v>
      </c>
      <c r="I115">
        <v>1100</v>
      </c>
    </row>
    <row r="116" spans="1:9" x14ac:dyDescent="0.3">
      <c r="A116">
        <v>122</v>
      </c>
      <c r="B116" s="24">
        <v>43587</v>
      </c>
      <c r="C116" t="s">
        <v>81</v>
      </c>
      <c r="D116" t="s">
        <v>18</v>
      </c>
      <c r="E116" t="s">
        <v>17</v>
      </c>
      <c r="F116">
        <v>600</v>
      </c>
      <c r="G116">
        <v>1</v>
      </c>
      <c r="H116">
        <v>600</v>
      </c>
      <c r="I116">
        <v>600</v>
      </c>
    </row>
    <row r="117" spans="1:9" x14ac:dyDescent="0.3">
      <c r="A117">
        <v>123</v>
      </c>
      <c r="B117" s="24">
        <v>43588</v>
      </c>
      <c r="C117" t="s">
        <v>81</v>
      </c>
      <c r="D117" t="s">
        <v>18</v>
      </c>
      <c r="E117" t="s">
        <v>17</v>
      </c>
      <c r="F117">
        <v>600</v>
      </c>
      <c r="G117">
        <v>1</v>
      </c>
      <c r="H117">
        <v>600</v>
      </c>
      <c r="I117">
        <v>600</v>
      </c>
    </row>
    <row r="118" spans="1:9" x14ac:dyDescent="0.3">
      <c r="A118">
        <v>124</v>
      </c>
      <c r="B118" s="24">
        <v>43589</v>
      </c>
      <c r="C118" t="s">
        <v>81</v>
      </c>
      <c r="D118" t="s">
        <v>18</v>
      </c>
      <c r="E118" t="s">
        <v>17</v>
      </c>
      <c r="F118">
        <v>600</v>
      </c>
      <c r="G118">
        <v>1</v>
      </c>
      <c r="H118">
        <v>600</v>
      </c>
      <c r="I118">
        <v>600</v>
      </c>
    </row>
    <row r="119" spans="1:9" x14ac:dyDescent="0.3">
      <c r="A119">
        <v>125</v>
      </c>
      <c r="B119" s="24">
        <v>43590</v>
      </c>
      <c r="C119" t="s">
        <v>81</v>
      </c>
      <c r="D119" t="s">
        <v>12</v>
      </c>
      <c r="E119" t="s">
        <v>11</v>
      </c>
      <c r="F119">
        <v>900</v>
      </c>
      <c r="G119">
        <v>1</v>
      </c>
      <c r="H119">
        <v>900</v>
      </c>
      <c r="I119">
        <v>765</v>
      </c>
    </row>
    <row r="120" spans="1:9" x14ac:dyDescent="0.3">
      <c r="A120">
        <v>126</v>
      </c>
      <c r="B120" s="24">
        <v>43591</v>
      </c>
      <c r="C120" t="s">
        <v>81</v>
      </c>
      <c r="D120" t="s">
        <v>18</v>
      </c>
      <c r="E120" t="s">
        <v>17</v>
      </c>
      <c r="F120">
        <v>600</v>
      </c>
      <c r="G120">
        <v>1</v>
      </c>
      <c r="H120">
        <v>600</v>
      </c>
      <c r="I120">
        <v>600</v>
      </c>
    </row>
    <row r="121" spans="1:9" x14ac:dyDescent="0.3">
      <c r="A121">
        <v>127</v>
      </c>
      <c r="B121" s="24">
        <v>43592</v>
      </c>
      <c r="C121" t="s">
        <v>81</v>
      </c>
      <c r="D121" t="s">
        <v>14</v>
      </c>
      <c r="E121" t="s">
        <v>11</v>
      </c>
      <c r="F121">
        <v>900</v>
      </c>
      <c r="G121">
        <v>1</v>
      </c>
      <c r="H121">
        <v>900</v>
      </c>
      <c r="I121">
        <v>900</v>
      </c>
    </row>
    <row r="122" spans="1:9" x14ac:dyDescent="0.3">
      <c r="A122">
        <v>128</v>
      </c>
      <c r="B122" s="24">
        <v>43593</v>
      </c>
      <c r="C122" t="s">
        <v>81</v>
      </c>
      <c r="D122" t="s">
        <v>21</v>
      </c>
      <c r="E122" t="s">
        <v>20</v>
      </c>
      <c r="F122">
        <v>1200</v>
      </c>
      <c r="G122">
        <v>1</v>
      </c>
      <c r="H122">
        <v>1200</v>
      </c>
      <c r="I122">
        <v>1200</v>
      </c>
    </row>
    <row r="123" spans="1:9" x14ac:dyDescent="0.3">
      <c r="A123">
        <v>129</v>
      </c>
      <c r="B123" s="24">
        <v>43594</v>
      </c>
      <c r="C123" t="s">
        <v>81</v>
      </c>
      <c r="D123" t="s">
        <v>10</v>
      </c>
      <c r="E123" t="s">
        <v>11</v>
      </c>
      <c r="F123">
        <v>1100</v>
      </c>
      <c r="G123">
        <v>1</v>
      </c>
      <c r="H123">
        <v>1100</v>
      </c>
      <c r="I123">
        <v>1100</v>
      </c>
    </row>
    <row r="124" spans="1:9" x14ac:dyDescent="0.3">
      <c r="A124">
        <v>130</v>
      </c>
      <c r="B124" s="24">
        <v>43595</v>
      </c>
      <c r="C124" t="s">
        <v>81</v>
      </c>
      <c r="D124" t="s">
        <v>10</v>
      </c>
      <c r="E124" t="s">
        <v>11</v>
      </c>
      <c r="F124">
        <v>1100</v>
      </c>
      <c r="G124">
        <v>1</v>
      </c>
      <c r="H124">
        <v>1100</v>
      </c>
      <c r="I124">
        <v>1100</v>
      </c>
    </row>
    <row r="125" spans="1:9" x14ac:dyDescent="0.3">
      <c r="A125">
        <v>131</v>
      </c>
      <c r="B125" s="24">
        <v>43596</v>
      </c>
      <c r="C125" t="s">
        <v>81</v>
      </c>
      <c r="D125" t="s">
        <v>18</v>
      </c>
      <c r="E125" t="s">
        <v>17</v>
      </c>
      <c r="F125">
        <v>600</v>
      </c>
      <c r="G125">
        <v>1</v>
      </c>
      <c r="H125">
        <v>600</v>
      </c>
      <c r="I125">
        <v>600</v>
      </c>
    </row>
    <row r="126" spans="1:9" x14ac:dyDescent="0.3">
      <c r="A126">
        <v>132</v>
      </c>
      <c r="B126" s="24">
        <v>43597</v>
      </c>
      <c r="C126" t="s">
        <v>81</v>
      </c>
      <c r="D126" t="s">
        <v>18</v>
      </c>
      <c r="E126" t="s">
        <v>17</v>
      </c>
      <c r="F126">
        <v>600</v>
      </c>
      <c r="G126">
        <v>2</v>
      </c>
      <c r="H126">
        <v>1200</v>
      </c>
      <c r="I126">
        <v>1200</v>
      </c>
    </row>
    <row r="127" spans="1:9" x14ac:dyDescent="0.3">
      <c r="A127">
        <v>133</v>
      </c>
      <c r="B127" s="24">
        <v>43598</v>
      </c>
      <c r="C127" t="s">
        <v>81</v>
      </c>
      <c r="D127" t="s">
        <v>21</v>
      </c>
      <c r="E127" t="s">
        <v>20</v>
      </c>
      <c r="F127">
        <v>1200</v>
      </c>
      <c r="G127">
        <v>1</v>
      </c>
      <c r="H127">
        <v>1200</v>
      </c>
      <c r="I127">
        <v>1200</v>
      </c>
    </row>
    <row r="128" spans="1:9" x14ac:dyDescent="0.3">
      <c r="A128">
        <v>134</v>
      </c>
      <c r="B128" s="24">
        <v>43599</v>
      </c>
      <c r="C128" t="s">
        <v>81</v>
      </c>
      <c r="D128" t="s">
        <v>21</v>
      </c>
      <c r="E128" t="s">
        <v>20</v>
      </c>
      <c r="F128">
        <v>1200</v>
      </c>
      <c r="G128">
        <v>1</v>
      </c>
      <c r="H128">
        <v>1200</v>
      </c>
      <c r="I128">
        <v>1200</v>
      </c>
    </row>
    <row r="129" spans="1:9" x14ac:dyDescent="0.3">
      <c r="A129">
        <v>135</v>
      </c>
      <c r="B129" s="24">
        <v>43600</v>
      </c>
      <c r="C129" t="s">
        <v>81</v>
      </c>
      <c r="D129" t="s">
        <v>15</v>
      </c>
      <c r="E129" t="s">
        <v>11</v>
      </c>
      <c r="F129">
        <v>1000</v>
      </c>
      <c r="G129">
        <v>1</v>
      </c>
      <c r="H129">
        <v>1000</v>
      </c>
      <c r="I129">
        <v>1000</v>
      </c>
    </row>
    <row r="130" spans="1:9" x14ac:dyDescent="0.3">
      <c r="A130">
        <v>136</v>
      </c>
      <c r="B130" s="24">
        <v>43601</v>
      </c>
      <c r="C130" t="s">
        <v>81</v>
      </c>
      <c r="D130" t="s">
        <v>16</v>
      </c>
      <c r="E130" t="s">
        <v>17</v>
      </c>
      <c r="F130">
        <v>800</v>
      </c>
      <c r="G130">
        <v>2</v>
      </c>
      <c r="H130">
        <v>1600</v>
      </c>
      <c r="I130">
        <v>1600</v>
      </c>
    </row>
    <row r="131" spans="1:9" x14ac:dyDescent="0.3">
      <c r="A131">
        <v>137</v>
      </c>
      <c r="B131" s="24">
        <v>43602</v>
      </c>
      <c r="C131" t="s">
        <v>81</v>
      </c>
      <c r="D131" t="s">
        <v>21</v>
      </c>
      <c r="E131" t="s">
        <v>20</v>
      </c>
      <c r="F131">
        <v>1200</v>
      </c>
      <c r="G131">
        <v>1</v>
      </c>
      <c r="H131">
        <v>1200</v>
      </c>
      <c r="I131">
        <v>1200</v>
      </c>
    </row>
    <row r="132" spans="1:9" x14ac:dyDescent="0.3">
      <c r="A132">
        <v>138</v>
      </c>
      <c r="B132" s="24">
        <v>43603</v>
      </c>
      <c r="C132" t="s">
        <v>81</v>
      </c>
      <c r="D132" t="s">
        <v>14</v>
      </c>
      <c r="E132" t="s">
        <v>11</v>
      </c>
      <c r="F132">
        <v>900</v>
      </c>
      <c r="G132">
        <v>1</v>
      </c>
      <c r="H132">
        <v>900</v>
      </c>
      <c r="I132">
        <v>900</v>
      </c>
    </row>
    <row r="133" spans="1:9" x14ac:dyDescent="0.3">
      <c r="A133">
        <v>139</v>
      </c>
      <c r="B133" s="24">
        <v>43604</v>
      </c>
      <c r="C133" t="s">
        <v>81</v>
      </c>
      <c r="D133" t="s">
        <v>15</v>
      </c>
      <c r="E133" t="s">
        <v>11</v>
      </c>
      <c r="F133">
        <v>1000</v>
      </c>
      <c r="G133">
        <v>1</v>
      </c>
      <c r="H133">
        <v>1000</v>
      </c>
      <c r="I133">
        <v>1000</v>
      </c>
    </row>
    <row r="134" spans="1:9" x14ac:dyDescent="0.3">
      <c r="A134">
        <v>140</v>
      </c>
      <c r="B134" s="24">
        <v>43605</v>
      </c>
      <c r="C134" t="s">
        <v>81</v>
      </c>
      <c r="D134" t="s">
        <v>16</v>
      </c>
      <c r="E134" t="s">
        <v>17</v>
      </c>
      <c r="F134">
        <v>800</v>
      </c>
      <c r="G134">
        <v>1</v>
      </c>
      <c r="H134">
        <v>800</v>
      </c>
      <c r="I134">
        <v>800</v>
      </c>
    </row>
    <row r="135" spans="1:9" x14ac:dyDescent="0.3">
      <c r="A135">
        <v>141</v>
      </c>
      <c r="B135" s="24">
        <v>43606</v>
      </c>
      <c r="C135" t="s">
        <v>81</v>
      </c>
      <c r="D135" t="s">
        <v>21</v>
      </c>
      <c r="E135" t="s">
        <v>20</v>
      </c>
      <c r="F135">
        <v>1200</v>
      </c>
      <c r="G135">
        <v>1</v>
      </c>
      <c r="H135">
        <v>1200</v>
      </c>
      <c r="I135">
        <v>1200</v>
      </c>
    </row>
    <row r="136" spans="1:9" x14ac:dyDescent="0.3">
      <c r="A136">
        <v>142</v>
      </c>
      <c r="B136" s="24">
        <v>43607</v>
      </c>
      <c r="C136" t="s">
        <v>81</v>
      </c>
      <c r="D136" t="s">
        <v>21</v>
      </c>
      <c r="E136" t="s">
        <v>20</v>
      </c>
      <c r="F136">
        <v>1200</v>
      </c>
      <c r="G136">
        <v>1</v>
      </c>
      <c r="H136">
        <v>1200</v>
      </c>
      <c r="I136">
        <v>1200</v>
      </c>
    </row>
    <row r="137" spans="1:9" x14ac:dyDescent="0.3">
      <c r="A137">
        <v>143</v>
      </c>
      <c r="B137" s="24">
        <v>43608</v>
      </c>
      <c r="C137" t="s">
        <v>81</v>
      </c>
      <c r="D137" t="s">
        <v>16</v>
      </c>
      <c r="E137" t="s">
        <v>17</v>
      </c>
      <c r="F137">
        <v>800</v>
      </c>
      <c r="G137">
        <v>2</v>
      </c>
      <c r="H137">
        <v>1600</v>
      </c>
      <c r="I137">
        <v>1600</v>
      </c>
    </row>
    <row r="138" spans="1:9" x14ac:dyDescent="0.3">
      <c r="A138">
        <v>144</v>
      </c>
      <c r="B138" s="24">
        <v>43609</v>
      </c>
      <c r="C138" t="s">
        <v>81</v>
      </c>
      <c r="D138" t="s">
        <v>12</v>
      </c>
      <c r="E138" t="s">
        <v>11</v>
      </c>
      <c r="F138">
        <v>900</v>
      </c>
      <c r="G138">
        <v>1</v>
      </c>
      <c r="H138">
        <v>900</v>
      </c>
      <c r="I138">
        <v>765</v>
      </c>
    </row>
    <row r="139" spans="1:9" x14ac:dyDescent="0.3">
      <c r="A139">
        <v>145</v>
      </c>
      <c r="B139" s="24">
        <v>43610</v>
      </c>
      <c r="C139" t="s">
        <v>81</v>
      </c>
      <c r="D139" t="s">
        <v>15</v>
      </c>
      <c r="E139" t="s">
        <v>11</v>
      </c>
      <c r="F139">
        <v>1000</v>
      </c>
      <c r="G139">
        <v>1</v>
      </c>
      <c r="H139">
        <v>1000</v>
      </c>
      <c r="I139">
        <v>1000</v>
      </c>
    </row>
    <row r="140" spans="1:9" x14ac:dyDescent="0.3">
      <c r="A140">
        <v>146</v>
      </c>
      <c r="B140" s="24">
        <v>43611</v>
      </c>
      <c r="C140" t="s">
        <v>81</v>
      </c>
      <c r="D140" t="s">
        <v>15</v>
      </c>
      <c r="E140" t="s">
        <v>11</v>
      </c>
      <c r="F140">
        <v>1000</v>
      </c>
      <c r="G140">
        <v>1</v>
      </c>
      <c r="H140">
        <v>1000</v>
      </c>
      <c r="I140">
        <v>1000</v>
      </c>
    </row>
    <row r="141" spans="1:9" x14ac:dyDescent="0.3">
      <c r="A141">
        <v>147</v>
      </c>
      <c r="B141" s="24">
        <v>43612</v>
      </c>
      <c r="C141" t="s">
        <v>81</v>
      </c>
      <c r="D141" t="s">
        <v>18</v>
      </c>
      <c r="E141" t="s">
        <v>17</v>
      </c>
      <c r="F141">
        <v>600</v>
      </c>
      <c r="G141">
        <v>1</v>
      </c>
      <c r="H141">
        <v>600</v>
      </c>
      <c r="I141">
        <v>600</v>
      </c>
    </row>
    <row r="142" spans="1:9" x14ac:dyDescent="0.3">
      <c r="A142">
        <v>148</v>
      </c>
      <c r="B142" s="24">
        <v>43613</v>
      </c>
      <c r="C142" t="s">
        <v>81</v>
      </c>
      <c r="D142" t="s">
        <v>19</v>
      </c>
      <c r="E142" t="s">
        <v>20</v>
      </c>
      <c r="F142">
        <v>850</v>
      </c>
      <c r="G142">
        <v>1</v>
      </c>
      <c r="H142">
        <v>850</v>
      </c>
      <c r="I142">
        <v>850</v>
      </c>
    </row>
    <row r="143" spans="1:9" x14ac:dyDescent="0.3">
      <c r="A143">
        <v>149</v>
      </c>
      <c r="B143" s="24">
        <v>43614</v>
      </c>
      <c r="C143" t="s">
        <v>81</v>
      </c>
      <c r="D143" t="s">
        <v>18</v>
      </c>
      <c r="E143" t="s">
        <v>17</v>
      </c>
      <c r="F143">
        <v>600</v>
      </c>
      <c r="G143">
        <v>1</v>
      </c>
      <c r="H143">
        <v>600</v>
      </c>
      <c r="I143">
        <v>600</v>
      </c>
    </row>
    <row r="144" spans="1:9" x14ac:dyDescent="0.3">
      <c r="A144">
        <v>150</v>
      </c>
      <c r="B144" s="24">
        <v>43615</v>
      </c>
      <c r="C144" t="s">
        <v>81</v>
      </c>
      <c r="D144" t="s">
        <v>19</v>
      </c>
      <c r="E144" t="s">
        <v>20</v>
      </c>
      <c r="F144">
        <v>850</v>
      </c>
      <c r="G144">
        <v>1</v>
      </c>
      <c r="H144">
        <v>850</v>
      </c>
      <c r="I144">
        <v>850</v>
      </c>
    </row>
    <row r="145" spans="1:9" x14ac:dyDescent="0.3">
      <c r="A145">
        <v>151</v>
      </c>
      <c r="B145" s="24">
        <v>43616</v>
      </c>
      <c r="C145" t="s">
        <v>81</v>
      </c>
      <c r="D145" t="s">
        <v>19</v>
      </c>
      <c r="E145" t="s">
        <v>20</v>
      </c>
      <c r="F145">
        <v>850</v>
      </c>
      <c r="G145">
        <v>1</v>
      </c>
      <c r="H145">
        <v>850</v>
      </c>
      <c r="I145">
        <v>850</v>
      </c>
    </row>
    <row r="146" spans="1:9" x14ac:dyDescent="0.3">
      <c r="A146">
        <v>152</v>
      </c>
      <c r="B146" s="24">
        <v>43617</v>
      </c>
      <c r="C146" t="s">
        <v>81</v>
      </c>
      <c r="D146" t="s">
        <v>12</v>
      </c>
      <c r="E146" t="s">
        <v>11</v>
      </c>
      <c r="F146">
        <v>900</v>
      </c>
      <c r="G146">
        <v>1</v>
      </c>
      <c r="H146">
        <v>900</v>
      </c>
      <c r="I146">
        <v>765</v>
      </c>
    </row>
    <row r="147" spans="1:9" x14ac:dyDescent="0.3">
      <c r="A147">
        <v>153</v>
      </c>
      <c r="B147" s="24">
        <v>43618</v>
      </c>
      <c r="C147" t="s">
        <v>81</v>
      </c>
      <c r="D147" t="s">
        <v>21</v>
      </c>
      <c r="E147" t="s">
        <v>20</v>
      </c>
      <c r="F147">
        <v>1200</v>
      </c>
      <c r="G147">
        <v>2</v>
      </c>
      <c r="H147">
        <v>2400</v>
      </c>
      <c r="I147">
        <v>2400</v>
      </c>
    </row>
    <row r="148" spans="1:9" x14ac:dyDescent="0.3">
      <c r="A148">
        <v>154</v>
      </c>
      <c r="B148" s="24">
        <v>43619</v>
      </c>
      <c r="C148" t="s">
        <v>81</v>
      </c>
      <c r="D148" t="s">
        <v>16</v>
      </c>
      <c r="E148" t="s">
        <v>17</v>
      </c>
      <c r="F148">
        <v>800</v>
      </c>
      <c r="G148">
        <v>1</v>
      </c>
      <c r="H148">
        <v>800</v>
      </c>
      <c r="I148">
        <v>800</v>
      </c>
    </row>
    <row r="149" spans="1:9" x14ac:dyDescent="0.3">
      <c r="A149">
        <v>155</v>
      </c>
      <c r="B149" s="24">
        <v>43620</v>
      </c>
      <c r="C149" t="s">
        <v>81</v>
      </c>
      <c r="D149" t="s">
        <v>16</v>
      </c>
      <c r="E149" t="s">
        <v>17</v>
      </c>
      <c r="F149">
        <v>800</v>
      </c>
      <c r="G149">
        <v>1</v>
      </c>
      <c r="H149">
        <v>800</v>
      </c>
      <c r="I149">
        <v>800</v>
      </c>
    </row>
    <row r="150" spans="1:9" x14ac:dyDescent="0.3">
      <c r="A150">
        <v>156</v>
      </c>
      <c r="B150" s="24">
        <v>43621</v>
      </c>
      <c r="C150" t="s">
        <v>81</v>
      </c>
      <c r="D150" t="s">
        <v>14</v>
      </c>
      <c r="E150" t="s">
        <v>11</v>
      </c>
      <c r="F150">
        <v>900</v>
      </c>
      <c r="G150">
        <v>1</v>
      </c>
      <c r="H150">
        <v>900</v>
      </c>
      <c r="I150">
        <v>900</v>
      </c>
    </row>
    <row r="151" spans="1:9" x14ac:dyDescent="0.3">
      <c r="A151">
        <v>157</v>
      </c>
      <c r="B151" s="24">
        <v>43622</v>
      </c>
      <c r="C151" t="s">
        <v>81</v>
      </c>
      <c r="D151" t="s">
        <v>16</v>
      </c>
      <c r="E151" t="s">
        <v>17</v>
      </c>
      <c r="F151">
        <v>800</v>
      </c>
      <c r="G151">
        <v>1</v>
      </c>
      <c r="H151">
        <v>800</v>
      </c>
      <c r="I151">
        <v>800</v>
      </c>
    </row>
    <row r="152" spans="1:9" x14ac:dyDescent="0.3">
      <c r="A152">
        <v>158</v>
      </c>
      <c r="B152" s="24">
        <v>43623</v>
      </c>
      <c r="C152" t="s">
        <v>81</v>
      </c>
      <c r="D152" t="s">
        <v>18</v>
      </c>
      <c r="E152" t="s">
        <v>17</v>
      </c>
      <c r="F152">
        <v>600</v>
      </c>
      <c r="G152">
        <v>1</v>
      </c>
      <c r="H152">
        <v>600</v>
      </c>
      <c r="I152">
        <v>600</v>
      </c>
    </row>
    <row r="153" spans="1:9" x14ac:dyDescent="0.3">
      <c r="A153">
        <v>159</v>
      </c>
      <c r="B153" s="24">
        <v>43624</v>
      </c>
      <c r="C153" t="s">
        <v>81</v>
      </c>
      <c r="D153" t="s">
        <v>12</v>
      </c>
      <c r="E153" t="s">
        <v>11</v>
      </c>
      <c r="F153">
        <v>900</v>
      </c>
      <c r="G153">
        <v>3</v>
      </c>
      <c r="H153">
        <v>2700</v>
      </c>
      <c r="I153">
        <v>2295</v>
      </c>
    </row>
    <row r="154" spans="1:9" x14ac:dyDescent="0.3">
      <c r="A154">
        <v>160</v>
      </c>
      <c r="B154" s="24">
        <v>43625</v>
      </c>
      <c r="C154" t="s">
        <v>81</v>
      </c>
      <c r="D154" t="s">
        <v>18</v>
      </c>
      <c r="E154" t="s">
        <v>17</v>
      </c>
      <c r="F154">
        <v>600</v>
      </c>
      <c r="G154">
        <v>1</v>
      </c>
      <c r="H154">
        <v>600</v>
      </c>
      <c r="I154">
        <v>600</v>
      </c>
    </row>
    <row r="155" spans="1:9" x14ac:dyDescent="0.3">
      <c r="A155">
        <v>161</v>
      </c>
      <c r="B155" s="24">
        <v>43626</v>
      </c>
      <c r="C155" t="s">
        <v>81</v>
      </c>
      <c r="D155" t="s">
        <v>16</v>
      </c>
      <c r="E155" t="s">
        <v>17</v>
      </c>
      <c r="F155">
        <v>800</v>
      </c>
      <c r="G155">
        <v>1</v>
      </c>
      <c r="H155">
        <v>800</v>
      </c>
      <c r="I155">
        <v>800</v>
      </c>
    </row>
    <row r="156" spans="1:9" x14ac:dyDescent="0.3">
      <c r="A156">
        <v>162</v>
      </c>
      <c r="B156" s="24">
        <v>43627</v>
      </c>
      <c r="C156" t="s">
        <v>81</v>
      </c>
      <c r="D156" t="s">
        <v>18</v>
      </c>
      <c r="E156" t="s">
        <v>17</v>
      </c>
      <c r="F156">
        <v>600</v>
      </c>
      <c r="G156">
        <v>1</v>
      </c>
      <c r="H156">
        <v>600</v>
      </c>
      <c r="I156">
        <v>600</v>
      </c>
    </row>
    <row r="157" spans="1:9" x14ac:dyDescent="0.3">
      <c r="A157">
        <v>163</v>
      </c>
      <c r="B157" s="24">
        <v>43628</v>
      </c>
      <c r="C157" t="s">
        <v>81</v>
      </c>
      <c r="D157" t="s">
        <v>10</v>
      </c>
      <c r="E157" t="s">
        <v>11</v>
      </c>
      <c r="F157">
        <v>1100</v>
      </c>
      <c r="G157">
        <v>1</v>
      </c>
      <c r="H157">
        <v>1100</v>
      </c>
      <c r="I157">
        <v>1100</v>
      </c>
    </row>
    <row r="158" spans="1:9" x14ac:dyDescent="0.3">
      <c r="A158">
        <v>164</v>
      </c>
      <c r="B158" s="24">
        <v>43629</v>
      </c>
      <c r="C158" t="s">
        <v>81</v>
      </c>
      <c r="D158" t="s">
        <v>14</v>
      </c>
      <c r="E158" t="s">
        <v>11</v>
      </c>
      <c r="F158">
        <v>900</v>
      </c>
      <c r="G158">
        <v>1</v>
      </c>
      <c r="H158">
        <v>900</v>
      </c>
      <c r="I158">
        <v>900</v>
      </c>
    </row>
    <row r="159" spans="1:9" x14ac:dyDescent="0.3">
      <c r="A159">
        <v>165</v>
      </c>
      <c r="B159" s="24">
        <v>43630</v>
      </c>
      <c r="C159" t="s">
        <v>81</v>
      </c>
      <c r="D159" t="s">
        <v>10</v>
      </c>
      <c r="E159" t="s">
        <v>11</v>
      </c>
      <c r="F159">
        <v>1100</v>
      </c>
      <c r="G159">
        <v>1</v>
      </c>
      <c r="H159">
        <v>1100</v>
      </c>
      <c r="I159">
        <v>1100</v>
      </c>
    </row>
    <row r="160" spans="1:9" x14ac:dyDescent="0.3">
      <c r="A160">
        <v>166</v>
      </c>
      <c r="B160" s="24">
        <v>43631</v>
      </c>
      <c r="C160" t="s">
        <v>81</v>
      </c>
      <c r="D160" t="s">
        <v>10</v>
      </c>
      <c r="E160" t="s">
        <v>11</v>
      </c>
      <c r="F160">
        <v>1100</v>
      </c>
      <c r="G160">
        <v>1</v>
      </c>
      <c r="H160">
        <v>1100</v>
      </c>
      <c r="I160">
        <v>1100</v>
      </c>
    </row>
    <row r="161" spans="1:9" x14ac:dyDescent="0.3">
      <c r="A161">
        <v>167</v>
      </c>
      <c r="B161" s="24">
        <v>43632</v>
      </c>
      <c r="C161" t="s">
        <v>81</v>
      </c>
      <c r="D161" t="s">
        <v>21</v>
      </c>
      <c r="E161" t="s">
        <v>20</v>
      </c>
      <c r="F161">
        <v>1200</v>
      </c>
      <c r="G161">
        <v>1</v>
      </c>
      <c r="H161">
        <v>1200</v>
      </c>
      <c r="I161">
        <v>1200</v>
      </c>
    </row>
    <row r="162" spans="1:9" x14ac:dyDescent="0.3">
      <c r="A162">
        <v>168</v>
      </c>
      <c r="B162" s="24">
        <v>43633</v>
      </c>
      <c r="C162" t="s">
        <v>81</v>
      </c>
      <c r="D162" t="s">
        <v>21</v>
      </c>
      <c r="E162" t="s">
        <v>20</v>
      </c>
      <c r="F162">
        <v>1200</v>
      </c>
      <c r="G162">
        <v>1</v>
      </c>
      <c r="H162">
        <v>1200</v>
      </c>
      <c r="I162">
        <v>1200</v>
      </c>
    </row>
    <row r="163" spans="1:9" x14ac:dyDescent="0.3">
      <c r="A163">
        <v>169</v>
      </c>
      <c r="B163" s="24">
        <v>43634</v>
      </c>
      <c r="C163" t="s">
        <v>81</v>
      </c>
      <c r="D163" t="s">
        <v>10</v>
      </c>
      <c r="E163" t="s">
        <v>11</v>
      </c>
      <c r="F163">
        <v>1100</v>
      </c>
      <c r="G163">
        <v>1</v>
      </c>
      <c r="H163">
        <v>1100</v>
      </c>
      <c r="I163">
        <v>1100</v>
      </c>
    </row>
    <row r="164" spans="1:9" x14ac:dyDescent="0.3">
      <c r="A164">
        <v>170</v>
      </c>
      <c r="B164" s="24">
        <v>43635</v>
      </c>
      <c r="C164" t="s">
        <v>81</v>
      </c>
      <c r="D164" t="s">
        <v>10</v>
      </c>
      <c r="E164" t="s">
        <v>11</v>
      </c>
      <c r="F164">
        <v>1100</v>
      </c>
      <c r="G164">
        <v>1</v>
      </c>
      <c r="H164">
        <v>1100</v>
      </c>
      <c r="I164">
        <v>1100</v>
      </c>
    </row>
    <row r="165" spans="1:9" x14ac:dyDescent="0.3">
      <c r="A165">
        <v>171</v>
      </c>
      <c r="B165" s="24">
        <v>43636</v>
      </c>
      <c r="C165" t="s">
        <v>81</v>
      </c>
      <c r="D165" t="s">
        <v>22</v>
      </c>
      <c r="E165" t="s">
        <v>23</v>
      </c>
      <c r="F165">
        <v>900</v>
      </c>
      <c r="G165">
        <v>1</v>
      </c>
      <c r="H165">
        <v>900</v>
      </c>
      <c r="I165">
        <v>900</v>
      </c>
    </row>
    <row r="166" spans="1:9" x14ac:dyDescent="0.3">
      <c r="A166">
        <v>172</v>
      </c>
      <c r="B166" s="24">
        <v>43637</v>
      </c>
      <c r="C166" t="s">
        <v>81</v>
      </c>
      <c r="D166" t="s">
        <v>14</v>
      </c>
      <c r="E166" t="s">
        <v>11</v>
      </c>
      <c r="F166">
        <v>900</v>
      </c>
      <c r="G166">
        <v>1</v>
      </c>
      <c r="H166">
        <v>900</v>
      </c>
      <c r="I166">
        <v>900</v>
      </c>
    </row>
    <row r="167" spans="1:9" x14ac:dyDescent="0.3">
      <c r="A167">
        <v>173</v>
      </c>
      <c r="B167" s="24">
        <v>43638</v>
      </c>
      <c r="C167" t="s">
        <v>81</v>
      </c>
      <c r="D167" t="s">
        <v>22</v>
      </c>
      <c r="E167" t="s">
        <v>23</v>
      </c>
      <c r="F167">
        <v>800</v>
      </c>
      <c r="G167">
        <v>1</v>
      </c>
      <c r="H167">
        <v>800</v>
      </c>
      <c r="I167">
        <v>800</v>
      </c>
    </row>
    <row r="168" spans="1:9" x14ac:dyDescent="0.3">
      <c r="A168">
        <v>174</v>
      </c>
      <c r="B168" s="24">
        <v>43639</v>
      </c>
      <c r="C168" t="s">
        <v>81</v>
      </c>
      <c r="D168" t="s">
        <v>18</v>
      </c>
      <c r="E168" t="s">
        <v>17</v>
      </c>
      <c r="F168">
        <v>600</v>
      </c>
      <c r="G168">
        <v>1</v>
      </c>
      <c r="H168">
        <v>600</v>
      </c>
      <c r="I168">
        <v>600</v>
      </c>
    </row>
    <row r="169" spans="1:9" x14ac:dyDescent="0.3">
      <c r="A169">
        <v>175</v>
      </c>
      <c r="B169" s="24">
        <v>43640</v>
      </c>
      <c r="C169" t="s">
        <v>81</v>
      </c>
      <c r="D169" t="s">
        <v>22</v>
      </c>
      <c r="E169" t="s">
        <v>23</v>
      </c>
      <c r="F169">
        <v>800</v>
      </c>
      <c r="G169">
        <v>1</v>
      </c>
      <c r="H169">
        <v>800</v>
      </c>
      <c r="I169">
        <v>800</v>
      </c>
    </row>
    <row r="170" spans="1:9" x14ac:dyDescent="0.3">
      <c r="A170">
        <v>176</v>
      </c>
      <c r="B170" s="24">
        <v>43641</v>
      </c>
      <c r="C170" t="s">
        <v>81</v>
      </c>
      <c r="D170" t="s">
        <v>14</v>
      </c>
      <c r="E170" t="s">
        <v>11</v>
      </c>
      <c r="F170">
        <v>900</v>
      </c>
      <c r="G170">
        <v>1</v>
      </c>
      <c r="H170">
        <v>900</v>
      </c>
      <c r="I170">
        <v>900</v>
      </c>
    </row>
    <row r="171" spans="1:9" x14ac:dyDescent="0.3">
      <c r="A171">
        <v>177</v>
      </c>
      <c r="B171" s="24">
        <v>43642</v>
      </c>
      <c r="C171" t="s">
        <v>81</v>
      </c>
      <c r="D171" t="s">
        <v>21</v>
      </c>
      <c r="E171" t="s">
        <v>20</v>
      </c>
      <c r="F171">
        <v>1200</v>
      </c>
      <c r="G171">
        <v>1</v>
      </c>
      <c r="H171">
        <v>1200</v>
      </c>
      <c r="I171">
        <v>1200</v>
      </c>
    </row>
    <row r="172" spans="1:9" x14ac:dyDescent="0.3">
      <c r="A172">
        <v>178</v>
      </c>
      <c r="B172" s="24">
        <v>43643</v>
      </c>
      <c r="C172" t="s">
        <v>81</v>
      </c>
      <c r="D172" t="s">
        <v>22</v>
      </c>
      <c r="E172" t="s">
        <v>23</v>
      </c>
      <c r="F172">
        <v>800</v>
      </c>
      <c r="G172">
        <v>1</v>
      </c>
      <c r="H172">
        <v>800</v>
      </c>
      <c r="I172">
        <v>800</v>
      </c>
    </row>
    <row r="173" spans="1:9" x14ac:dyDescent="0.3">
      <c r="A173">
        <v>179</v>
      </c>
      <c r="B173" s="24">
        <v>43644</v>
      </c>
      <c r="C173" t="s">
        <v>81</v>
      </c>
      <c r="D173" t="s">
        <v>12</v>
      </c>
      <c r="E173" t="s">
        <v>11</v>
      </c>
      <c r="F173">
        <v>900</v>
      </c>
      <c r="G173">
        <v>1</v>
      </c>
      <c r="H173">
        <v>900</v>
      </c>
      <c r="I173">
        <v>765</v>
      </c>
    </row>
    <row r="174" spans="1:9" x14ac:dyDescent="0.3">
      <c r="A174">
        <v>180</v>
      </c>
      <c r="B174" s="24">
        <v>43645</v>
      </c>
      <c r="C174" t="s">
        <v>81</v>
      </c>
      <c r="D174" t="s">
        <v>21</v>
      </c>
      <c r="E174" t="s">
        <v>20</v>
      </c>
      <c r="F174">
        <v>1200</v>
      </c>
      <c r="G174">
        <v>1</v>
      </c>
      <c r="H174">
        <v>1200</v>
      </c>
      <c r="I174">
        <v>1200</v>
      </c>
    </row>
    <row r="175" spans="1:9" x14ac:dyDescent="0.3">
      <c r="A175">
        <v>181</v>
      </c>
      <c r="B175" s="24">
        <v>43646</v>
      </c>
      <c r="C175" t="s">
        <v>81</v>
      </c>
      <c r="D175" t="s">
        <v>10</v>
      </c>
      <c r="E175" t="s">
        <v>11</v>
      </c>
      <c r="F175">
        <v>1100</v>
      </c>
      <c r="G175">
        <v>1</v>
      </c>
      <c r="H175">
        <v>1100</v>
      </c>
      <c r="I175">
        <v>1100</v>
      </c>
    </row>
    <row r="176" spans="1:9" x14ac:dyDescent="0.3">
      <c r="A176">
        <v>182</v>
      </c>
      <c r="B176" s="24">
        <v>43647</v>
      </c>
      <c r="C176" t="s">
        <v>81</v>
      </c>
      <c r="D176" t="s">
        <v>21</v>
      </c>
      <c r="E176" t="s">
        <v>20</v>
      </c>
      <c r="F176">
        <v>1200</v>
      </c>
      <c r="G176">
        <v>1</v>
      </c>
      <c r="H176">
        <v>1200</v>
      </c>
      <c r="I176">
        <v>1200</v>
      </c>
    </row>
    <row r="177" spans="1:9" x14ac:dyDescent="0.3">
      <c r="A177">
        <v>183</v>
      </c>
      <c r="B177" s="24">
        <v>43648</v>
      </c>
      <c r="C177" t="s">
        <v>81</v>
      </c>
      <c r="D177" t="s">
        <v>14</v>
      </c>
      <c r="E177" t="s">
        <v>11</v>
      </c>
      <c r="F177">
        <v>900</v>
      </c>
      <c r="G177">
        <v>1</v>
      </c>
      <c r="H177">
        <v>900</v>
      </c>
      <c r="I177">
        <v>900</v>
      </c>
    </row>
    <row r="178" spans="1:9" x14ac:dyDescent="0.3">
      <c r="A178">
        <v>184</v>
      </c>
      <c r="B178" s="24">
        <v>43649</v>
      </c>
      <c r="C178" t="s">
        <v>81</v>
      </c>
      <c r="D178" t="s">
        <v>10</v>
      </c>
      <c r="E178" t="s">
        <v>11</v>
      </c>
      <c r="F178">
        <v>1100</v>
      </c>
      <c r="G178">
        <v>2</v>
      </c>
      <c r="H178">
        <v>2200</v>
      </c>
      <c r="I178">
        <v>2200</v>
      </c>
    </row>
    <row r="179" spans="1:9" x14ac:dyDescent="0.3">
      <c r="A179">
        <v>185</v>
      </c>
      <c r="B179" s="24">
        <v>43650</v>
      </c>
      <c r="C179" t="s">
        <v>81</v>
      </c>
      <c r="D179" t="s">
        <v>21</v>
      </c>
      <c r="E179" t="s">
        <v>20</v>
      </c>
      <c r="F179">
        <v>1200</v>
      </c>
      <c r="G179">
        <v>1</v>
      </c>
      <c r="H179">
        <v>1200</v>
      </c>
      <c r="I179">
        <v>1200</v>
      </c>
    </row>
    <row r="180" spans="1:9" x14ac:dyDescent="0.3">
      <c r="A180">
        <v>186</v>
      </c>
      <c r="B180" s="24">
        <v>43651</v>
      </c>
      <c r="C180" t="s">
        <v>81</v>
      </c>
      <c r="D180" t="s">
        <v>10</v>
      </c>
      <c r="E180" t="s">
        <v>11</v>
      </c>
      <c r="F180">
        <v>1100</v>
      </c>
      <c r="G180">
        <v>1</v>
      </c>
      <c r="H180">
        <v>1100</v>
      </c>
      <c r="I180">
        <v>1100</v>
      </c>
    </row>
    <row r="181" spans="1:9" x14ac:dyDescent="0.3">
      <c r="A181">
        <v>187</v>
      </c>
      <c r="B181" s="24">
        <v>43652</v>
      </c>
      <c r="C181" t="s">
        <v>81</v>
      </c>
      <c r="D181" t="s">
        <v>12</v>
      </c>
      <c r="E181" t="s">
        <v>11</v>
      </c>
      <c r="F181">
        <v>900</v>
      </c>
      <c r="G181">
        <v>1</v>
      </c>
      <c r="H181">
        <v>900</v>
      </c>
      <c r="I181">
        <v>765</v>
      </c>
    </row>
    <row r="182" spans="1:9" x14ac:dyDescent="0.3">
      <c r="A182">
        <v>188</v>
      </c>
      <c r="B182" s="24">
        <v>43653</v>
      </c>
      <c r="C182" t="s">
        <v>81</v>
      </c>
      <c r="D182" t="s">
        <v>18</v>
      </c>
      <c r="E182" t="s">
        <v>17</v>
      </c>
      <c r="F182">
        <v>600</v>
      </c>
      <c r="G182">
        <v>1</v>
      </c>
      <c r="H182">
        <v>600</v>
      </c>
      <c r="I182">
        <v>600</v>
      </c>
    </row>
    <row r="183" spans="1:9" x14ac:dyDescent="0.3">
      <c r="A183">
        <v>189</v>
      </c>
      <c r="B183" s="24">
        <v>43654</v>
      </c>
      <c r="C183" t="s">
        <v>81</v>
      </c>
      <c r="D183" t="s">
        <v>22</v>
      </c>
      <c r="E183" t="s">
        <v>23</v>
      </c>
      <c r="F183">
        <v>900</v>
      </c>
      <c r="G183">
        <v>1</v>
      </c>
      <c r="H183">
        <v>900</v>
      </c>
      <c r="I183">
        <v>900</v>
      </c>
    </row>
    <row r="184" spans="1:9" x14ac:dyDescent="0.3">
      <c r="A184">
        <v>190</v>
      </c>
      <c r="B184" s="24">
        <v>43655</v>
      </c>
      <c r="C184" t="s">
        <v>81</v>
      </c>
      <c r="D184" t="s">
        <v>16</v>
      </c>
      <c r="E184" t="s">
        <v>17</v>
      </c>
      <c r="F184">
        <v>800</v>
      </c>
      <c r="G184">
        <v>1</v>
      </c>
      <c r="H184">
        <v>800</v>
      </c>
      <c r="I184">
        <v>800</v>
      </c>
    </row>
    <row r="185" spans="1:9" x14ac:dyDescent="0.3">
      <c r="A185">
        <v>191</v>
      </c>
      <c r="B185" s="24">
        <v>43656</v>
      </c>
      <c r="C185" t="s">
        <v>81</v>
      </c>
      <c r="D185" t="s">
        <v>10</v>
      </c>
      <c r="E185" t="s">
        <v>11</v>
      </c>
      <c r="F185">
        <v>1100</v>
      </c>
      <c r="G185">
        <v>1</v>
      </c>
      <c r="H185">
        <v>1100</v>
      </c>
      <c r="I185">
        <v>1100</v>
      </c>
    </row>
    <row r="186" spans="1:9" x14ac:dyDescent="0.3">
      <c r="A186">
        <v>192</v>
      </c>
      <c r="B186" s="24">
        <v>43657</v>
      </c>
      <c r="C186" t="s">
        <v>81</v>
      </c>
      <c r="D186" t="s">
        <v>14</v>
      </c>
      <c r="E186" t="s">
        <v>11</v>
      </c>
      <c r="F186">
        <v>900</v>
      </c>
      <c r="G186">
        <v>1</v>
      </c>
      <c r="H186">
        <v>900</v>
      </c>
      <c r="I186">
        <v>900</v>
      </c>
    </row>
    <row r="187" spans="1:9" x14ac:dyDescent="0.3">
      <c r="A187">
        <v>193</v>
      </c>
      <c r="B187" s="24">
        <v>43658</v>
      </c>
      <c r="C187" t="s">
        <v>81</v>
      </c>
      <c r="D187" t="s">
        <v>15</v>
      </c>
      <c r="E187" t="s">
        <v>11</v>
      </c>
      <c r="F187">
        <v>1000</v>
      </c>
      <c r="G187">
        <v>1</v>
      </c>
      <c r="H187">
        <v>1000</v>
      </c>
      <c r="I187">
        <v>1000</v>
      </c>
    </row>
    <row r="188" spans="1:9" x14ac:dyDescent="0.3">
      <c r="A188">
        <v>194</v>
      </c>
      <c r="B188" s="24">
        <v>43659</v>
      </c>
      <c r="C188" t="s">
        <v>81</v>
      </c>
      <c r="D188" t="s">
        <v>19</v>
      </c>
      <c r="E188" t="s">
        <v>20</v>
      </c>
      <c r="F188">
        <v>850</v>
      </c>
      <c r="G188">
        <v>1</v>
      </c>
      <c r="H188">
        <v>850</v>
      </c>
      <c r="I188">
        <v>850</v>
      </c>
    </row>
    <row r="189" spans="1:9" x14ac:dyDescent="0.3">
      <c r="A189">
        <v>195</v>
      </c>
      <c r="B189" s="24">
        <v>43660</v>
      </c>
      <c r="C189" t="s">
        <v>81</v>
      </c>
      <c r="D189" t="s">
        <v>18</v>
      </c>
      <c r="E189" t="s">
        <v>17</v>
      </c>
      <c r="F189">
        <v>600</v>
      </c>
      <c r="G189">
        <v>1</v>
      </c>
      <c r="H189">
        <v>600</v>
      </c>
      <c r="I189">
        <v>600</v>
      </c>
    </row>
    <row r="190" spans="1:9" x14ac:dyDescent="0.3">
      <c r="A190">
        <v>196</v>
      </c>
      <c r="B190" s="24">
        <v>43661</v>
      </c>
      <c r="C190" t="s">
        <v>81</v>
      </c>
      <c r="D190" t="s">
        <v>14</v>
      </c>
      <c r="E190" t="s">
        <v>11</v>
      </c>
      <c r="F190">
        <v>900</v>
      </c>
      <c r="G190">
        <v>1</v>
      </c>
      <c r="H190">
        <v>900</v>
      </c>
      <c r="I190">
        <v>900</v>
      </c>
    </row>
    <row r="191" spans="1:9" x14ac:dyDescent="0.3">
      <c r="A191">
        <v>197</v>
      </c>
      <c r="B191" s="24">
        <v>43662</v>
      </c>
      <c r="C191" t="s">
        <v>81</v>
      </c>
      <c r="D191" t="s">
        <v>15</v>
      </c>
      <c r="E191" t="s">
        <v>11</v>
      </c>
      <c r="F191">
        <v>1000</v>
      </c>
      <c r="G191">
        <v>1</v>
      </c>
      <c r="H191">
        <v>1000</v>
      </c>
      <c r="I191">
        <v>1000</v>
      </c>
    </row>
    <row r="192" spans="1:9" x14ac:dyDescent="0.3">
      <c r="A192">
        <v>198</v>
      </c>
      <c r="B192" s="24">
        <v>43663</v>
      </c>
      <c r="C192" t="s">
        <v>81</v>
      </c>
      <c r="D192" t="s">
        <v>14</v>
      </c>
      <c r="E192" t="s">
        <v>11</v>
      </c>
      <c r="F192">
        <v>900</v>
      </c>
      <c r="G192">
        <v>1</v>
      </c>
      <c r="H192">
        <v>900</v>
      </c>
      <c r="I192">
        <v>900</v>
      </c>
    </row>
    <row r="193" spans="1:9" x14ac:dyDescent="0.3">
      <c r="A193">
        <v>199</v>
      </c>
      <c r="B193" s="24">
        <v>43664</v>
      </c>
      <c r="C193" t="s">
        <v>81</v>
      </c>
      <c r="D193" t="s">
        <v>12</v>
      </c>
      <c r="E193" t="s">
        <v>11</v>
      </c>
      <c r="F193">
        <v>900</v>
      </c>
      <c r="G193">
        <v>1</v>
      </c>
      <c r="H193">
        <v>900</v>
      </c>
      <c r="I193">
        <v>765</v>
      </c>
    </row>
    <row r="194" spans="1:9" x14ac:dyDescent="0.3">
      <c r="A194">
        <v>200</v>
      </c>
      <c r="B194" s="24">
        <v>43665</v>
      </c>
      <c r="C194" t="s">
        <v>81</v>
      </c>
      <c r="D194" t="s">
        <v>18</v>
      </c>
      <c r="E194" t="s">
        <v>17</v>
      </c>
      <c r="F194">
        <v>600</v>
      </c>
      <c r="G194">
        <v>1</v>
      </c>
      <c r="H194">
        <v>600</v>
      </c>
      <c r="I194">
        <v>600</v>
      </c>
    </row>
    <row r="195" spans="1:9" x14ac:dyDescent="0.3">
      <c r="A195">
        <v>201</v>
      </c>
      <c r="B195" s="24">
        <v>43666</v>
      </c>
      <c r="C195" t="s">
        <v>81</v>
      </c>
      <c r="D195" t="s">
        <v>22</v>
      </c>
      <c r="E195" t="s">
        <v>23</v>
      </c>
      <c r="F195">
        <v>900</v>
      </c>
      <c r="G195">
        <v>1</v>
      </c>
      <c r="H195">
        <v>900</v>
      </c>
      <c r="I195">
        <v>900</v>
      </c>
    </row>
    <row r="196" spans="1:9" x14ac:dyDescent="0.3">
      <c r="A196">
        <v>202</v>
      </c>
      <c r="B196" s="24">
        <v>43667</v>
      </c>
      <c r="C196" t="s">
        <v>81</v>
      </c>
      <c r="D196" t="s">
        <v>22</v>
      </c>
      <c r="E196" t="s">
        <v>23</v>
      </c>
      <c r="F196">
        <v>800</v>
      </c>
      <c r="G196">
        <v>1</v>
      </c>
      <c r="H196">
        <v>800</v>
      </c>
      <c r="I196">
        <v>800</v>
      </c>
    </row>
    <row r="197" spans="1:9" x14ac:dyDescent="0.3">
      <c r="A197">
        <v>203</v>
      </c>
      <c r="B197" s="24">
        <v>43668</v>
      </c>
      <c r="C197" t="s">
        <v>81</v>
      </c>
      <c r="D197" t="s">
        <v>16</v>
      </c>
      <c r="E197" t="s">
        <v>17</v>
      </c>
      <c r="F197">
        <v>800</v>
      </c>
      <c r="G197">
        <v>1</v>
      </c>
      <c r="H197">
        <v>800</v>
      </c>
      <c r="I197">
        <v>800</v>
      </c>
    </row>
    <row r="198" spans="1:9" x14ac:dyDescent="0.3">
      <c r="A198">
        <v>204</v>
      </c>
      <c r="B198" s="24">
        <v>43669</v>
      </c>
      <c r="C198" t="s">
        <v>81</v>
      </c>
      <c r="D198" t="s">
        <v>18</v>
      </c>
      <c r="E198" t="s">
        <v>17</v>
      </c>
      <c r="F198">
        <v>600</v>
      </c>
      <c r="G198">
        <v>1</v>
      </c>
      <c r="H198">
        <v>600</v>
      </c>
      <c r="I198">
        <v>600</v>
      </c>
    </row>
    <row r="199" spans="1:9" x14ac:dyDescent="0.3">
      <c r="A199">
        <v>205</v>
      </c>
      <c r="B199" s="24">
        <v>43670</v>
      </c>
      <c r="C199" t="s">
        <v>81</v>
      </c>
      <c r="D199" t="s">
        <v>22</v>
      </c>
      <c r="E199" t="s">
        <v>23</v>
      </c>
      <c r="F199">
        <v>500</v>
      </c>
      <c r="G199">
        <v>1</v>
      </c>
      <c r="H199">
        <v>500</v>
      </c>
      <c r="I199">
        <v>500</v>
      </c>
    </row>
    <row r="200" spans="1:9" x14ac:dyDescent="0.3">
      <c r="A200">
        <v>206</v>
      </c>
      <c r="B200" s="24">
        <v>43671</v>
      </c>
      <c r="C200" t="s">
        <v>81</v>
      </c>
      <c r="D200" t="s">
        <v>14</v>
      </c>
      <c r="E200" t="s">
        <v>11</v>
      </c>
      <c r="F200">
        <v>900</v>
      </c>
      <c r="G200">
        <v>1</v>
      </c>
      <c r="H200">
        <v>900</v>
      </c>
      <c r="I200">
        <v>900</v>
      </c>
    </row>
    <row r="201" spans="1:9" x14ac:dyDescent="0.3">
      <c r="A201">
        <v>207</v>
      </c>
      <c r="B201" s="24">
        <v>43672</v>
      </c>
      <c r="C201" t="s">
        <v>81</v>
      </c>
      <c r="D201" t="s">
        <v>10</v>
      </c>
      <c r="E201" t="s">
        <v>11</v>
      </c>
      <c r="F201">
        <v>1100</v>
      </c>
      <c r="G201">
        <v>1</v>
      </c>
      <c r="H201">
        <v>1100</v>
      </c>
      <c r="I201">
        <v>1100</v>
      </c>
    </row>
    <row r="202" spans="1:9" x14ac:dyDescent="0.3">
      <c r="A202">
        <v>208</v>
      </c>
      <c r="B202" s="24">
        <v>43673</v>
      </c>
      <c r="C202" t="s">
        <v>81</v>
      </c>
      <c r="D202" t="s">
        <v>22</v>
      </c>
      <c r="E202" t="s">
        <v>23</v>
      </c>
      <c r="F202">
        <v>500</v>
      </c>
      <c r="G202">
        <v>1</v>
      </c>
      <c r="H202">
        <v>500</v>
      </c>
      <c r="I202">
        <v>500</v>
      </c>
    </row>
    <row r="203" spans="1:9" x14ac:dyDescent="0.3">
      <c r="A203">
        <v>209</v>
      </c>
      <c r="B203" s="24">
        <v>43674</v>
      </c>
      <c r="C203" t="s">
        <v>81</v>
      </c>
      <c r="D203" t="s">
        <v>18</v>
      </c>
      <c r="E203" t="s">
        <v>17</v>
      </c>
      <c r="F203">
        <v>600</v>
      </c>
      <c r="G203">
        <v>1</v>
      </c>
      <c r="H203">
        <v>600</v>
      </c>
      <c r="I203">
        <v>600</v>
      </c>
    </row>
    <row r="204" spans="1:9" x14ac:dyDescent="0.3">
      <c r="A204">
        <v>210</v>
      </c>
      <c r="B204" s="24">
        <v>43675</v>
      </c>
      <c r="C204" t="s">
        <v>81</v>
      </c>
      <c r="D204" t="s">
        <v>14</v>
      </c>
      <c r="E204" t="s">
        <v>11</v>
      </c>
      <c r="F204">
        <v>900</v>
      </c>
      <c r="G204">
        <v>1</v>
      </c>
      <c r="H204">
        <v>900</v>
      </c>
      <c r="I204">
        <v>900</v>
      </c>
    </row>
    <row r="205" spans="1:9" x14ac:dyDescent="0.3">
      <c r="A205">
        <v>211</v>
      </c>
      <c r="B205" s="24">
        <v>43676</v>
      </c>
      <c r="C205" t="s">
        <v>81</v>
      </c>
      <c r="D205" t="s">
        <v>22</v>
      </c>
      <c r="E205" t="s">
        <v>23</v>
      </c>
      <c r="F205">
        <v>500</v>
      </c>
      <c r="G205">
        <v>1</v>
      </c>
      <c r="H205">
        <v>500</v>
      </c>
      <c r="I205">
        <v>500</v>
      </c>
    </row>
    <row r="206" spans="1:9" x14ac:dyDescent="0.3">
      <c r="A206">
        <v>212</v>
      </c>
      <c r="B206" s="24">
        <v>43677</v>
      </c>
      <c r="C206" t="s">
        <v>81</v>
      </c>
      <c r="D206" t="s">
        <v>22</v>
      </c>
      <c r="E206" t="s">
        <v>23</v>
      </c>
      <c r="F206">
        <v>500</v>
      </c>
      <c r="G206">
        <v>1</v>
      </c>
      <c r="H206">
        <v>500</v>
      </c>
      <c r="I206">
        <v>500</v>
      </c>
    </row>
    <row r="207" spans="1:9" x14ac:dyDescent="0.3">
      <c r="A207">
        <v>213</v>
      </c>
      <c r="B207" s="24">
        <v>43678</v>
      </c>
      <c r="C207" t="s">
        <v>81</v>
      </c>
      <c r="D207" t="s">
        <v>18</v>
      </c>
      <c r="E207" t="s">
        <v>17</v>
      </c>
      <c r="F207">
        <v>600</v>
      </c>
      <c r="G207">
        <v>1</v>
      </c>
      <c r="H207">
        <v>600</v>
      </c>
      <c r="I207">
        <v>600</v>
      </c>
    </row>
    <row r="208" spans="1:9" x14ac:dyDescent="0.3">
      <c r="A208">
        <v>214</v>
      </c>
      <c r="B208" s="24">
        <v>43679</v>
      </c>
      <c r="C208" t="s">
        <v>81</v>
      </c>
      <c r="D208" t="s">
        <v>18</v>
      </c>
      <c r="E208" t="s">
        <v>17</v>
      </c>
      <c r="F208">
        <v>600</v>
      </c>
      <c r="G208">
        <v>1</v>
      </c>
      <c r="H208">
        <v>600</v>
      </c>
      <c r="I208">
        <v>600</v>
      </c>
    </row>
    <row r="209" spans="1:9" x14ac:dyDescent="0.3">
      <c r="A209">
        <v>215</v>
      </c>
      <c r="B209" s="24">
        <v>43680</v>
      </c>
      <c r="C209" t="s">
        <v>81</v>
      </c>
      <c r="D209" t="s">
        <v>16</v>
      </c>
      <c r="E209" t="s">
        <v>17</v>
      </c>
      <c r="F209">
        <v>800</v>
      </c>
      <c r="G209">
        <v>1</v>
      </c>
      <c r="H209">
        <v>800</v>
      </c>
      <c r="I209">
        <v>800</v>
      </c>
    </row>
    <row r="210" spans="1:9" x14ac:dyDescent="0.3">
      <c r="A210">
        <v>216</v>
      </c>
      <c r="B210" s="24">
        <v>43681</v>
      </c>
      <c r="C210" t="s">
        <v>81</v>
      </c>
      <c r="D210" t="s">
        <v>19</v>
      </c>
      <c r="E210" t="s">
        <v>20</v>
      </c>
      <c r="F210">
        <v>850</v>
      </c>
      <c r="G210">
        <v>1</v>
      </c>
      <c r="H210">
        <v>850</v>
      </c>
      <c r="I210">
        <v>850</v>
      </c>
    </row>
    <row r="211" spans="1:9" x14ac:dyDescent="0.3">
      <c r="A211">
        <v>217</v>
      </c>
      <c r="B211" s="24">
        <v>43682</v>
      </c>
      <c r="C211" t="s">
        <v>81</v>
      </c>
      <c r="D211" t="s">
        <v>22</v>
      </c>
      <c r="E211" t="s">
        <v>23</v>
      </c>
      <c r="F211">
        <v>500</v>
      </c>
      <c r="G211">
        <v>1</v>
      </c>
      <c r="H211">
        <v>500</v>
      </c>
      <c r="I211">
        <v>500</v>
      </c>
    </row>
    <row r="212" spans="1:9" x14ac:dyDescent="0.3">
      <c r="A212">
        <v>218</v>
      </c>
      <c r="B212" s="24">
        <v>43683</v>
      </c>
      <c r="C212" t="s">
        <v>81</v>
      </c>
      <c r="D212" t="s">
        <v>22</v>
      </c>
      <c r="E212" t="s">
        <v>23</v>
      </c>
      <c r="F212">
        <v>500</v>
      </c>
      <c r="G212">
        <v>1</v>
      </c>
      <c r="H212">
        <v>500</v>
      </c>
      <c r="I212">
        <v>500</v>
      </c>
    </row>
    <row r="213" spans="1:9" x14ac:dyDescent="0.3">
      <c r="A213">
        <v>219</v>
      </c>
      <c r="B213" s="24">
        <v>43684</v>
      </c>
      <c r="C213" t="s">
        <v>81</v>
      </c>
      <c r="D213" t="s">
        <v>10</v>
      </c>
      <c r="E213" t="s">
        <v>11</v>
      </c>
      <c r="F213">
        <v>1100</v>
      </c>
      <c r="G213">
        <v>1</v>
      </c>
      <c r="H213">
        <v>1100</v>
      </c>
      <c r="I213">
        <v>1100</v>
      </c>
    </row>
    <row r="214" spans="1:9" x14ac:dyDescent="0.3">
      <c r="A214">
        <v>220</v>
      </c>
      <c r="B214" s="24">
        <v>43685</v>
      </c>
      <c r="C214" t="s">
        <v>81</v>
      </c>
      <c r="D214" t="s">
        <v>22</v>
      </c>
      <c r="E214" t="s">
        <v>23</v>
      </c>
      <c r="F214">
        <v>500</v>
      </c>
      <c r="G214">
        <v>1</v>
      </c>
      <c r="H214">
        <v>500</v>
      </c>
      <c r="I214">
        <v>500</v>
      </c>
    </row>
    <row r="215" spans="1:9" x14ac:dyDescent="0.3">
      <c r="A215">
        <v>221</v>
      </c>
      <c r="B215" s="24">
        <v>43686</v>
      </c>
      <c r="C215" t="s">
        <v>81</v>
      </c>
      <c r="D215" t="s">
        <v>15</v>
      </c>
      <c r="E215" t="s">
        <v>11</v>
      </c>
      <c r="F215">
        <v>1000</v>
      </c>
      <c r="G215">
        <v>1</v>
      </c>
      <c r="H215">
        <v>1000</v>
      </c>
      <c r="I215">
        <v>1000</v>
      </c>
    </row>
    <row r="216" spans="1:9" x14ac:dyDescent="0.3">
      <c r="A216">
        <v>222</v>
      </c>
      <c r="B216" s="24">
        <v>43687</v>
      </c>
      <c r="C216" t="s">
        <v>81</v>
      </c>
      <c r="D216" t="s">
        <v>16</v>
      </c>
      <c r="E216" t="s">
        <v>17</v>
      </c>
      <c r="F216">
        <v>800</v>
      </c>
      <c r="G216">
        <v>1</v>
      </c>
      <c r="H216">
        <v>800</v>
      </c>
      <c r="I216">
        <v>800</v>
      </c>
    </row>
    <row r="217" spans="1:9" x14ac:dyDescent="0.3">
      <c r="A217">
        <v>223</v>
      </c>
      <c r="B217" s="24">
        <v>43688</v>
      </c>
      <c r="C217" t="s">
        <v>81</v>
      </c>
      <c r="D217" t="s">
        <v>24</v>
      </c>
      <c r="E217" t="s">
        <v>23</v>
      </c>
      <c r="F217">
        <v>600</v>
      </c>
      <c r="G217">
        <v>1</v>
      </c>
      <c r="H217">
        <v>600</v>
      </c>
      <c r="I217">
        <v>600</v>
      </c>
    </row>
    <row r="218" spans="1:9" x14ac:dyDescent="0.3">
      <c r="A218">
        <v>224</v>
      </c>
      <c r="B218" s="24">
        <v>43689</v>
      </c>
      <c r="C218" t="s">
        <v>81</v>
      </c>
      <c r="D218" t="s">
        <v>24</v>
      </c>
      <c r="E218" t="s">
        <v>23</v>
      </c>
      <c r="F218">
        <v>600</v>
      </c>
      <c r="G218">
        <v>1</v>
      </c>
      <c r="H218">
        <v>600</v>
      </c>
      <c r="I218">
        <v>600</v>
      </c>
    </row>
    <row r="219" spans="1:9" x14ac:dyDescent="0.3">
      <c r="A219">
        <v>225</v>
      </c>
      <c r="B219" s="24">
        <v>43690</v>
      </c>
      <c r="C219" t="s">
        <v>81</v>
      </c>
      <c r="D219" t="s">
        <v>19</v>
      </c>
      <c r="E219" t="s">
        <v>20</v>
      </c>
      <c r="F219">
        <v>850</v>
      </c>
      <c r="G219">
        <v>1</v>
      </c>
      <c r="H219">
        <v>850</v>
      </c>
      <c r="I219">
        <v>850</v>
      </c>
    </row>
    <row r="220" spans="1:9" x14ac:dyDescent="0.3">
      <c r="A220">
        <v>226</v>
      </c>
      <c r="B220" s="24">
        <v>43691</v>
      </c>
      <c r="C220" t="s">
        <v>81</v>
      </c>
      <c r="D220" t="s">
        <v>24</v>
      </c>
      <c r="E220" t="s">
        <v>23</v>
      </c>
      <c r="F220">
        <v>600</v>
      </c>
      <c r="G220">
        <v>1</v>
      </c>
      <c r="H220">
        <v>600</v>
      </c>
      <c r="I220">
        <v>600</v>
      </c>
    </row>
    <row r="221" spans="1:9" x14ac:dyDescent="0.3">
      <c r="A221">
        <v>227</v>
      </c>
      <c r="B221" s="24">
        <v>43692</v>
      </c>
      <c r="C221" t="s">
        <v>81</v>
      </c>
      <c r="D221" t="s">
        <v>18</v>
      </c>
      <c r="E221" t="s">
        <v>17</v>
      </c>
      <c r="F221">
        <v>600</v>
      </c>
      <c r="G221">
        <v>1</v>
      </c>
      <c r="H221">
        <v>600</v>
      </c>
      <c r="I221">
        <v>600</v>
      </c>
    </row>
    <row r="222" spans="1:9" x14ac:dyDescent="0.3">
      <c r="A222">
        <v>228</v>
      </c>
      <c r="B222" s="24">
        <v>43693</v>
      </c>
      <c r="C222" t="s">
        <v>81</v>
      </c>
      <c r="D222" t="s">
        <v>24</v>
      </c>
      <c r="E222" t="s">
        <v>23</v>
      </c>
      <c r="F222">
        <v>600</v>
      </c>
      <c r="G222">
        <v>1</v>
      </c>
      <c r="H222">
        <v>600</v>
      </c>
      <c r="I222">
        <v>600</v>
      </c>
    </row>
    <row r="223" spans="1:9" x14ac:dyDescent="0.3">
      <c r="A223">
        <v>229</v>
      </c>
      <c r="B223" s="24">
        <v>43694</v>
      </c>
      <c r="C223" t="s">
        <v>81</v>
      </c>
      <c r="D223" t="s">
        <v>10</v>
      </c>
      <c r="E223" t="s">
        <v>11</v>
      </c>
      <c r="F223">
        <v>1100</v>
      </c>
      <c r="G223">
        <v>1</v>
      </c>
      <c r="H223">
        <v>1100</v>
      </c>
      <c r="I223">
        <v>1100</v>
      </c>
    </row>
    <row r="224" spans="1:9" x14ac:dyDescent="0.3">
      <c r="A224">
        <v>230</v>
      </c>
      <c r="B224" s="24">
        <v>43695</v>
      </c>
      <c r="C224" t="s">
        <v>81</v>
      </c>
      <c r="D224" t="s">
        <v>18</v>
      </c>
      <c r="E224" t="s">
        <v>17</v>
      </c>
      <c r="F224">
        <v>600</v>
      </c>
      <c r="G224">
        <v>1</v>
      </c>
      <c r="H224">
        <v>600</v>
      </c>
      <c r="I224">
        <v>600</v>
      </c>
    </row>
    <row r="225" spans="1:9" x14ac:dyDescent="0.3">
      <c r="A225">
        <v>231</v>
      </c>
      <c r="B225" s="24">
        <v>43696</v>
      </c>
      <c r="C225" t="s">
        <v>81</v>
      </c>
      <c r="D225" t="s">
        <v>10</v>
      </c>
      <c r="E225" t="s">
        <v>11</v>
      </c>
      <c r="F225">
        <v>1100</v>
      </c>
      <c r="G225">
        <v>1</v>
      </c>
      <c r="H225">
        <v>1100</v>
      </c>
      <c r="I225">
        <v>1100</v>
      </c>
    </row>
    <row r="226" spans="1:9" x14ac:dyDescent="0.3">
      <c r="A226">
        <v>232</v>
      </c>
      <c r="B226" s="24">
        <v>43697</v>
      </c>
      <c r="C226" t="s">
        <v>81</v>
      </c>
      <c r="D226" t="s">
        <v>10</v>
      </c>
      <c r="E226" t="s">
        <v>11</v>
      </c>
      <c r="F226">
        <v>1100</v>
      </c>
      <c r="G226">
        <v>1</v>
      </c>
      <c r="H226">
        <v>1100</v>
      </c>
      <c r="I226">
        <v>1100</v>
      </c>
    </row>
    <row r="227" spans="1:9" x14ac:dyDescent="0.3">
      <c r="A227">
        <v>233</v>
      </c>
      <c r="B227" s="24">
        <v>43698</v>
      </c>
      <c r="C227" t="s">
        <v>81</v>
      </c>
      <c r="D227" t="s">
        <v>10</v>
      </c>
      <c r="E227" t="s">
        <v>11</v>
      </c>
      <c r="F227">
        <v>1100</v>
      </c>
      <c r="G227">
        <v>1</v>
      </c>
      <c r="H227">
        <v>1100</v>
      </c>
      <c r="I227">
        <v>1100</v>
      </c>
    </row>
    <row r="228" spans="1:9" x14ac:dyDescent="0.3">
      <c r="A228">
        <v>234</v>
      </c>
      <c r="B228" s="24">
        <v>43699</v>
      </c>
      <c r="C228" t="s">
        <v>81</v>
      </c>
      <c r="D228" t="s">
        <v>19</v>
      </c>
      <c r="E228" t="s">
        <v>20</v>
      </c>
      <c r="F228">
        <v>850</v>
      </c>
      <c r="G228">
        <v>1</v>
      </c>
      <c r="H228">
        <v>850</v>
      </c>
      <c r="I228">
        <v>850</v>
      </c>
    </row>
    <row r="229" spans="1:9" x14ac:dyDescent="0.3">
      <c r="A229">
        <v>235</v>
      </c>
      <c r="B229" s="24">
        <v>43700</v>
      </c>
      <c r="C229" t="s">
        <v>81</v>
      </c>
      <c r="D229" t="s">
        <v>18</v>
      </c>
      <c r="E229" t="s">
        <v>17</v>
      </c>
      <c r="F229">
        <v>600</v>
      </c>
      <c r="G229">
        <v>1</v>
      </c>
      <c r="H229">
        <v>600</v>
      </c>
      <c r="I229">
        <v>600</v>
      </c>
    </row>
    <row r="230" spans="1:9" x14ac:dyDescent="0.3">
      <c r="A230">
        <v>236</v>
      </c>
      <c r="B230" s="24">
        <v>43701</v>
      </c>
      <c r="C230" t="s">
        <v>81</v>
      </c>
      <c r="D230" t="s">
        <v>18</v>
      </c>
      <c r="E230" t="s">
        <v>17</v>
      </c>
      <c r="F230">
        <v>600</v>
      </c>
      <c r="G230">
        <v>1</v>
      </c>
      <c r="H230">
        <v>600</v>
      </c>
      <c r="I230">
        <v>600</v>
      </c>
    </row>
    <row r="231" spans="1:9" x14ac:dyDescent="0.3">
      <c r="A231">
        <v>237</v>
      </c>
      <c r="B231" s="24">
        <v>43702</v>
      </c>
      <c r="C231" t="s">
        <v>81</v>
      </c>
      <c r="D231" t="s">
        <v>16</v>
      </c>
      <c r="E231" t="s">
        <v>17</v>
      </c>
      <c r="F231">
        <v>800</v>
      </c>
      <c r="G231">
        <v>1</v>
      </c>
      <c r="H231">
        <v>800</v>
      </c>
      <c r="I231">
        <v>800</v>
      </c>
    </row>
    <row r="232" spans="1:9" x14ac:dyDescent="0.3">
      <c r="A232">
        <v>238</v>
      </c>
      <c r="B232" s="24">
        <v>43703</v>
      </c>
      <c r="C232" t="s">
        <v>81</v>
      </c>
      <c r="D232" t="s">
        <v>21</v>
      </c>
      <c r="E232" t="s">
        <v>20</v>
      </c>
      <c r="F232">
        <v>1200</v>
      </c>
      <c r="G232">
        <v>1</v>
      </c>
      <c r="H232">
        <v>1200</v>
      </c>
      <c r="I232">
        <v>1200</v>
      </c>
    </row>
    <row r="233" spans="1:9" x14ac:dyDescent="0.3">
      <c r="A233">
        <v>239</v>
      </c>
      <c r="B233" s="24">
        <v>43704</v>
      </c>
      <c r="C233" t="s">
        <v>81</v>
      </c>
      <c r="D233" t="s">
        <v>15</v>
      </c>
      <c r="E233" t="s">
        <v>11</v>
      </c>
      <c r="F233">
        <v>1000</v>
      </c>
      <c r="G233">
        <v>1</v>
      </c>
      <c r="H233">
        <v>1000</v>
      </c>
      <c r="I233">
        <v>1000</v>
      </c>
    </row>
    <row r="234" spans="1:9" x14ac:dyDescent="0.3">
      <c r="A234">
        <v>240</v>
      </c>
      <c r="B234" s="24">
        <v>43705</v>
      </c>
      <c r="C234" t="s">
        <v>81</v>
      </c>
      <c r="D234" t="s">
        <v>24</v>
      </c>
      <c r="E234" t="s">
        <v>23</v>
      </c>
      <c r="F234">
        <v>600</v>
      </c>
      <c r="G234">
        <v>1</v>
      </c>
      <c r="H234">
        <v>600</v>
      </c>
      <c r="I234">
        <v>600</v>
      </c>
    </row>
    <row r="235" spans="1:9" x14ac:dyDescent="0.3">
      <c r="A235">
        <v>241</v>
      </c>
      <c r="B235" s="24">
        <v>43706</v>
      </c>
      <c r="C235" t="s">
        <v>81</v>
      </c>
      <c r="D235" t="s">
        <v>14</v>
      </c>
      <c r="E235" t="s">
        <v>11</v>
      </c>
      <c r="F235">
        <v>900</v>
      </c>
      <c r="G235">
        <v>1</v>
      </c>
      <c r="H235">
        <v>900</v>
      </c>
      <c r="I235">
        <v>900</v>
      </c>
    </row>
    <row r="236" spans="1:9" x14ac:dyDescent="0.3">
      <c r="A236">
        <v>242</v>
      </c>
      <c r="B236" s="24">
        <v>43707</v>
      </c>
      <c r="C236" t="s">
        <v>81</v>
      </c>
      <c r="D236" t="s">
        <v>18</v>
      </c>
      <c r="E236" t="s">
        <v>17</v>
      </c>
      <c r="F236">
        <v>600</v>
      </c>
      <c r="G236">
        <v>1</v>
      </c>
      <c r="H236">
        <v>600</v>
      </c>
      <c r="I236">
        <v>600</v>
      </c>
    </row>
    <row r="237" spans="1:9" x14ac:dyDescent="0.3">
      <c r="A237">
        <v>243</v>
      </c>
      <c r="B237" s="24">
        <v>43708</v>
      </c>
      <c r="C237" t="s">
        <v>81</v>
      </c>
      <c r="D237" t="s">
        <v>12</v>
      </c>
      <c r="E237" t="s">
        <v>11</v>
      </c>
      <c r="F237">
        <v>900</v>
      </c>
      <c r="G237">
        <v>1</v>
      </c>
      <c r="H237">
        <v>900</v>
      </c>
      <c r="I237">
        <v>765</v>
      </c>
    </row>
    <row r="238" spans="1:9" x14ac:dyDescent="0.3">
      <c r="A238">
        <v>244</v>
      </c>
      <c r="B238" s="24">
        <v>43709</v>
      </c>
      <c r="C238" t="s">
        <v>81</v>
      </c>
      <c r="D238" t="s">
        <v>24</v>
      </c>
      <c r="E238" t="s">
        <v>23</v>
      </c>
      <c r="F238">
        <v>600</v>
      </c>
      <c r="G238">
        <v>1</v>
      </c>
      <c r="H238">
        <v>600</v>
      </c>
      <c r="I238">
        <v>600</v>
      </c>
    </row>
    <row r="239" spans="1:9" x14ac:dyDescent="0.3">
      <c r="A239">
        <v>245</v>
      </c>
      <c r="B239" s="24">
        <v>43710</v>
      </c>
      <c r="C239" t="s">
        <v>81</v>
      </c>
      <c r="D239" t="s">
        <v>19</v>
      </c>
      <c r="E239" t="s">
        <v>20</v>
      </c>
      <c r="F239">
        <v>850</v>
      </c>
      <c r="G239">
        <v>1</v>
      </c>
      <c r="H239">
        <v>850</v>
      </c>
      <c r="I239">
        <v>850</v>
      </c>
    </row>
    <row r="240" spans="1:9" x14ac:dyDescent="0.3">
      <c r="A240">
        <v>246</v>
      </c>
      <c r="B240" s="24">
        <v>43711</v>
      </c>
      <c r="C240" t="s">
        <v>81</v>
      </c>
      <c r="D240" t="s">
        <v>14</v>
      </c>
      <c r="E240" t="s">
        <v>11</v>
      </c>
      <c r="F240">
        <v>900</v>
      </c>
      <c r="G240">
        <v>1</v>
      </c>
      <c r="H240">
        <v>900</v>
      </c>
      <c r="I240">
        <v>900</v>
      </c>
    </row>
    <row r="241" spans="1:9" x14ac:dyDescent="0.3">
      <c r="A241">
        <v>247</v>
      </c>
      <c r="B241" s="24">
        <v>43712</v>
      </c>
      <c r="C241" t="s">
        <v>81</v>
      </c>
      <c r="D241" t="s">
        <v>10</v>
      </c>
      <c r="E241" t="s">
        <v>11</v>
      </c>
      <c r="F241">
        <v>1100</v>
      </c>
      <c r="G241">
        <v>1</v>
      </c>
      <c r="H241">
        <v>1100</v>
      </c>
      <c r="I241">
        <v>1100</v>
      </c>
    </row>
    <row r="242" spans="1:9" x14ac:dyDescent="0.3">
      <c r="A242">
        <v>248</v>
      </c>
      <c r="B242" s="24">
        <v>43713</v>
      </c>
      <c r="C242" t="s">
        <v>81</v>
      </c>
      <c r="D242" t="s">
        <v>14</v>
      </c>
      <c r="E242" t="s">
        <v>11</v>
      </c>
      <c r="F242">
        <v>900</v>
      </c>
      <c r="G242">
        <v>1</v>
      </c>
      <c r="H242">
        <v>900</v>
      </c>
      <c r="I242">
        <v>900</v>
      </c>
    </row>
    <row r="243" spans="1:9" x14ac:dyDescent="0.3">
      <c r="A243">
        <v>249</v>
      </c>
      <c r="B243" s="24">
        <v>43714</v>
      </c>
      <c r="C243" t="s">
        <v>81</v>
      </c>
      <c r="D243" t="s">
        <v>15</v>
      </c>
      <c r="E243" t="s">
        <v>11</v>
      </c>
      <c r="F243">
        <v>1000</v>
      </c>
      <c r="G243">
        <v>1</v>
      </c>
      <c r="H243">
        <v>1000</v>
      </c>
      <c r="I243">
        <v>1000</v>
      </c>
    </row>
    <row r="244" spans="1:9" x14ac:dyDescent="0.3">
      <c r="A244">
        <v>250</v>
      </c>
      <c r="B244" s="24">
        <v>43715</v>
      </c>
      <c r="C244" t="s">
        <v>81</v>
      </c>
      <c r="D244" t="s">
        <v>10</v>
      </c>
      <c r="E244" t="s">
        <v>11</v>
      </c>
      <c r="F244">
        <v>1100</v>
      </c>
      <c r="G244">
        <v>1</v>
      </c>
      <c r="H244">
        <v>1100</v>
      </c>
      <c r="I244">
        <v>1100</v>
      </c>
    </row>
    <row r="245" spans="1:9" x14ac:dyDescent="0.3">
      <c r="A245">
        <v>251</v>
      </c>
      <c r="B245" s="24">
        <v>43716</v>
      </c>
      <c r="C245" t="s">
        <v>81</v>
      </c>
      <c r="D245" t="s">
        <v>15</v>
      </c>
      <c r="E245" t="s">
        <v>11</v>
      </c>
      <c r="F245">
        <v>1000</v>
      </c>
      <c r="G245">
        <v>1</v>
      </c>
      <c r="H245">
        <v>1000</v>
      </c>
      <c r="I245">
        <v>1000</v>
      </c>
    </row>
    <row r="246" spans="1:9" x14ac:dyDescent="0.3">
      <c r="A246">
        <v>252</v>
      </c>
      <c r="B246" s="24">
        <v>43717</v>
      </c>
      <c r="C246" t="s">
        <v>81</v>
      </c>
      <c r="D246" t="s">
        <v>10</v>
      </c>
      <c r="E246" t="s">
        <v>11</v>
      </c>
      <c r="F246">
        <v>1100</v>
      </c>
      <c r="G246">
        <v>1</v>
      </c>
      <c r="H246">
        <v>1100</v>
      </c>
      <c r="I246">
        <v>1100</v>
      </c>
    </row>
    <row r="247" spans="1:9" x14ac:dyDescent="0.3">
      <c r="A247">
        <v>253</v>
      </c>
      <c r="B247" s="24">
        <v>43718</v>
      </c>
      <c r="C247" t="s">
        <v>81</v>
      </c>
      <c r="D247" t="s">
        <v>14</v>
      </c>
      <c r="E247" t="s">
        <v>11</v>
      </c>
      <c r="F247">
        <v>900</v>
      </c>
      <c r="G247">
        <v>1</v>
      </c>
      <c r="H247">
        <v>900</v>
      </c>
      <c r="I247">
        <v>900</v>
      </c>
    </row>
    <row r="248" spans="1:9" x14ac:dyDescent="0.3">
      <c r="A248">
        <v>254</v>
      </c>
      <c r="B248" s="24">
        <v>43719</v>
      </c>
      <c r="C248" t="s">
        <v>81</v>
      </c>
      <c r="D248" t="s">
        <v>12</v>
      </c>
      <c r="E248" t="s">
        <v>11</v>
      </c>
      <c r="F248">
        <v>900</v>
      </c>
      <c r="G248">
        <v>1</v>
      </c>
      <c r="H248">
        <v>900</v>
      </c>
      <c r="I248">
        <v>765</v>
      </c>
    </row>
    <row r="249" spans="1:9" x14ac:dyDescent="0.3">
      <c r="A249">
        <v>255</v>
      </c>
      <c r="B249" s="24">
        <v>43720</v>
      </c>
      <c r="C249" t="s">
        <v>81</v>
      </c>
      <c r="D249" t="s">
        <v>10</v>
      </c>
      <c r="E249" t="s">
        <v>11</v>
      </c>
      <c r="F249">
        <v>1100</v>
      </c>
      <c r="G249">
        <v>1</v>
      </c>
      <c r="H249">
        <v>1100</v>
      </c>
      <c r="I249">
        <v>1100</v>
      </c>
    </row>
    <row r="250" spans="1:9" x14ac:dyDescent="0.3">
      <c r="A250">
        <v>256</v>
      </c>
      <c r="B250" s="24">
        <v>43721</v>
      </c>
      <c r="C250" t="s">
        <v>81</v>
      </c>
      <c r="D250" t="s">
        <v>10</v>
      </c>
      <c r="E250" t="s">
        <v>11</v>
      </c>
      <c r="F250">
        <v>1100</v>
      </c>
      <c r="G250">
        <v>1</v>
      </c>
      <c r="H250">
        <v>1100</v>
      </c>
      <c r="I250">
        <v>1100</v>
      </c>
    </row>
    <row r="251" spans="1:9" x14ac:dyDescent="0.3">
      <c r="A251">
        <v>257</v>
      </c>
      <c r="B251" s="24">
        <v>43722</v>
      </c>
      <c r="C251" t="s">
        <v>81</v>
      </c>
      <c r="D251" t="s">
        <v>15</v>
      </c>
      <c r="E251" t="s">
        <v>11</v>
      </c>
      <c r="F251">
        <v>1000</v>
      </c>
      <c r="G251">
        <v>1</v>
      </c>
      <c r="H251">
        <v>1000</v>
      </c>
      <c r="I251">
        <v>1000</v>
      </c>
    </row>
    <row r="252" spans="1:9" x14ac:dyDescent="0.3">
      <c r="A252">
        <v>258</v>
      </c>
      <c r="B252" s="24">
        <v>43723</v>
      </c>
      <c r="C252" t="s">
        <v>81</v>
      </c>
      <c r="D252" t="s">
        <v>12</v>
      </c>
      <c r="E252" t="s">
        <v>11</v>
      </c>
      <c r="F252">
        <v>900</v>
      </c>
      <c r="G252">
        <v>1</v>
      </c>
      <c r="H252">
        <v>900</v>
      </c>
      <c r="I252">
        <v>765</v>
      </c>
    </row>
    <row r="253" spans="1:9" x14ac:dyDescent="0.3">
      <c r="A253">
        <v>259</v>
      </c>
      <c r="B253" s="24">
        <v>43724</v>
      </c>
      <c r="C253" t="s">
        <v>81</v>
      </c>
      <c r="D253" t="s">
        <v>18</v>
      </c>
      <c r="E253" t="s">
        <v>17</v>
      </c>
      <c r="F253">
        <v>600</v>
      </c>
      <c r="G253">
        <v>1</v>
      </c>
      <c r="H253">
        <v>600</v>
      </c>
      <c r="I253">
        <v>600</v>
      </c>
    </row>
    <row r="254" spans="1:9" x14ac:dyDescent="0.3">
      <c r="A254">
        <v>260</v>
      </c>
      <c r="B254" s="24">
        <v>43725</v>
      </c>
      <c r="C254" t="s">
        <v>81</v>
      </c>
      <c r="D254" t="s">
        <v>12</v>
      </c>
      <c r="E254" t="s">
        <v>11</v>
      </c>
      <c r="F254">
        <v>900</v>
      </c>
      <c r="G254">
        <v>1</v>
      </c>
      <c r="H254">
        <v>900</v>
      </c>
      <c r="I254">
        <v>765</v>
      </c>
    </row>
    <row r="255" spans="1:9" x14ac:dyDescent="0.3">
      <c r="A255">
        <v>261</v>
      </c>
      <c r="B255" s="24">
        <v>43726</v>
      </c>
      <c r="C255" t="s">
        <v>81</v>
      </c>
      <c r="D255" t="s">
        <v>18</v>
      </c>
      <c r="E255" t="s">
        <v>17</v>
      </c>
      <c r="F255">
        <v>600</v>
      </c>
      <c r="G255">
        <v>1</v>
      </c>
      <c r="H255">
        <v>600</v>
      </c>
      <c r="I255">
        <v>600</v>
      </c>
    </row>
    <row r="256" spans="1:9" x14ac:dyDescent="0.3">
      <c r="A256">
        <v>262</v>
      </c>
      <c r="B256" s="24">
        <v>43727</v>
      </c>
      <c r="C256" t="s">
        <v>81</v>
      </c>
      <c r="D256" t="s">
        <v>14</v>
      </c>
      <c r="E256" t="s">
        <v>11</v>
      </c>
      <c r="F256">
        <v>900</v>
      </c>
      <c r="G256">
        <v>1</v>
      </c>
      <c r="H256">
        <v>900</v>
      </c>
      <c r="I256">
        <v>900</v>
      </c>
    </row>
    <row r="257" spans="1:9" x14ac:dyDescent="0.3">
      <c r="A257">
        <v>263</v>
      </c>
      <c r="B257" s="24">
        <v>43728</v>
      </c>
      <c r="C257" t="s">
        <v>81</v>
      </c>
      <c r="D257" t="s">
        <v>10</v>
      </c>
      <c r="E257" t="s">
        <v>11</v>
      </c>
      <c r="F257">
        <v>1100</v>
      </c>
      <c r="G257">
        <v>2</v>
      </c>
      <c r="H257">
        <v>2200</v>
      </c>
      <c r="I257">
        <v>2200</v>
      </c>
    </row>
    <row r="258" spans="1:9" x14ac:dyDescent="0.3">
      <c r="A258">
        <v>264</v>
      </c>
      <c r="B258" s="24">
        <v>43729</v>
      </c>
      <c r="C258" t="s">
        <v>81</v>
      </c>
      <c r="D258" t="s">
        <v>18</v>
      </c>
      <c r="E258" t="s">
        <v>17</v>
      </c>
      <c r="F258">
        <v>600</v>
      </c>
      <c r="G258">
        <v>1</v>
      </c>
      <c r="H258">
        <v>600</v>
      </c>
      <c r="I258">
        <v>600</v>
      </c>
    </row>
    <row r="259" spans="1:9" x14ac:dyDescent="0.3">
      <c r="A259">
        <v>265</v>
      </c>
      <c r="B259" s="24">
        <v>43730</v>
      </c>
      <c r="C259" t="s">
        <v>81</v>
      </c>
      <c r="D259" t="s">
        <v>18</v>
      </c>
      <c r="E259" t="s">
        <v>17</v>
      </c>
      <c r="F259">
        <v>600</v>
      </c>
      <c r="G259">
        <v>1</v>
      </c>
      <c r="H259">
        <v>600</v>
      </c>
      <c r="I259">
        <v>600</v>
      </c>
    </row>
    <row r="260" spans="1:9" x14ac:dyDescent="0.3">
      <c r="A260">
        <v>266</v>
      </c>
      <c r="B260" s="24">
        <v>43731</v>
      </c>
      <c r="C260" t="s">
        <v>81</v>
      </c>
      <c r="D260" t="s">
        <v>14</v>
      </c>
      <c r="E260" t="s">
        <v>11</v>
      </c>
      <c r="F260">
        <v>900</v>
      </c>
      <c r="G260">
        <v>1</v>
      </c>
      <c r="H260">
        <v>900</v>
      </c>
      <c r="I260">
        <v>900</v>
      </c>
    </row>
    <row r="261" spans="1:9" x14ac:dyDescent="0.3">
      <c r="A261">
        <v>267</v>
      </c>
      <c r="B261" s="24">
        <v>43732</v>
      </c>
      <c r="C261" t="s">
        <v>81</v>
      </c>
      <c r="D261" t="s">
        <v>10</v>
      </c>
      <c r="E261" t="s">
        <v>11</v>
      </c>
      <c r="F261">
        <v>1100</v>
      </c>
      <c r="G261">
        <v>1</v>
      </c>
      <c r="H261">
        <v>1100</v>
      </c>
      <c r="I261">
        <v>1100</v>
      </c>
    </row>
    <row r="262" spans="1:9" x14ac:dyDescent="0.3">
      <c r="A262">
        <v>268</v>
      </c>
      <c r="B262" s="24">
        <v>43733</v>
      </c>
      <c r="C262" t="s">
        <v>81</v>
      </c>
      <c r="D262" t="s">
        <v>18</v>
      </c>
      <c r="E262" t="s">
        <v>17</v>
      </c>
      <c r="F262">
        <v>600</v>
      </c>
      <c r="G262">
        <v>1</v>
      </c>
      <c r="H262">
        <v>600</v>
      </c>
      <c r="I262">
        <v>600</v>
      </c>
    </row>
    <row r="263" spans="1:9" x14ac:dyDescent="0.3">
      <c r="A263">
        <v>269</v>
      </c>
      <c r="B263" s="24">
        <v>43734</v>
      </c>
      <c r="C263" t="s">
        <v>81</v>
      </c>
      <c r="D263" t="s">
        <v>24</v>
      </c>
      <c r="E263" t="s">
        <v>23</v>
      </c>
      <c r="F263">
        <v>600</v>
      </c>
      <c r="G263">
        <v>1</v>
      </c>
      <c r="H263">
        <v>600</v>
      </c>
      <c r="I263">
        <v>600</v>
      </c>
    </row>
    <row r="264" spans="1:9" x14ac:dyDescent="0.3">
      <c r="A264">
        <v>270</v>
      </c>
      <c r="B264" s="24">
        <v>43735</v>
      </c>
      <c r="C264" t="s">
        <v>81</v>
      </c>
      <c r="D264" t="s">
        <v>18</v>
      </c>
      <c r="E264" t="s">
        <v>17</v>
      </c>
      <c r="F264">
        <v>600</v>
      </c>
      <c r="G264">
        <v>1</v>
      </c>
      <c r="H264">
        <v>600</v>
      </c>
      <c r="I264">
        <v>600</v>
      </c>
    </row>
    <row r="265" spans="1:9" x14ac:dyDescent="0.3">
      <c r="A265">
        <v>271</v>
      </c>
      <c r="B265" s="24">
        <v>43736</v>
      </c>
      <c r="C265" t="s">
        <v>81</v>
      </c>
      <c r="D265" t="s">
        <v>24</v>
      </c>
      <c r="E265" t="s">
        <v>23</v>
      </c>
      <c r="F265">
        <v>600</v>
      </c>
      <c r="G265">
        <v>1</v>
      </c>
      <c r="H265">
        <v>600</v>
      </c>
      <c r="I265">
        <v>600</v>
      </c>
    </row>
    <row r="266" spans="1:9" x14ac:dyDescent="0.3">
      <c r="A266">
        <v>272</v>
      </c>
      <c r="B266" s="24">
        <v>43737</v>
      </c>
      <c r="C266" t="s">
        <v>81</v>
      </c>
      <c r="D266" t="s">
        <v>24</v>
      </c>
      <c r="E266" t="s">
        <v>23</v>
      </c>
      <c r="F266">
        <v>600</v>
      </c>
      <c r="G266">
        <v>2</v>
      </c>
      <c r="H266">
        <v>1200</v>
      </c>
      <c r="I266">
        <v>1200</v>
      </c>
    </row>
    <row r="267" spans="1:9" x14ac:dyDescent="0.3">
      <c r="A267">
        <v>273</v>
      </c>
      <c r="B267" s="24">
        <v>43738</v>
      </c>
      <c r="C267" t="s">
        <v>81</v>
      </c>
      <c r="D267" t="s">
        <v>18</v>
      </c>
      <c r="E267" t="s">
        <v>17</v>
      </c>
      <c r="F267">
        <v>600</v>
      </c>
      <c r="G267">
        <v>1</v>
      </c>
      <c r="H267">
        <v>600</v>
      </c>
      <c r="I267">
        <v>600</v>
      </c>
    </row>
    <row r="268" spans="1:9" x14ac:dyDescent="0.3">
      <c r="A268">
        <v>274</v>
      </c>
      <c r="B268" s="24">
        <v>43739</v>
      </c>
      <c r="C268" t="s">
        <v>81</v>
      </c>
      <c r="D268" t="s">
        <v>10</v>
      </c>
      <c r="E268" t="s">
        <v>11</v>
      </c>
      <c r="F268">
        <v>1100</v>
      </c>
      <c r="G268">
        <v>3</v>
      </c>
      <c r="H268">
        <v>3300</v>
      </c>
      <c r="I268">
        <v>3300</v>
      </c>
    </row>
    <row r="269" spans="1:9" x14ac:dyDescent="0.3">
      <c r="A269">
        <v>275</v>
      </c>
      <c r="B269" s="24">
        <v>43740</v>
      </c>
      <c r="C269" t="s">
        <v>81</v>
      </c>
      <c r="D269" t="s">
        <v>10</v>
      </c>
      <c r="E269" t="s">
        <v>11</v>
      </c>
      <c r="F269">
        <v>1100</v>
      </c>
      <c r="G269">
        <v>1</v>
      </c>
      <c r="H269">
        <v>1100</v>
      </c>
      <c r="I269">
        <v>1100</v>
      </c>
    </row>
    <row r="270" spans="1:9" x14ac:dyDescent="0.3">
      <c r="A270">
        <v>276</v>
      </c>
      <c r="B270" s="24">
        <v>43741</v>
      </c>
      <c r="C270" t="s">
        <v>81</v>
      </c>
      <c r="D270" t="s">
        <v>19</v>
      </c>
      <c r="E270" t="s">
        <v>20</v>
      </c>
      <c r="F270">
        <v>850</v>
      </c>
      <c r="G270">
        <v>1</v>
      </c>
      <c r="H270">
        <v>850</v>
      </c>
      <c r="I270">
        <v>850</v>
      </c>
    </row>
    <row r="271" spans="1:9" x14ac:dyDescent="0.3">
      <c r="A271">
        <v>277</v>
      </c>
      <c r="B271" s="24">
        <v>43742</v>
      </c>
      <c r="C271" t="s">
        <v>81</v>
      </c>
      <c r="D271" t="s">
        <v>21</v>
      </c>
      <c r="E271" t="s">
        <v>20</v>
      </c>
      <c r="F271">
        <v>1200</v>
      </c>
      <c r="G271">
        <v>1</v>
      </c>
      <c r="H271">
        <v>1200</v>
      </c>
      <c r="I271">
        <v>1200</v>
      </c>
    </row>
    <row r="272" spans="1:9" x14ac:dyDescent="0.3">
      <c r="A272">
        <v>278</v>
      </c>
      <c r="B272" s="24">
        <v>43743</v>
      </c>
      <c r="C272" t="s">
        <v>81</v>
      </c>
      <c r="D272" t="s">
        <v>16</v>
      </c>
      <c r="E272" t="s">
        <v>17</v>
      </c>
      <c r="F272">
        <v>800</v>
      </c>
      <c r="G272">
        <v>1</v>
      </c>
      <c r="H272">
        <v>800</v>
      </c>
      <c r="I272">
        <v>800</v>
      </c>
    </row>
    <row r="273" spans="1:9" x14ac:dyDescent="0.3">
      <c r="A273">
        <v>279</v>
      </c>
      <c r="B273" s="24">
        <v>43744</v>
      </c>
      <c r="C273" t="s">
        <v>81</v>
      </c>
      <c r="D273" t="s">
        <v>14</v>
      </c>
      <c r="E273" t="s">
        <v>11</v>
      </c>
      <c r="F273">
        <v>900</v>
      </c>
      <c r="G273">
        <v>1</v>
      </c>
      <c r="H273">
        <v>900</v>
      </c>
      <c r="I273">
        <v>900</v>
      </c>
    </row>
    <row r="274" spans="1:9" x14ac:dyDescent="0.3">
      <c r="A274">
        <v>280</v>
      </c>
      <c r="B274" s="24">
        <v>43745</v>
      </c>
      <c r="C274" t="s">
        <v>81</v>
      </c>
      <c r="D274" t="s">
        <v>10</v>
      </c>
      <c r="E274" t="s">
        <v>11</v>
      </c>
      <c r="F274">
        <v>1100</v>
      </c>
      <c r="G274">
        <v>1</v>
      </c>
      <c r="H274">
        <v>1100</v>
      </c>
      <c r="I274">
        <v>1100</v>
      </c>
    </row>
    <row r="275" spans="1:9" x14ac:dyDescent="0.3">
      <c r="A275">
        <v>281</v>
      </c>
      <c r="B275" s="24">
        <v>43746</v>
      </c>
      <c r="C275" t="s">
        <v>81</v>
      </c>
      <c r="D275" t="s">
        <v>12</v>
      </c>
      <c r="E275" t="s">
        <v>11</v>
      </c>
      <c r="F275">
        <v>900</v>
      </c>
      <c r="G275">
        <v>1</v>
      </c>
      <c r="H275">
        <v>900</v>
      </c>
      <c r="I275">
        <v>765</v>
      </c>
    </row>
    <row r="276" spans="1:9" x14ac:dyDescent="0.3">
      <c r="A276">
        <v>282</v>
      </c>
      <c r="B276" s="24">
        <v>43747</v>
      </c>
      <c r="C276" t="s">
        <v>81</v>
      </c>
      <c r="D276" t="s">
        <v>10</v>
      </c>
      <c r="E276" t="s">
        <v>11</v>
      </c>
      <c r="F276">
        <v>1100</v>
      </c>
      <c r="G276">
        <v>1</v>
      </c>
      <c r="H276">
        <v>1100</v>
      </c>
      <c r="I276">
        <v>1100</v>
      </c>
    </row>
    <row r="277" spans="1:9" x14ac:dyDescent="0.3">
      <c r="A277">
        <v>283</v>
      </c>
      <c r="B277" s="24">
        <v>43748</v>
      </c>
      <c r="C277" t="s">
        <v>81</v>
      </c>
      <c r="D277" t="s">
        <v>22</v>
      </c>
      <c r="E277" t="s">
        <v>23</v>
      </c>
      <c r="F277">
        <v>900</v>
      </c>
      <c r="G277">
        <v>1</v>
      </c>
      <c r="H277">
        <v>900</v>
      </c>
      <c r="I277">
        <v>900</v>
      </c>
    </row>
    <row r="278" spans="1:9" x14ac:dyDescent="0.3">
      <c r="A278">
        <v>284</v>
      </c>
      <c r="B278" s="24">
        <v>43749</v>
      </c>
      <c r="C278" t="s">
        <v>81</v>
      </c>
      <c r="D278" t="s">
        <v>22</v>
      </c>
      <c r="E278" t="s">
        <v>23</v>
      </c>
      <c r="F278">
        <v>500</v>
      </c>
      <c r="G278">
        <v>1</v>
      </c>
      <c r="H278">
        <v>500</v>
      </c>
      <c r="I278">
        <v>500</v>
      </c>
    </row>
    <row r="279" spans="1:9" x14ac:dyDescent="0.3">
      <c r="A279">
        <v>285</v>
      </c>
      <c r="B279" s="24">
        <v>43750</v>
      </c>
      <c r="C279" t="s">
        <v>81</v>
      </c>
      <c r="D279" t="s">
        <v>15</v>
      </c>
      <c r="E279" t="s">
        <v>11</v>
      </c>
      <c r="F279">
        <v>1000</v>
      </c>
      <c r="G279">
        <v>1</v>
      </c>
      <c r="H279">
        <v>1000</v>
      </c>
      <c r="I279">
        <v>1000</v>
      </c>
    </row>
    <row r="280" spans="1:9" x14ac:dyDescent="0.3">
      <c r="A280">
        <v>286</v>
      </c>
      <c r="B280" s="24">
        <v>43751</v>
      </c>
      <c r="C280" t="s">
        <v>81</v>
      </c>
      <c r="D280" t="s">
        <v>24</v>
      </c>
      <c r="E280" t="s">
        <v>23</v>
      </c>
      <c r="F280">
        <v>600</v>
      </c>
      <c r="G280">
        <v>1</v>
      </c>
      <c r="H280">
        <v>600</v>
      </c>
      <c r="I280">
        <v>600</v>
      </c>
    </row>
    <row r="281" spans="1:9" x14ac:dyDescent="0.3">
      <c r="A281">
        <v>287</v>
      </c>
      <c r="B281" s="24">
        <v>43752</v>
      </c>
      <c r="C281" t="s">
        <v>81</v>
      </c>
      <c r="D281" t="s">
        <v>12</v>
      </c>
      <c r="E281" t="s">
        <v>11</v>
      </c>
      <c r="F281">
        <v>900</v>
      </c>
      <c r="G281">
        <v>2</v>
      </c>
      <c r="H281">
        <v>1800</v>
      </c>
      <c r="I281">
        <v>1530</v>
      </c>
    </row>
    <row r="282" spans="1:9" x14ac:dyDescent="0.3">
      <c r="A282">
        <v>288</v>
      </c>
      <c r="B282" s="24">
        <v>43753</v>
      </c>
      <c r="C282" t="s">
        <v>81</v>
      </c>
      <c r="D282" t="s">
        <v>19</v>
      </c>
      <c r="E282" t="s">
        <v>20</v>
      </c>
      <c r="F282">
        <v>850</v>
      </c>
      <c r="G282">
        <v>1</v>
      </c>
      <c r="H282">
        <v>850</v>
      </c>
      <c r="I282">
        <v>850</v>
      </c>
    </row>
    <row r="283" spans="1:9" x14ac:dyDescent="0.3">
      <c r="A283">
        <v>289</v>
      </c>
      <c r="B283" s="24">
        <v>43754</v>
      </c>
      <c r="C283" t="s">
        <v>81</v>
      </c>
      <c r="D283" t="s">
        <v>16</v>
      </c>
      <c r="E283" t="s">
        <v>17</v>
      </c>
      <c r="F283">
        <v>800</v>
      </c>
      <c r="G283">
        <v>1</v>
      </c>
      <c r="H283">
        <v>800</v>
      </c>
      <c r="I283">
        <v>800</v>
      </c>
    </row>
    <row r="284" spans="1:9" x14ac:dyDescent="0.3">
      <c r="A284">
        <v>290</v>
      </c>
      <c r="B284" s="24">
        <v>43755</v>
      </c>
      <c r="C284" t="s">
        <v>81</v>
      </c>
      <c r="D284" t="s">
        <v>12</v>
      </c>
      <c r="E284" t="s">
        <v>11</v>
      </c>
      <c r="F284">
        <v>900</v>
      </c>
      <c r="G284">
        <v>1</v>
      </c>
      <c r="H284">
        <v>900</v>
      </c>
      <c r="I284">
        <v>765</v>
      </c>
    </row>
    <row r="285" spans="1:9" x14ac:dyDescent="0.3">
      <c r="A285">
        <v>291</v>
      </c>
      <c r="B285" s="24">
        <v>43756</v>
      </c>
      <c r="C285" t="s">
        <v>81</v>
      </c>
      <c r="D285" t="s">
        <v>12</v>
      </c>
      <c r="E285" t="s">
        <v>11</v>
      </c>
      <c r="F285">
        <v>900</v>
      </c>
      <c r="G285">
        <v>1</v>
      </c>
      <c r="H285">
        <v>900</v>
      </c>
      <c r="I285">
        <v>765</v>
      </c>
    </row>
    <row r="286" spans="1:9" x14ac:dyDescent="0.3">
      <c r="A286">
        <v>292</v>
      </c>
      <c r="B286" s="24">
        <v>43757</v>
      </c>
      <c r="C286" t="s">
        <v>81</v>
      </c>
      <c r="D286" t="s">
        <v>10</v>
      </c>
      <c r="E286" t="s">
        <v>11</v>
      </c>
      <c r="F286">
        <v>1100</v>
      </c>
      <c r="G286">
        <v>1</v>
      </c>
      <c r="H286">
        <v>1100</v>
      </c>
      <c r="I286">
        <v>1100</v>
      </c>
    </row>
    <row r="287" spans="1:9" x14ac:dyDescent="0.3">
      <c r="A287">
        <v>293</v>
      </c>
      <c r="B287" s="24">
        <v>43758</v>
      </c>
      <c r="C287" t="s">
        <v>81</v>
      </c>
      <c r="D287" t="s">
        <v>14</v>
      </c>
      <c r="E287" t="s">
        <v>11</v>
      </c>
      <c r="F287">
        <v>900</v>
      </c>
      <c r="G287">
        <v>1</v>
      </c>
      <c r="H287">
        <v>900</v>
      </c>
      <c r="I287">
        <v>900</v>
      </c>
    </row>
    <row r="288" spans="1:9" x14ac:dyDescent="0.3">
      <c r="A288">
        <v>294</v>
      </c>
      <c r="B288" s="24">
        <v>43759</v>
      </c>
      <c r="C288" t="s">
        <v>81</v>
      </c>
      <c r="D288" t="s">
        <v>18</v>
      </c>
      <c r="E288" t="s">
        <v>17</v>
      </c>
      <c r="F288">
        <v>600</v>
      </c>
      <c r="G288">
        <v>1</v>
      </c>
      <c r="H288">
        <v>600</v>
      </c>
      <c r="I288">
        <v>600</v>
      </c>
    </row>
    <row r="289" spans="1:9" x14ac:dyDescent="0.3">
      <c r="A289">
        <v>295</v>
      </c>
      <c r="B289" s="24">
        <v>43760</v>
      </c>
      <c r="C289" t="s">
        <v>81</v>
      </c>
      <c r="D289" t="s">
        <v>18</v>
      </c>
      <c r="E289" t="s">
        <v>17</v>
      </c>
      <c r="F289">
        <v>600</v>
      </c>
      <c r="G289">
        <v>1</v>
      </c>
      <c r="H289">
        <v>600</v>
      </c>
      <c r="I289">
        <v>600</v>
      </c>
    </row>
    <row r="290" spans="1:9" x14ac:dyDescent="0.3">
      <c r="A290">
        <v>296</v>
      </c>
      <c r="B290" s="24">
        <v>43761</v>
      </c>
      <c r="C290" t="s">
        <v>81</v>
      </c>
      <c r="D290" t="s">
        <v>14</v>
      </c>
      <c r="E290" t="s">
        <v>11</v>
      </c>
      <c r="F290">
        <v>900</v>
      </c>
      <c r="G290">
        <v>1</v>
      </c>
      <c r="H290">
        <v>900</v>
      </c>
      <c r="I290">
        <v>900</v>
      </c>
    </row>
    <row r="291" spans="1:9" x14ac:dyDescent="0.3">
      <c r="A291">
        <v>297</v>
      </c>
      <c r="B291" s="24">
        <v>43762</v>
      </c>
      <c r="C291" t="s">
        <v>81</v>
      </c>
      <c r="D291" t="s">
        <v>19</v>
      </c>
      <c r="E291" t="s">
        <v>20</v>
      </c>
      <c r="F291">
        <v>850</v>
      </c>
      <c r="G291">
        <v>1</v>
      </c>
      <c r="H291">
        <v>850</v>
      </c>
      <c r="I291">
        <v>850</v>
      </c>
    </row>
    <row r="292" spans="1:9" x14ac:dyDescent="0.3">
      <c r="A292">
        <v>298</v>
      </c>
      <c r="B292" s="24">
        <v>43763</v>
      </c>
      <c r="C292" t="s">
        <v>81</v>
      </c>
      <c r="D292" t="s">
        <v>14</v>
      </c>
      <c r="E292" t="s">
        <v>11</v>
      </c>
      <c r="F292">
        <v>900</v>
      </c>
      <c r="G292">
        <v>1</v>
      </c>
      <c r="H292">
        <v>900</v>
      </c>
      <c r="I292">
        <v>900</v>
      </c>
    </row>
    <row r="293" spans="1:9" x14ac:dyDescent="0.3">
      <c r="A293">
        <v>299</v>
      </c>
      <c r="B293" s="24">
        <v>43764</v>
      </c>
      <c r="C293" t="s">
        <v>81</v>
      </c>
      <c r="D293" t="s">
        <v>18</v>
      </c>
      <c r="E293" t="s">
        <v>17</v>
      </c>
      <c r="F293">
        <v>600</v>
      </c>
      <c r="G293">
        <v>1</v>
      </c>
      <c r="H293">
        <v>600</v>
      </c>
      <c r="I293">
        <v>600</v>
      </c>
    </row>
    <row r="294" spans="1:9" x14ac:dyDescent="0.3">
      <c r="A294">
        <v>300</v>
      </c>
      <c r="B294" s="24">
        <v>43765</v>
      </c>
      <c r="C294" t="s">
        <v>81</v>
      </c>
      <c r="D294" t="s">
        <v>18</v>
      </c>
      <c r="E294" t="s">
        <v>17</v>
      </c>
      <c r="F294">
        <v>600</v>
      </c>
      <c r="G294">
        <v>1</v>
      </c>
      <c r="H294">
        <v>600</v>
      </c>
      <c r="I294">
        <v>600</v>
      </c>
    </row>
    <row r="295" spans="1:9" x14ac:dyDescent="0.3">
      <c r="A295">
        <v>301</v>
      </c>
      <c r="B295" s="24">
        <v>43766</v>
      </c>
      <c r="C295" t="s">
        <v>81</v>
      </c>
      <c r="D295" t="s">
        <v>10</v>
      </c>
      <c r="E295" t="s">
        <v>11</v>
      </c>
      <c r="F295">
        <v>1100</v>
      </c>
      <c r="G295">
        <v>1</v>
      </c>
      <c r="H295">
        <v>1100</v>
      </c>
      <c r="I295">
        <v>1100</v>
      </c>
    </row>
    <row r="296" spans="1:9" x14ac:dyDescent="0.3">
      <c r="A296">
        <v>302</v>
      </c>
      <c r="B296" s="24">
        <v>43767</v>
      </c>
      <c r="C296" t="s">
        <v>81</v>
      </c>
      <c r="D296" t="s">
        <v>12</v>
      </c>
      <c r="E296" t="s">
        <v>11</v>
      </c>
      <c r="F296">
        <v>900</v>
      </c>
      <c r="G296">
        <v>1</v>
      </c>
      <c r="H296">
        <v>900</v>
      </c>
      <c r="I296">
        <v>765</v>
      </c>
    </row>
    <row r="297" spans="1:9" x14ac:dyDescent="0.3">
      <c r="A297">
        <v>303</v>
      </c>
      <c r="B297" s="24">
        <v>43768</v>
      </c>
      <c r="C297" t="s">
        <v>81</v>
      </c>
      <c r="D297" t="s">
        <v>10</v>
      </c>
      <c r="E297" t="s">
        <v>11</v>
      </c>
      <c r="F297">
        <v>1100</v>
      </c>
      <c r="G297">
        <v>1</v>
      </c>
      <c r="H297">
        <v>1100</v>
      </c>
      <c r="I297">
        <v>1100</v>
      </c>
    </row>
    <row r="298" spans="1:9" x14ac:dyDescent="0.3">
      <c r="A298">
        <v>304</v>
      </c>
      <c r="B298" s="24">
        <v>43769</v>
      </c>
      <c r="C298" t="s">
        <v>81</v>
      </c>
      <c r="D298" t="s">
        <v>18</v>
      </c>
      <c r="E298" t="s">
        <v>17</v>
      </c>
      <c r="F298">
        <v>600</v>
      </c>
      <c r="G298">
        <v>1</v>
      </c>
      <c r="H298">
        <v>600</v>
      </c>
      <c r="I298">
        <v>600</v>
      </c>
    </row>
    <row r="299" spans="1:9" x14ac:dyDescent="0.3">
      <c r="A299">
        <v>305</v>
      </c>
      <c r="B299" s="24">
        <v>43770</v>
      </c>
      <c r="C299" t="s">
        <v>81</v>
      </c>
      <c r="D299" t="s">
        <v>21</v>
      </c>
      <c r="E299" t="s">
        <v>20</v>
      </c>
      <c r="F299">
        <v>1200</v>
      </c>
      <c r="G299">
        <v>1</v>
      </c>
      <c r="H299">
        <v>1200</v>
      </c>
      <c r="I299">
        <v>1200</v>
      </c>
    </row>
    <row r="300" spans="1:9" x14ac:dyDescent="0.3">
      <c r="A300">
        <v>306</v>
      </c>
      <c r="B300" s="24">
        <v>43771</v>
      </c>
      <c r="C300" t="s">
        <v>81</v>
      </c>
      <c r="D300" t="s">
        <v>24</v>
      </c>
      <c r="E300" t="s">
        <v>23</v>
      </c>
      <c r="F300">
        <v>600</v>
      </c>
      <c r="G300">
        <v>1</v>
      </c>
      <c r="H300">
        <v>600</v>
      </c>
      <c r="I300">
        <v>600</v>
      </c>
    </row>
    <row r="301" spans="1:9" x14ac:dyDescent="0.3">
      <c r="A301">
        <v>307</v>
      </c>
      <c r="B301" s="24">
        <v>43772</v>
      </c>
      <c r="C301" t="s">
        <v>81</v>
      </c>
      <c r="D301" t="s">
        <v>10</v>
      </c>
      <c r="E301" t="s">
        <v>11</v>
      </c>
      <c r="F301">
        <v>1100</v>
      </c>
      <c r="G301">
        <v>1</v>
      </c>
      <c r="H301">
        <v>1100</v>
      </c>
      <c r="I301">
        <v>1100</v>
      </c>
    </row>
    <row r="302" spans="1:9" x14ac:dyDescent="0.3">
      <c r="A302">
        <v>308</v>
      </c>
      <c r="B302" s="24">
        <v>43773</v>
      </c>
      <c r="C302" t="s">
        <v>81</v>
      </c>
      <c r="D302" t="s">
        <v>22</v>
      </c>
      <c r="E302" t="s">
        <v>23</v>
      </c>
      <c r="F302">
        <v>500</v>
      </c>
      <c r="G302">
        <v>1</v>
      </c>
      <c r="H302">
        <v>500</v>
      </c>
      <c r="I302">
        <v>500</v>
      </c>
    </row>
    <row r="303" spans="1:9" x14ac:dyDescent="0.3">
      <c r="A303">
        <v>309</v>
      </c>
      <c r="B303" s="24">
        <v>43774</v>
      </c>
      <c r="C303" t="s">
        <v>81</v>
      </c>
      <c r="D303" t="s">
        <v>12</v>
      </c>
      <c r="E303" t="s">
        <v>11</v>
      </c>
      <c r="F303">
        <v>900</v>
      </c>
      <c r="G303">
        <v>1</v>
      </c>
      <c r="H303">
        <v>900</v>
      </c>
      <c r="I303">
        <v>765</v>
      </c>
    </row>
    <row r="304" spans="1:9" x14ac:dyDescent="0.3">
      <c r="A304">
        <v>310</v>
      </c>
      <c r="B304" s="24">
        <v>43775</v>
      </c>
      <c r="C304" t="s">
        <v>81</v>
      </c>
      <c r="D304" t="s">
        <v>19</v>
      </c>
      <c r="E304" t="s">
        <v>20</v>
      </c>
      <c r="F304">
        <v>850</v>
      </c>
      <c r="G304">
        <v>1</v>
      </c>
      <c r="H304">
        <v>850</v>
      </c>
      <c r="I304">
        <v>850</v>
      </c>
    </row>
    <row r="305" spans="1:9" x14ac:dyDescent="0.3">
      <c r="A305">
        <v>311</v>
      </c>
      <c r="B305" s="24">
        <v>43776</v>
      </c>
      <c r="C305" t="s">
        <v>81</v>
      </c>
      <c r="D305" t="s">
        <v>18</v>
      </c>
      <c r="E305" t="s">
        <v>17</v>
      </c>
      <c r="F305">
        <v>600</v>
      </c>
      <c r="G305">
        <v>1</v>
      </c>
      <c r="H305">
        <v>600</v>
      </c>
      <c r="I305">
        <v>600</v>
      </c>
    </row>
    <row r="306" spans="1:9" x14ac:dyDescent="0.3">
      <c r="A306">
        <v>312</v>
      </c>
      <c r="B306" s="24">
        <v>43777</v>
      </c>
      <c r="C306" t="s">
        <v>81</v>
      </c>
      <c r="D306" t="s">
        <v>10</v>
      </c>
      <c r="E306" t="s">
        <v>11</v>
      </c>
      <c r="F306">
        <v>1100</v>
      </c>
      <c r="G306">
        <v>1</v>
      </c>
      <c r="H306">
        <v>1100</v>
      </c>
      <c r="I306">
        <v>1100</v>
      </c>
    </row>
    <row r="307" spans="1:9" x14ac:dyDescent="0.3">
      <c r="A307">
        <v>313</v>
      </c>
      <c r="B307" s="24">
        <v>43778</v>
      </c>
      <c r="C307" t="s">
        <v>81</v>
      </c>
      <c r="D307" t="s">
        <v>22</v>
      </c>
      <c r="E307" t="s">
        <v>23</v>
      </c>
      <c r="F307">
        <v>500</v>
      </c>
      <c r="G307">
        <v>1</v>
      </c>
      <c r="H307">
        <v>500</v>
      </c>
      <c r="I307">
        <v>500</v>
      </c>
    </row>
    <row r="308" spans="1:9" x14ac:dyDescent="0.3">
      <c r="A308">
        <v>314</v>
      </c>
      <c r="B308" s="24">
        <v>43779</v>
      </c>
      <c r="C308" t="s">
        <v>81</v>
      </c>
      <c r="D308" t="s">
        <v>18</v>
      </c>
      <c r="E308" t="s">
        <v>17</v>
      </c>
      <c r="F308">
        <v>600</v>
      </c>
      <c r="G308">
        <v>1</v>
      </c>
      <c r="H308">
        <v>600</v>
      </c>
      <c r="I308">
        <v>600</v>
      </c>
    </row>
    <row r="309" spans="1:9" x14ac:dyDescent="0.3">
      <c r="A309">
        <v>315</v>
      </c>
      <c r="B309" s="24">
        <v>43780</v>
      </c>
      <c r="C309" t="s">
        <v>81</v>
      </c>
      <c r="D309" t="s">
        <v>15</v>
      </c>
      <c r="E309" t="s">
        <v>11</v>
      </c>
      <c r="F309">
        <v>1000</v>
      </c>
      <c r="G309">
        <v>1</v>
      </c>
      <c r="H309">
        <v>1000</v>
      </c>
      <c r="I309">
        <v>1000</v>
      </c>
    </row>
    <row r="310" spans="1:9" x14ac:dyDescent="0.3">
      <c r="A310">
        <v>325</v>
      </c>
      <c r="B310" s="24">
        <v>43790</v>
      </c>
      <c r="C310" t="s">
        <v>81</v>
      </c>
      <c r="D310" t="s">
        <v>18</v>
      </c>
      <c r="E310" t="s">
        <v>17</v>
      </c>
      <c r="F310">
        <v>600</v>
      </c>
      <c r="G310">
        <v>1</v>
      </c>
      <c r="H310">
        <v>600</v>
      </c>
      <c r="I310">
        <v>600</v>
      </c>
    </row>
    <row r="311" spans="1:9" x14ac:dyDescent="0.3">
      <c r="A311">
        <v>326</v>
      </c>
      <c r="B311" s="24">
        <v>43791</v>
      </c>
      <c r="C311" t="s">
        <v>81</v>
      </c>
      <c r="D311" t="s">
        <v>10</v>
      </c>
      <c r="E311" t="s">
        <v>11</v>
      </c>
      <c r="F311">
        <v>1100</v>
      </c>
      <c r="G311">
        <v>1</v>
      </c>
      <c r="H311">
        <v>1100</v>
      </c>
      <c r="I311">
        <v>1100</v>
      </c>
    </row>
    <row r="312" spans="1:9" x14ac:dyDescent="0.3">
      <c r="A312">
        <v>327</v>
      </c>
      <c r="B312" s="24">
        <v>43792</v>
      </c>
      <c r="C312" t="s">
        <v>81</v>
      </c>
      <c r="D312" t="s">
        <v>15</v>
      </c>
      <c r="E312" t="s">
        <v>11</v>
      </c>
      <c r="F312">
        <v>1000</v>
      </c>
      <c r="G312">
        <v>1</v>
      </c>
      <c r="H312">
        <v>1000</v>
      </c>
      <c r="I312">
        <v>1000</v>
      </c>
    </row>
    <row r="313" spans="1:9" x14ac:dyDescent="0.3">
      <c r="A313">
        <v>328</v>
      </c>
      <c r="B313" s="24">
        <v>43793</v>
      </c>
      <c r="C313" t="s">
        <v>81</v>
      </c>
      <c r="D313" t="s">
        <v>10</v>
      </c>
      <c r="E313" t="s">
        <v>11</v>
      </c>
      <c r="F313">
        <v>1100</v>
      </c>
      <c r="G313">
        <v>1</v>
      </c>
      <c r="H313">
        <v>1100</v>
      </c>
      <c r="I313">
        <v>1100</v>
      </c>
    </row>
    <row r="314" spans="1:9" x14ac:dyDescent="0.3">
      <c r="A314">
        <v>329</v>
      </c>
      <c r="B314" s="24">
        <v>43794</v>
      </c>
      <c r="C314" t="s">
        <v>81</v>
      </c>
      <c r="D314" t="s">
        <v>21</v>
      </c>
      <c r="E314" t="s">
        <v>20</v>
      </c>
      <c r="F314">
        <v>1200</v>
      </c>
      <c r="G314">
        <v>1</v>
      </c>
      <c r="H314">
        <v>1200</v>
      </c>
      <c r="I314">
        <v>1200</v>
      </c>
    </row>
    <row r="315" spans="1:9" x14ac:dyDescent="0.3">
      <c r="A315">
        <v>330</v>
      </c>
      <c r="B315" s="24">
        <v>43795</v>
      </c>
      <c r="C315" t="s">
        <v>81</v>
      </c>
      <c r="D315" t="s">
        <v>14</v>
      </c>
      <c r="E315" t="s">
        <v>11</v>
      </c>
      <c r="F315">
        <v>900</v>
      </c>
      <c r="G315">
        <v>1</v>
      </c>
      <c r="H315">
        <v>900</v>
      </c>
      <c r="I315">
        <v>900</v>
      </c>
    </row>
    <row r="316" spans="1:9" x14ac:dyDescent="0.3">
      <c r="A316">
        <v>331</v>
      </c>
      <c r="B316" s="24">
        <v>43796</v>
      </c>
      <c r="C316" t="s">
        <v>81</v>
      </c>
      <c r="D316" t="s">
        <v>24</v>
      </c>
      <c r="E316" t="s">
        <v>23</v>
      </c>
      <c r="F316">
        <v>600</v>
      </c>
      <c r="G316">
        <v>1</v>
      </c>
      <c r="H316">
        <v>600</v>
      </c>
      <c r="I316">
        <v>600</v>
      </c>
    </row>
    <row r="317" spans="1:9" x14ac:dyDescent="0.3">
      <c r="A317">
        <v>332</v>
      </c>
      <c r="B317" s="24">
        <v>43797</v>
      </c>
      <c r="C317" t="s">
        <v>81</v>
      </c>
      <c r="D317" t="s">
        <v>10</v>
      </c>
      <c r="E317" t="s">
        <v>11</v>
      </c>
      <c r="F317">
        <v>1100</v>
      </c>
      <c r="G317">
        <v>2</v>
      </c>
      <c r="H317">
        <v>2200</v>
      </c>
      <c r="I317">
        <v>2200</v>
      </c>
    </row>
    <row r="318" spans="1:9" x14ac:dyDescent="0.3">
      <c r="A318">
        <v>333</v>
      </c>
      <c r="B318" s="24">
        <v>43798</v>
      </c>
      <c r="C318" t="s">
        <v>81</v>
      </c>
      <c r="D318" t="s">
        <v>15</v>
      </c>
      <c r="E318" t="s">
        <v>11</v>
      </c>
      <c r="F318">
        <v>1000</v>
      </c>
      <c r="G318">
        <v>1</v>
      </c>
      <c r="H318">
        <v>1000</v>
      </c>
      <c r="I318">
        <v>1000</v>
      </c>
    </row>
    <row r="319" spans="1:9" x14ac:dyDescent="0.3">
      <c r="A319">
        <v>334</v>
      </c>
      <c r="B319" s="24">
        <v>43799</v>
      </c>
      <c r="C319" t="s">
        <v>81</v>
      </c>
      <c r="D319" t="s">
        <v>15</v>
      </c>
      <c r="E319" t="s">
        <v>11</v>
      </c>
      <c r="F319">
        <v>1000</v>
      </c>
      <c r="G319">
        <v>1</v>
      </c>
      <c r="H319">
        <v>1000</v>
      </c>
      <c r="I319">
        <v>1000</v>
      </c>
    </row>
    <row r="320" spans="1:9" x14ac:dyDescent="0.3">
      <c r="A320">
        <v>335</v>
      </c>
      <c r="B320" s="24">
        <v>43800</v>
      </c>
      <c r="C320" t="s">
        <v>81</v>
      </c>
      <c r="D320" t="s">
        <v>22</v>
      </c>
      <c r="E320" t="s">
        <v>23</v>
      </c>
      <c r="F320">
        <v>500</v>
      </c>
      <c r="G320">
        <v>1</v>
      </c>
      <c r="H320">
        <v>500</v>
      </c>
      <c r="I320">
        <v>500</v>
      </c>
    </row>
    <row r="321" spans="1:9" x14ac:dyDescent="0.3">
      <c r="A321">
        <v>336</v>
      </c>
      <c r="B321" s="24">
        <v>43801</v>
      </c>
      <c r="C321" t="s">
        <v>81</v>
      </c>
      <c r="D321" t="s">
        <v>15</v>
      </c>
      <c r="E321" t="s">
        <v>11</v>
      </c>
      <c r="F321">
        <v>1000</v>
      </c>
      <c r="G321">
        <v>1</v>
      </c>
      <c r="H321">
        <v>1000</v>
      </c>
      <c r="I321">
        <v>1000</v>
      </c>
    </row>
    <row r="322" spans="1:9" x14ac:dyDescent="0.3">
      <c r="A322">
        <v>337</v>
      </c>
      <c r="B322" s="24">
        <v>43802</v>
      </c>
      <c r="C322" t="s">
        <v>81</v>
      </c>
      <c r="D322" t="s">
        <v>21</v>
      </c>
      <c r="E322" t="s">
        <v>20</v>
      </c>
      <c r="F322">
        <v>1200</v>
      </c>
      <c r="G322">
        <v>1</v>
      </c>
      <c r="H322">
        <v>1200</v>
      </c>
      <c r="I322">
        <v>1200</v>
      </c>
    </row>
    <row r="323" spans="1:9" x14ac:dyDescent="0.3">
      <c r="A323">
        <v>338</v>
      </c>
      <c r="B323" s="24">
        <v>43803</v>
      </c>
      <c r="C323" t="s">
        <v>81</v>
      </c>
      <c r="D323" t="s">
        <v>21</v>
      </c>
      <c r="E323" t="s">
        <v>20</v>
      </c>
      <c r="F323">
        <v>1000</v>
      </c>
      <c r="G323">
        <v>1</v>
      </c>
      <c r="H323">
        <v>1000</v>
      </c>
      <c r="I323">
        <v>1000</v>
      </c>
    </row>
    <row r="324" spans="1:9" x14ac:dyDescent="0.3">
      <c r="A324">
        <v>339</v>
      </c>
      <c r="B324" s="24">
        <v>43804</v>
      </c>
      <c r="C324" t="s">
        <v>81</v>
      </c>
      <c r="D324" t="s">
        <v>12</v>
      </c>
      <c r="E324" t="s">
        <v>11</v>
      </c>
      <c r="F324">
        <v>1000</v>
      </c>
      <c r="G324">
        <v>1</v>
      </c>
      <c r="H324">
        <v>1000</v>
      </c>
      <c r="I324">
        <v>850</v>
      </c>
    </row>
    <row r="325" spans="1:9" x14ac:dyDescent="0.3">
      <c r="A325">
        <v>340</v>
      </c>
      <c r="B325" s="24">
        <v>43805</v>
      </c>
      <c r="C325" t="s">
        <v>81</v>
      </c>
      <c r="D325" t="s">
        <v>15</v>
      </c>
      <c r="E325" t="s">
        <v>11</v>
      </c>
      <c r="F325">
        <v>1000</v>
      </c>
      <c r="G325">
        <v>1</v>
      </c>
      <c r="H325">
        <v>1000</v>
      </c>
      <c r="I325">
        <v>1000</v>
      </c>
    </row>
    <row r="326" spans="1:9" x14ac:dyDescent="0.3">
      <c r="A326">
        <v>341</v>
      </c>
      <c r="B326" s="24">
        <v>43806</v>
      </c>
      <c r="C326" t="s">
        <v>81</v>
      </c>
      <c r="D326" t="s">
        <v>18</v>
      </c>
      <c r="E326" t="s">
        <v>17</v>
      </c>
      <c r="F326">
        <v>650</v>
      </c>
      <c r="G326">
        <v>1</v>
      </c>
      <c r="H326">
        <v>650</v>
      </c>
      <c r="I326">
        <v>650</v>
      </c>
    </row>
    <row r="327" spans="1:9" x14ac:dyDescent="0.3">
      <c r="A327">
        <v>342</v>
      </c>
      <c r="B327" s="24">
        <v>43807</v>
      </c>
      <c r="C327" t="s">
        <v>81</v>
      </c>
      <c r="D327" t="s">
        <v>18</v>
      </c>
      <c r="E327" t="s">
        <v>17</v>
      </c>
      <c r="F327">
        <v>650</v>
      </c>
      <c r="G327">
        <v>1</v>
      </c>
      <c r="H327">
        <v>650</v>
      </c>
      <c r="I327">
        <v>650</v>
      </c>
    </row>
    <row r="328" spans="1:9" x14ac:dyDescent="0.3">
      <c r="A328">
        <v>343</v>
      </c>
      <c r="B328" s="24">
        <v>43808</v>
      </c>
      <c r="C328" t="s">
        <v>81</v>
      </c>
      <c r="D328" t="s">
        <v>15</v>
      </c>
      <c r="E328" t="s">
        <v>11</v>
      </c>
      <c r="F328">
        <v>1000</v>
      </c>
      <c r="G328">
        <v>1</v>
      </c>
      <c r="H328">
        <v>1000</v>
      </c>
      <c r="I328">
        <v>1000</v>
      </c>
    </row>
    <row r="329" spans="1:9" x14ac:dyDescent="0.3">
      <c r="A329">
        <v>344</v>
      </c>
      <c r="B329" s="24">
        <v>43809</v>
      </c>
      <c r="C329" t="s">
        <v>81</v>
      </c>
      <c r="D329" t="s">
        <v>14</v>
      </c>
      <c r="E329" t="s">
        <v>11</v>
      </c>
      <c r="F329">
        <v>900</v>
      </c>
      <c r="G329">
        <v>2</v>
      </c>
      <c r="H329">
        <v>1800</v>
      </c>
      <c r="I329">
        <v>1800</v>
      </c>
    </row>
    <row r="330" spans="1:9" x14ac:dyDescent="0.3">
      <c r="A330">
        <v>345</v>
      </c>
      <c r="B330" s="24">
        <v>43810</v>
      </c>
      <c r="C330" t="s">
        <v>81</v>
      </c>
      <c r="D330" t="s">
        <v>10</v>
      </c>
      <c r="E330" t="s">
        <v>11</v>
      </c>
      <c r="F330">
        <v>1100</v>
      </c>
      <c r="G330">
        <v>2</v>
      </c>
      <c r="H330">
        <v>2200</v>
      </c>
      <c r="I330">
        <v>2200</v>
      </c>
    </row>
    <row r="331" spans="1:9" x14ac:dyDescent="0.3">
      <c r="A331">
        <v>347</v>
      </c>
      <c r="B331" s="24">
        <v>43812</v>
      </c>
      <c r="C331" t="s">
        <v>81</v>
      </c>
      <c r="D331" t="s">
        <v>22</v>
      </c>
      <c r="E331" t="s">
        <v>23</v>
      </c>
      <c r="F331">
        <v>800</v>
      </c>
      <c r="G331">
        <v>1</v>
      </c>
      <c r="H331">
        <v>800</v>
      </c>
      <c r="I331">
        <v>800</v>
      </c>
    </row>
    <row r="332" spans="1:9" x14ac:dyDescent="0.3">
      <c r="A332">
        <v>348</v>
      </c>
      <c r="B332" s="24">
        <v>43813</v>
      </c>
      <c r="C332" t="s">
        <v>81</v>
      </c>
      <c r="D332" t="s">
        <v>10</v>
      </c>
      <c r="E332" t="s">
        <v>11</v>
      </c>
      <c r="F332">
        <v>1100</v>
      </c>
      <c r="G332">
        <v>1</v>
      </c>
      <c r="H332">
        <v>1100</v>
      </c>
      <c r="I332">
        <v>1100</v>
      </c>
    </row>
    <row r="333" spans="1:9" x14ac:dyDescent="0.3">
      <c r="A333">
        <v>349</v>
      </c>
      <c r="B333" s="24">
        <v>43814</v>
      </c>
      <c r="C333" t="s">
        <v>81</v>
      </c>
      <c r="D333" t="s">
        <v>24</v>
      </c>
      <c r="E333" t="s">
        <v>23</v>
      </c>
      <c r="F333">
        <v>600</v>
      </c>
      <c r="G333">
        <v>1</v>
      </c>
      <c r="H333">
        <v>600</v>
      </c>
      <c r="I333">
        <v>600</v>
      </c>
    </row>
    <row r="334" spans="1:9" x14ac:dyDescent="0.3">
      <c r="A334">
        <v>354</v>
      </c>
      <c r="B334" s="24">
        <v>43819</v>
      </c>
      <c r="C334" t="s">
        <v>81</v>
      </c>
      <c r="D334" t="s">
        <v>10</v>
      </c>
      <c r="E334" t="s">
        <v>11</v>
      </c>
      <c r="F334">
        <v>1100</v>
      </c>
      <c r="G334">
        <v>1</v>
      </c>
      <c r="H334">
        <v>1100</v>
      </c>
      <c r="I334">
        <v>1100</v>
      </c>
    </row>
    <row r="335" spans="1:9" x14ac:dyDescent="0.3">
      <c r="A335">
        <v>355</v>
      </c>
      <c r="B335" s="24">
        <v>43820</v>
      </c>
      <c r="C335" t="s">
        <v>81</v>
      </c>
      <c r="D335" t="s">
        <v>15</v>
      </c>
      <c r="E335" t="s">
        <v>11</v>
      </c>
      <c r="F335">
        <v>1000</v>
      </c>
      <c r="G335">
        <v>1</v>
      </c>
      <c r="H335">
        <v>1000</v>
      </c>
      <c r="I335">
        <v>1000</v>
      </c>
    </row>
    <row r="336" spans="1:9" x14ac:dyDescent="0.3">
      <c r="A336">
        <v>356</v>
      </c>
      <c r="B336" s="24">
        <v>43821</v>
      </c>
      <c r="C336" t="s">
        <v>81</v>
      </c>
      <c r="D336" t="s">
        <v>14</v>
      </c>
      <c r="E336" t="s">
        <v>11</v>
      </c>
      <c r="F336">
        <v>900</v>
      </c>
      <c r="G336">
        <v>1</v>
      </c>
      <c r="H336">
        <v>900</v>
      </c>
      <c r="I336">
        <v>900</v>
      </c>
    </row>
    <row r="337" spans="1:9" x14ac:dyDescent="0.3">
      <c r="A337">
        <v>357</v>
      </c>
      <c r="B337" s="24">
        <v>43822</v>
      </c>
      <c r="C337" t="s">
        <v>81</v>
      </c>
      <c r="D337" t="s">
        <v>24</v>
      </c>
      <c r="E337" t="s">
        <v>23</v>
      </c>
      <c r="F337">
        <v>600</v>
      </c>
      <c r="G337">
        <v>1</v>
      </c>
      <c r="H337">
        <v>600</v>
      </c>
      <c r="I337">
        <v>600</v>
      </c>
    </row>
    <row r="338" spans="1:9" x14ac:dyDescent="0.3">
      <c r="A338">
        <v>358</v>
      </c>
      <c r="B338" s="24">
        <v>43823</v>
      </c>
      <c r="C338" t="s">
        <v>81</v>
      </c>
      <c r="D338" t="s">
        <v>14</v>
      </c>
      <c r="E338" t="s">
        <v>11</v>
      </c>
      <c r="F338">
        <v>900</v>
      </c>
      <c r="G338">
        <v>1</v>
      </c>
      <c r="H338">
        <v>900</v>
      </c>
      <c r="I338">
        <v>900</v>
      </c>
    </row>
    <row r="339" spans="1:9" x14ac:dyDescent="0.3">
      <c r="A339">
        <v>359</v>
      </c>
      <c r="B339" s="24">
        <v>43824</v>
      </c>
      <c r="C339" t="s">
        <v>81</v>
      </c>
      <c r="D339" t="s">
        <v>18</v>
      </c>
      <c r="E339" t="s">
        <v>17</v>
      </c>
      <c r="F339">
        <v>600</v>
      </c>
      <c r="G339">
        <v>1</v>
      </c>
      <c r="H339">
        <v>600</v>
      </c>
      <c r="I339">
        <v>600</v>
      </c>
    </row>
    <row r="340" spans="1:9" x14ac:dyDescent="0.3">
      <c r="A340">
        <v>360</v>
      </c>
      <c r="B340" s="24">
        <v>43825</v>
      </c>
      <c r="C340" t="s">
        <v>81</v>
      </c>
      <c r="D340" t="s">
        <v>12</v>
      </c>
      <c r="E340" t="s">
        <v>11</v>
      </c>
      <c r="F340">
        <v>900</v>
      </c>
      <c r="G340">
        <v>1</v>
      </c>
      <c r="H340">
        <v>900</v>
      </c>
      <c r="I340">
        <v>765</v>
      </c>
    </row>
    <row r="341" spans="1:9" x14ac:dyDescent="0.3">
      <c r="A341">
        <v>361</v>
      </c>
      <c r="B341" s="24">
        <v>43826</v>
      </c>
      <c r="C341" t="s">
        <v>81</v>
      </c>
      <c r="D341" t="s">
        <v>18</v>
      </c>
      <c r="E341" t="s">
        <v>17</v>
      </c>
      <c r="F341">
        <v>600</v>
      </c>
      <c r="G341">
        <v>1</v>
      </c>
      <c r="H341">
        <v>600</v>
      </c>
      <c r="I341">
        <v>600</v>
      </c>
    </row>
    <row r="342" spans="1:9" x14ac:dyDescent="0.3">
      <c r="A342">
        <v>362</v>
      </c>
      <c r="B342" s="24">
        <v>43827</v>
      </c>
      <c r="C342" t="s">
        <v>81</v>
      </c>
      <c r="D342" t="s">
        <v>14</v>
      </c>
      <c r="E342" t="s">
        <v>11</v>
      </c>
      <c r="F342">
        <v>900</v>
      </c>
      <c r="G342">
        <v>1</v>
      </c>
      <c r="H342">
        <v>900</v>
      </c>
      <c r="I342">
        <v>900</v>
      </c>
    </row>
    <row r="343" spans="1:9" x14ac:dyDescent="0.3">
      <c r="A343">
        <v>363</v>
      </c>
      <c r="B343" s="24">
        <v>43828</v>
      </c>
      <c r="C343" t="s">
        <v>81</v>
      </c>
      <c r="D343" t="s">
        <v>24</v>
      </c>
      <c r="E343" t="s">
        <v>23</v>
      </c>
      <c r="F343">
        <v>600</v>
      </c>
      <c r="G343">
        <v>1</v>
      </c>
      <c r="H343">
        <v>600</v>
      </c>
      <c r="I343">
        <v>600</v>
      </c>
    </row>
    <row r="344" spans="1:9" x14ac:dyDescent="0.3">
      <c r="A344">
        <v>364</v>
      </c>
      <c r="B344" s="24">
        <v>43829</v>
      </c>
      <c r="C344" t="s">
        <v>81</v>
      </c>
      <c r="D344" t="s">
        <v>10</v>
      </c>
      <c r="E344" t="s">
        <v>11</v>
      </c>
      <c r="F344">
        <v>1100</v>
      </c>
      <c r="G344">
        <v>2</v>
      </c>
      <c r="H344">
        <v>2200</v>
      </c>
      <c r="I344">
        <v>2200</v>
      </c>
    </row>
    <row r="345" spans="1:9" x14ac:dyDescent="0.3">
      <c r="A345">
        <v>365</v>
      </c>
      <c r="B345" s="24">
        <v>43830</v>
      </c>
      <c r="C345" t="s">
        <v>81</v>
      </c>
      <c r="D345" t="s">
        <v>10</v>
      </c>
      <c r="E345" t="s">
        <v>11</v>
      </c>
      <c r="F345">
        <v>1100</v>
      </c>
      <c r="G345">
        <v>1</v>
      </c>
      <c r="H345">
        <v>1100</v>
      </c>
      <c r="I345">
        <v>1100</v>
      </c>
    </row>
    <row r="346" spans="1:9" x14ac:dyDescent="0.3">
      <c r="A346">
        <v>11</v>
      </c>
      <c r="B346" s="24">
        <v>43476</v>
      </c>
      <c r="C346" t="s">
        <v>80</v>
      </c>
      <c r="D346" t="s">
        <v>12</v>
      </c>
      <c r="E346" t="s">
        <v>11</v>
      </c>
      <c r="F346">
        <v>900</v>
      </c>
      <c r="G346">
        <v>1</v>
      </c>
      <c r="H346">
        <v>900</v>
      </c>
      <c r="I346">
        <v>765</v>
      </c>
    </row>
    <row r="347" spans="1:9" x14ac:dyDescent="0.3">
      <c r="A347">
        <v>12</v>
      </c>
      <c r="B347" s="24">
        <v>43477</v>
      </c>
      <c r="C347" t="s">
        <v>80</v>
      </c>
      <c r="D347" t="s">
        <v>12</v>
      </c>
      <c r="E347" t="s">
        <v>11</v>
      </c>
      <c r="F347">
        <v>900</v>
      </c>
      <c r="G347">
        <v>1</v>
      </c>
      <c r="H347">
        <v>900</v>
      </c>
      <c r="I347">
        <v>765</v>
      </c>
    </row>
    <row r="348" spans="1:9" x14ac:dyDescent="0.3">
      <c r="A348">
        <v>13</v>
      </c>
      <c r="B348" s="24">
        <v>43478</v>
      </c>
      <c r="C348" t="s">
        <v>80</v>
      </c>
      <c r="D348" t="s">
        <v>12</v>
      </c>
      <c r="E348" t="s">
        <v>11</v>
      </c>
      <c r="F348">
        <v>900</v>
      </c>
      <c r="G348">
        <v>2</v>
      </c>
      <c r="H348">
        <v>1800</v>
      </c>
      <c r="I348">
        <v>1530</v>
      </c>
    </row>
    <row r="349" spans="1:9" x14ac:dyDescent="0.3">
      <c r="A349">
        <v>14</v>
      </c>
      <c r="B349" s="24">
        <v>43479</v>
      </c>
      <c r="C349" t="s">
        <v>80</v>
      </c>
      <c r="D349" t="s">
        <v>12</v>
      </c>
      <c r="E349" t="s">
        <v>11</v>
      </c>
      <c r="F349">
        <v>900</v>
      </c>
      <c r="G349">
        <v>1</v>
      </c>
      <c r="H349">
        <v>900</v>
      </c>
      <c r="I349">
        <v>765</v>
      </c>
    </row>
    <row r="350" spans="1:9" x14ac:dyDescent="0.3">
      <c r="A350">
        <v>15</v>
      </c>
      <c r="B350" s="24">
        <v>43480</v>
      </c>
      <c r="C350" t="s">
        <v>80</v>
      </c>
      <c r="D350" t="s">
        <v>12</v>
      </c>
      <c r="E350" t="s">
        <v>11</v>
      </c>
      <c r="F350">
        <v>900</v>
      </c>
      <c r="G350">
        <v>1</v>
      </c>
      <c r="H350">
        <v>900</v>
      </c>
      <c r="I350">
        <v>765</v>
      </c>
    </row>
    <row r="351" spans="1:9" x14ac:dyDescent="0.3">
      <c r="A351">
        <v>16</v>
      </c>
      <c r="B351" s="24">
        <v>43481</v>
      </c>
      <c r="C351" t="s">
        <v>80</v>
      </c>
      <c r="D351" t="s">
        <v>10</v>
      </c>
      <c r="E351" t="s">
        <v>11</v>
      </c>
      <c r="F351">
        <v>1100</v>
      </c>
      <c r="G351">
        <v>1</v>
      </c>
      <c r="H351">
        <v>1100</v>
      </c>
      <c r="I351">
        <v>1100</v>
      </c>
    </row>
    <row r="352" spans="1:9" x14ac:dyDescent="0.3">
      <c r="A352">
        <v>17</v>
      </c>
      <c r="B352" s="24">
        <v>43482</v>
      </c>
      <c r="C352" t="s">
        <v>80</v>
      </c>
      <c r="D352" t="s">
        <v>12</v>
      </c>
      <c r="E352" t="s">
        <v>11</v>
      </c>
      <c r="F352">
        <v>900</v>
      </c>
      <c r="G352">
        <v>1</v>
      </c>
      <c r="H352">
        <v>900</v>
      </c>
      <c r="I352">
        <v>765</v>
      </c>
    </row>
    <row r="353" spans="1:9" x14ac:dyDescent="0.3">
      <c r="A353">
        <v>18</v>
      </c>
      <c r="B353" s="24">
        <v>43483</v>
      </c>
      <c r="C353" t="s">
        <v>80</v>
      </c>
      <c r="D353" t="s">
        <v>10</v>
      </c>
      <c r="E353" t="s">
        <v>11</v>
      </c>
      <c r="F353">
        <v>1100</v>
      </c>
      <c r="G353">
        <v>2</v>
      </c>
      <c r="H353">
        <v>2200</v>
      </c>
      <c r="I353">
        <v>2200</v>
      </c>
    </row>
    <row r="354" spans="1:9" x14ac:dyDescent="0.3">
      <c r="A354">
        <v>19</v>
      </c>
      <c r="B354" s="24">
        <v>43484</v>
      </c>
      <c r="C354" t="s">
        <v>80</v>
      </c>
      <c r="D354" t="s">
        <v>10</v>
      </c>
      <c r="E354" t="s">
        <v>11</v>
      </c>
      <c r="F354">
        <v>1100</v>
      </c>
      <c r="G354">
        <v>1</v>
      </c>
      <c r="H354">
        <v>1100</v>
      </c>
      <c r="I354">
        <v>1100</v>
      </c>
    </row>
    <row r="355" spans="1:9" x14ac:dyDescent="0.3">
      <c r="A355">
        <v>316</v>
      </c>
      <c r="B355" s="24">
        <v>43781</v>
      </c>
      <c r="C355" t="s">
        <v>80</v>
      </c>
      <c r="D355" t="s">
        <v>18</v>
      </c>
      <c r="E355" t="s">
        <v>17</v>
      </c>
      <c r="F355">
        <v>600</v>
      </c>
      <c r="G355">
        <v>1</v>
      </c>
      <c r="H355">
        <v>600</v>
      </c>
      <c r="I355">
        <v>600</v>
      </c>
    </row>
    <row r="356" spans="1:9" x14ac:dyDescent="0.3">
      <c r="A356">
        <v>317</v>
      </c>
      <c r="B356" s="24">
        <v>43782</v>
      </c>
      <c r="C356" t="s">
        <v>80</v>
      </c>
      <c r="D356" t="s">
        <v>10</v>
      </c>
      <c r="E356" t="s">
        <v>11</v>
      </c>
      <c r="F356">
        <v>1100</v>
      </c>
      <c r="G356">
        <v>1</v>
      </c>
      <c r="H356">
        <v>1100</v>
      </c>
      <c r="I356">
        <v>1100</v>
      </c>
    </row>
    <row r="357" spans="1:9" x14ac:dyDescent="0.3">
      <c r="A357">
        <v>318</v>
      </c>
      <c r="B357" s="24">
        <v>43783</v>
      </c>
      <c r="C357" t="s">
        <v>80</v>
      </c>
      <c r="D357" t="s">
        <v>22</v>
      </c>
      <c r="E357" t="s">
        <v>23</v>
      </c>
      <c r="F357">
        <v>500</v>
      </c>
      <c r="G357">
        <v>1</v>
      </c>
      <c r="H357">
        <v>500</v>
      </c>
      <c r="I357">
        <v>500</v>
      </c>
    </row>
    <row r="358" spans="1:9" x14ac:dyDescent="0.3">
      <c r="A358">
        <v>319</v>
      </c>
      <c r="B358" s="24">
        <v>43784</v>
      </c>
      <c r="C358" t="s">
        <v>80</v>
      </c>
      <c r="D358" t="s">
        <v>10</v>
      </c>
      <c r="E358" t="s">
        <v>11</v>
      </c>
      <c r="F358">
        <v>1100</v>
      </c>
      <c r="G358">
        <v>2</v>
      </c>
      <c r="H358">
        <v>2200</v>
      </c>
      <c r="I358">
        <v>2200</v>
      </c>
    </row>
    <row r="359" spans="1:9" x14ac:dyDescent="0.3">
      <c r="A359">
        <v>320</v>
      </c>
      <c r="B359" s="24">
        <v>43785</v>
      </c>
      <c r="C359" t="s">
        <v>80</v>
      </c>
      <c r="D359" t="s">
        <v>18</v>
      </c>
      <c r="E359" t="s">
        <v>17</v>
      </c>
      <c r="F359">
        <v>600</v>
      </c>
      <c r="G359">
        <v>1</v>
      </c>
      <c r="H359">
        <v>600</v>
      </c>
      <c r="I359">
        <v>600</v>
      </c>
    </row>
    <row r="360" spans="1:9" x14ac:dyDescent="0.3">
      <c r="A360">
        <v>321</v>
      </c>
      <c r="B360" s="24">
        <v>43786</v>
      </c>
      <c r="C360" t="s">
        <v>80</v>
      </c>
      <c r="D360" t="s">
        <v>16</v>
      </c>
      <c r="E360" t="s">
        <v>17</v>
      </c>
      <c r="F360">
        <v>800</v>
      </c>
      <c r="G360">
        <v>1</v>
      </c>
      <c r="H360">
        <v>800</v>
      </c>
      <c r="I360">
        <v>800</v>
      </c>
    </row>
    <row r="361" spans="1:9" x14ac:dyDescent="0.3">
      <c r="A361">
        <v>322</v>
      </c>
      <c r="B361" s="24">
        <v>43787</v>
      </c>
      <c r="C361" t="s">
        <v>80</v>
      </c>
      <c r="D361" t="s">
        <v>14</v>
      </c>
      <c r="E361" t="s">
        <v>11</v>
      </c>
      <c r="F361">
        <v>900</v>
      </c>
      <c r="G361">
        <v>1</v>
      </c>
      <c r="H361">
        <v>900</v>
      </c>
      <c r="I361">
        <v>900</v>
      </c>
    </row>
    <row r="362" spans="1:9" x14ac:dyDescent="0.3">
      <c r="A362">
        <v>323</v>
      </c>
      <c r="B362" s="24">
        <v>43788</v>
      </c>
      <c r="C362" t="s">
        <v>80</v>
      </c>
      <c r="D362" t="s">
        <v>24</v>
      </c>
      <c r="E362" t="s">
        <v>23</v>
      </c>
      <c r="F362">
        <v>600</v>
      </c>
      <c r="G362">
        <v>1</v>
      </c>
      <c r="H362">
        <v>600</v>
      </c>
      <c r="I362">
        <v>600</v>
      </c>
    </row>
    <row r="363" spans="1:9" x14ac:dyDescent="0.3">
      <c r="A363">
        <v>324</v>
      </c>
      <c r="B363" s="24">
        <v>43789</v>
      </c>
      <c r="C363" t="s">
        <v>80</v>
      </c>
      <c r="D363" t="s">
        <v>10</v>
      </c>
      <c r="E363" t="s">
        <v>11</v>
      </c>
      <c r="F363">
        <v>1100</v>
      </c>
      <c r="G363">
        <v>2</v>
      </c>
      <c r="H363">
        <v>2200</v>
      </c>
      <c r="I363">
        <v>2200</v>
      </c>
    </row>
    <row r="364" spans="1:9" x14ac:dyDescent="0.3">
      <c r="A364">
        <v>346</v>
      </c>
      <c r="B364" s="24">
        <v>43811</v>
      </c>
      <c r="C364" t="s">
        <v>80</v>
      </c>
      <c r="D364" t="s">
        <v>14</v>
      </c>
      <c r="E364" t="s">
        <v>11</v>
      </c>
      <c r="F364">
        <v>900</v>
      </c>
      <c r="G364">
        <v>2</v>
      </c>
      <c r="H364">
        <v>1800</v>
      </c>
      <c r="I364">
        <v>1800</v>
      </c>
    </row>
    <row r="365" spans="1:9" x14ac:dyDescent="0.3">
      <c r="A365">
        <v>350</v>
      </c>
      <c r="B365" s="24">
        <v>43815</v>
      </c>
      <c r="C365" t="s">
        <v>80</v>
      </c>
      <c r="D365" t="s">
        <v>10</v>
      </c>
      <c r="E365" t="s">
        <v>11</v>
      </c>
      <c r="F365">
        <v>1100</v>
      </c>
      <c r="G365">
        <v>3</v>
      </c>
      <c r="H365">
        <v>3300</v>
      </c>
      <c r="I365">
        <v>3300</v>
      </c>
    </row>
    <row r="366" spans="1:9" x14ac:dyDescent="0.3">
      <c r="A366">
        <v>351</v>
      </c>
      <c r="B366" s="24">
        <v>43816</v>
      </c>
      <c r="C366" t="s">
        <v>80</v>
      </c>
      <c r="D366" t="s">
        <v>19</v>
      </c>
      <c r="E366" t="s">
        <v>20</v>
      </c>
      <c r="F366">
        <v>850</v>
      </c>
      <c r="G366">
        <v>1</v>
      </c>
      <c r="H366">
        <v>850</v>
      </c>
      <c r="I366">
        <v>850</v>
      </c>
    </row>
    <row r="367" spans="1:9" x14ac:dyDescent="0.3">
      <c r="A367">
        <v>352</v>
      </c>
      <c r="B367" s="24">
        <v>43817</v>
      </c>
      <c r="C367" t="s">
        <v>80</v>
      </c>
      <c r="D367" t="s">
        <v>24</v>
      </c>
      <c r="E367" t="s">
        <v>23</v>
      </c>
      <c r="F367">
        <v>600</v>
      </c>
      <c r="G367">
        <v>1</v>
      </c>
      <c r="H367">
        <v>600</v>
      </c>
      <c r="I367">
        <v>600</v>
      </c>
    </row>
    <row r="368" spans="1:9" x14ac:dyDescent="0.3">
      <c r="A368">
        <v>353</v>
      </c>
      <c r="B368" s="24">
        <v>43818</v>
      </c>
      <c r="C368" t="s">
        <v>80</v>
      </c>
      <c r="D368" t="s">
        <v>24</v>
      </c>
      <c r="E368" t="s">
        <v>23</v>
      </c>
      <c r="F368">
        <v>600</v>
      </c>
      <c r="G368">
        <v>1</v>
      </c>
      <c r="H368">
        <v>600</v>
      </c>
      <c r="I368">
        <v>600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15894-1B9C-44AF-8226-20476359FBD4}">
  <dimension ref="A1:I1039"/>
  <sheetViews>
    <sheetView workbookViewId="0">
      <selection activeCell="A3" sqref="A3:I1039"/>
    </sheetView>
  </sheetViews>
  <sheetFormatPr defaultRowHeight="14.4" x14ac:dyDescent="0.3"/>
  <cols>
    <col min="1" max="1" width="12.5546875" bestFit="1" customWidth="1"/>
    <col min="2" max="2" width="12.6640625" bestFit="1" customWidth="1"/>
    <col min="3" max="3" width="17.109375" bestFit="1" customWidth="1"/>
    <col min="4" max="4" width="12.6640625" bestFit="1" customWidth="1"/>
    <col min="5" max="5" width="16.109375" bestFit="1" customWidth="1"/>
    <col min="6" max="6" width="13.21875" bestFit="1" customWidth="1"/>
    <col min="7" max="7" width="14.6640625" bestFit="1" customWidth="1"/>
    <col min="8" max="8" width="12.109375" bestFit="1" customWidth="1"/>
    <col min="9" max="9" width="20.6640625" bestFit="1" customWidth="1"/>
  </cols>
  <sheetData>
    <row r="1" spans="1:9" x14ac:dyDescent="0.3">
      <c r="A1" s="25" t="s">
        <v>95</v>
      </c>
    </row>
    <row r="3" spans="1:9" x14ac:dyDescent="0.3">
      <c r="A3" t="s">
        <v>1</v>
      </c>
      <c r="B3" t="s">
        <v>2</v>
      </c>
      <c r="C3" t="s">
        <v>3</v>
      </c>
      <c r="D3" t="s">
        <v>4</v>
      </c>
      <c r="E3" t="s">
        <v>5</v>
      </c>
      <c r="F3" t="s">
        <v>6</v>
      </c>
      <c r="G3" t="s">
        <v>7</v>
      </c>
      <c r="H3" t="s">
        <v>79</v>
      </c>
      <c r="I3" t="s">
        <v>82</v>
      </c>
    </row>
    <row r="4" spans="1:9" x14ac:dyDescent="0.3">
      <c r="A4">
        <v>1</v>
      </c>
      <c r="B4" s="24">
        <v>43466</v>
      </c>
      <c r="C4" t="s">
        <v>81</v>
      </c>
      <c r="D4" t="s">
        <v>10</v>
      </c>
      <c r="E4" t="s">
        <v>11</v>
      </c>
      <c r="F4">
        <v>1100</v>
      </c>
      <c r="G4">
        <v>1</v>
      </c>
      <c r="H4">
        <v>1100</v>
      </c>
      <c r="I4">
        <v>1100</v>
      </c>
    </row>
    <row r="5" spans="1:9" x14ac:dyDescent="0.3">
      <c r="A5">
        <v>2</v>
      </c>
      <c r="B5" s="24">
        <v>43467</v>
      </c>
      <c r="C5" t="s">
        <v>81</v>
      </c>
      <c r="D5" t="s">
        <v>10</v>
      </c>
      <c r="E5" t="s">
        <v>11</v>
      </c>
      <c r="F5">
        <v>1100</v>
      </c>
      <c r="G5">
        <v>1</v>
      </c>
      <c r="H5">
        <v>1100</v>
      </c>
      <c r="I5">
        <v>1100</v>
      </c>
    </row>
    <row r="6" spans="1:9" x14ac:dyDescent="0.3">
      <c r="A6">
        <v>3</v>
      </c>
      <c r="B6" s="24">
        <v>43468</v>
      </c>
      <c r="C6" t="s">
        <v>81</v>
      </c>
      <c r="D6" t="s">
        <v>10</v>
      </c>
      <c r="E6" t="s">
        <v>11</v>
      </c>
      <c r="F6">
        <v>1100</v>
      </c>
      <c r="G6">
        <v>1</v>
      </c>
      <c r="H6">
        <v>1100</v>
      </c>
      <c r="I6">
        <v>1100</v>
      </c>
    </row>
    <row r="7" spans="1:9" x14ac:dyDescent="0.3">
      <c r="A7">
        <v>4</v>
      </c>
      <c r="B7" s="24">
        <v>43469</v>
      </c>
      <c r="C7" t="s">
        <v>81</v>
      </c>
      <c r="D7" t="s">
        <v>10</v>
      </c>
      <c r="E7" t="s">
        <v>11</v>
      </c>
      <c r="F7">
        <v>1100</v>
      </c>
      <c r="G7">
        <v>1</v>
      </c>
      <c r="H7">
        <v>1100</v>
      </c>
      <c r="I7">
        <v>1100</v>
      </c>
    </row>
    <row r="8" spans="1:9" x14ac:dyDescent="0.3">
      <c r="A8">
        <v>5</v>
      </c>
      <c r="B8" s="24">
        <v>43470</v>
      </c>
      <c r="C8" t="s">
        <v>81</v>
      </c>
      <c r="D8" t="s">
        <v>10</v>
      </c>
      <c r="E8" t="s">
        <v>11</v>
      </c>
      <c r="F8">
        <v>1100</v>
      </c>
      <c r="G8">
        <v>1</v>
      </c>
      <c r="H8">
        <v>1100</v>
      </c>
      <c r="I8">
        <v>1100</v>
      </c>
    </row>
    <row r="9" spans="1:9" x14ac:dyDescent="0.3">
      <c r="A9">
        <v>6</v>
      </c>
      <c r="B9" s="24">
        <v>43471</v>
      </c>
      <c r="C9" t="s">
        <v>81</v>
      </c>
      <c r="D9" t="s">
        <v>10</v>
      </c>
      <c r="E9" t="s">
        <v>11</v>
      </c>
      <c r="F9">
        <v>1100</v>
      </c>
      <c r="G9">
        <v>1</v>
      </c>
      <c r="H9">
        <v>1100</v>
      </c>
      <c r="I9">
        <v>1100</v>
      </c>
    </row>
    <row r="10" spans="1:9" x14ac:dyDescent="0.3">
      <c r="A10">
        <v>7</v>
      </c>
      <c r="B10" s="24">
        <v>43472</v>
      </c>
      <c r="C10" t="s">
        <v>81</v>
      </c>
      <c r="D10" t="s">
        <v>10</v>
      </c>
      <c r="E10" t="s">
        <v>11</v>
      </c>
      <c r="F10">
        <v>1100</v>
      </c>
      <c r="G10">
        <v>2</v>
      </c>
      <c r="H10">
        <v>2200</v>
      </c>
      <c r="I10">
        <v>2200</v>
      </c>
    </row>
    <row r="11" spans="1:9" x14ac:dyDescent="0.3">
      <c r="A11">
        <v>8</v>
      </c>
      <c r="B11" s="24">
        <v>43473</v>
      </c>
      <c r="C11" t="s">
        <v>81</v>
      </c>
      <c r="D11" t="s">
        <v>10</v>
      </c>
      <c r="E11" t="s">
        <v>11</v>
      </c>
      <c r="F11">
        <v>1100</v>
      </c>
      <c r="G11">
        <v>1</v>
      </c>
      <c r="H11">
        <v>1100</v>
      </c>
      <c r="I11">
        <v>1100</v>
      </c>
    </row>
    <row r="12" spans="1:9" x14ac:dyDescent="0.3">
      <c r="A12">
        <v>9</v>
      </c>
      <c r="B12" s="24">
        <v>43474</v>
      </c>
      <c r="C12" t="s">
        <v>81</v>
      </c>
      <c r="D12" t="s">
        <v>10</v>
      </c>
      <c r="E12" t="s">
        <v>11</v>
      </c>
      <c r="F12">
        <v>1100</v>
      </c>
      <c r="G12">
        <v>1</v>
      </c>
      <c r="H12">
        <v>1100</v>
      </c>
      <c r="I12">
        <v>1100</v>
      </c>
    </row>
    <row r="13" spans="1:9" x14ac:dyDescent="0.3">
      <c r="A13">
        <v>10</v>
      </c>
      <c r="B13" s="24">
        <v>43475</v>
      </c>
      <c r="C13" t="s">
        <v>81</v>
      </c>
      <c r="D13" t="s">
        <v>12</v>
      </c>
      <c r="E13" t="s">
        <v>11</v>
      </c>
      <c r="F13">
        <v>900</v>
      </c>
      <c r="G13">
        <v>1</v>
      </c>
      <c r="H13">
        <v>900</v>
      </c>
      <c r="I13">
        <v>765</v>
      </c>
    </row>
    <row r="14" spans="1:9" x14ac:dyDescent="0.3">
      <c r="A14">
        <v>11</v>
      </c>
      <c r="B14" s="24">
        <v>43476</v>
      </c>
      <c r="C14" t="s">
        <v>80</v>
      </c>
      <c r="D14" t="s">
        <v>12</v>
      </c>
      <c r="E14" t="s">
        <v>11</v>
      </c>
      <c r="F14">
        <v>900</v>
      </c>
      <c r="G14">
        <v>1</v>
      </c>
      <c r="H14">
        <v>900</v>
      </c>
      <c r="I14">
        <v>765</v>
      </c>
    </row>
    <row r="15" spans="1:9" x14ac:dyDescent="0.3">
      <c r="A15">
        <v>12</v>
      </c>
      <c r="B15" s="24">
        <v>43477</v>
      </c>
      <c r="C15" t="s">
        <v>80</v>
      </c>
      <c r="D15" t="s">
        <v>12</v>
      </c>
      <c r="E15" t="s">
        <v>11</v>
      </c>
      <c r="F15">
        <v>900</v>
      </c>
      <c r="G15">
        <v>1</v>
      </c>
      <c r="H15">
        <v>900</v>
      </c>
      <c r="I15">
        <v>765</v>
      </c>
    </row>
    <row r="16" spans="1:9" x14ac:dyDescent="0.3">
      <c r="A16">
        <v>13</v>
      </c>
      <c r="B16" s="24">
        <v>43478</v>
      </c>
      <c r="C16" t="s">
        <v>80</v>
      </c>
      <c r="D16" t="s">
        <v>12</v>
      </c>
      <c r="E16" t="s">
        <v>11</v>
      </c>
      <c r="F16">
        <v>900</v>
      </c>
      <c r="G16">
        <v>2</v>
      </c>
      <c r="H16">
        <v>1800</v>
      </c>
      <c r="I16">
        <v>1530</v>
      </c>
    </row>
    <row r="17" spans="1:9" x14ac:dyDescent="0.3">
      <c r="A17">
        <v>14</v>
      </c>
      <c r="B17" s="24">
        <v>43479</v>
      </c>
      <c r="C17" t="s">
        <v>80</v>
      </c>
      <c r="D17" t="s">
        <v>12</v>
      </c>
      <c r="E17" t="s">
        <v>11</v>
      </c>
      <c r="F17">
        <v>900</v>
      </c>
      <c r="G17">
        <v>1</v>
      </c>
      <c r="H17">
        <v>900</v>
      </c>
      <c r="I17">
        <v>765</v>
      </c>
    </row>
    <row r="18" spans="1:9" x14ac:dyDescent="0.3">
      <c r="A18">
        <v>15</v>
      </c>
      <c r="B18" s="24">
        <v>43480</v>
      </c>
      <c r="C18" t="s">
        <v>80</v>
      </c>
      <c r="D18" t="s">
        <v>12</v>
      </c>
      <c r="E18" t="s">
        <v>11</v>
      </c>
      <c r="F18">
        <v>900</v>
      </c>
      <c r="G18">
        <v>1</v>
      </c>
      <c r="H18">
        <v>900</v>
      </c>
      <c r="I18">
        <v>765</v>
      </c>
    </row>
    <row r="19" spans="1:9" x14ac:dyDescent="0.3">
      <c r="A19">
        <v>16</v>
      </c>
      <c r="B19" s="24">
        <v>43481</v>
      </c>
      <c r="C19" t="s">
        <v>80</v>
      </c>
      <c r="D19" t="s">
        <v>10</v>
      </c>
      <c r="E19" t="s">
        <v>11</v>
      </c>
      <c r="F19">
        <v>1100</v>
      </c>
      <c r="G19">
        <v>1</v>
      </c>
      <c r="H19">
        <v>1100</v>
      </c>
      <c r="I19">
        <v>1100</v>
      </c>
    </row>
    <row r="20" spans="1:9" x14ac:dyDescent="0.3">
      <c r="A20">
        <v>17</v>
      </c>
      <c r="B20" s="24">
        <v>43482</v>
      </c>
      <c r="C20" t="s">
        <v>80</v>
      </c>
      <c r="D20" t="s">
        <v>12</v>
      </c>
      <c r="E20" t="s">
        <v>11</v>
      </c>
      <c r="F20">
        <v>900</v>
      </c>
      <c r="G20">
        <v>1</v>
      </c>
      <c r="H20">
        <v>900</v>
      </c>
      <c r="I20">
        <v>765</v>
      </c>
    </row>
    <row r="21" spans="1:9" x14ac:dyDescent="0.3">
      <c r="A21">
        <v>18</v>
      </c>
      <c r="B21" s="24">
        <v>43483</v>
      </c>
      <c r="C21" t="s">
        <v>80</v>
      </c>
      <c r="D21" t="s">
        <v>10</v>
      </c>
      <c r="E21" t="s">
        <v>11</v>
      </c>
      <c r="F21">
        <v>1100</v>
      </c>
      <c r="G21">
        <v>2</v>
      </c>
      <c r="H21">
        <v>2200</v>
      </c>
      <c r="I21">
        <v>2200</v>
      </c>
    </row>
    <row r="22" spans="1:9" x14ac:dyDescent="0.3">
      <c r="A22">
        <v>19</v>
      </c>
      <c r="B22" s="24">
        <v>43484</v>
      </c>
      <c r="C22" t="s">
        <v>80</v>
      </c>
      <c r="D22" t="s">
        <v>10</v>
      </c>
      <c r="E22" t="s">
        <v>11</v>
      </c>
      <c r="F22">
        <v>1100</v>
      </c>
      <c r="G22">
        <v>1</v>
      </c>
      <c r="H22">
        <v>1100</v>
      </c>
      <c r="I22">
        <v>1100</v>
      </c>
    </row>
    <row r="23" spans="1:9" x14ac:dyDescent="0.3">
      <c r="A23">
        <v>20</v>
      </c>
      <c r="B23" s="24">
        <v>43485</v>
      </c>
      <c r="C23" t="s">
        <v>81</v>
      </c>
      <c r="D23" t="s">
        <v>12</v>
      </c>
      <c r="E23" t="s">
        <v>11</v>
      </c>
      <c r="F23">
        <v>900</v>
      </c>
      <c r="G23">
        <v>1</v>
      </c>
      <c r="H23">
        <v>900</v>
      </c>
      <c r="I23">
        <v>765</v>
      </c>
    </row>
    <row r="24" spans="1:9" x14ac:dyDescent="0.3">
      <c r="A24">
        <v>21</v>
      </c>
      <c r="B24" s="24">
        <v>43486</v>
      </c>
      <c r="C24" t="s">
        <v>81</v>
      </c>
      <c r="D24" t="s">
        <v>12</v>
      </c>
      <c r="E24" t="s">
        <v>11</v>
      </c>
      <c r="F24">
        <v>900</v>
      </c>
      <c r="G24">
        <v>1</v>
      </c>
      <c r="H24">
        <v>900</v>
      </c>
      <c r="I24">
        <v>765</v>
      </c>
    </row>
    <row r="25" spans="1:9" x14ac:dyDescent="0.3">
      <c r="A25">
        <v>22</v>
      </c>
      <c r="B25" s="24">
        <v>43487</v>
      </c>
      <c r="C25" t="s">
        <v>81</v>
      </c>
      <c r="D25" t="s">
        <v>14</v>
      </c>
      <c r="E25" t="s">
        <v>11</v>
      </c>
      <c r="F25">
        <v>900</v>
      </c>
      <c r="G25">
        <v>1</v>
      </c>
      <c r="H25">
        <v>900</v>
      </c>
      <c r="I25">
        <v>900</v>
      </c>
    </row>
    <row r="26" spans="1:9" x14ac:dyDescent="0.3">
      <c r="A26">
        <v>23</v>
      </c>
      <c r="B26" s="24">
        <v>43488</v>
      </c>
      <c r="C26" t="s">
        <v>81</v>
      </c>
      <c r="D26" t="s">
        <v>10</v>
      </c>
      <c r="E26" t="s">
        <v>11</v>
      </c>
      <c r="F26">
        <v>1100</v>
      </c>
      <c r="G26">
        <v>1</v>
      </c>
      <c r="H26">
        <v>1100</v>
      </c>
      <c r="I26">
        <v>1100</v>
      </c>
    </row>
    <row r="27" spans="1:9" x14ac:dyDescent="0.3">
      <c r="A27">
        <v>24</v>
      </c>
      <c r="B27" s="24">
        <v>43489</v>
      </c>
      <c r="C27" t="s">
        <v>81</v>
      </c>
      <c r="D27" t="s">
        <v>10</v>
      </c>
      <c r="E27" t="s">
        <v>11</v>
      </c>
      <c r="F27">
        <v>1100</v>
      </c>
      <c r="G27">
        <v>1</v>
      </c>
      <c r="H27">
        <v>1100</v>
      </c>
      <c r="I27">
        <v>1100</v>
      </c>
    </row>
    <row r="28" spans="1:9" x14ac:dyDescent="0.3">
      <c r="A28">
        <v>25</v>
      </c>
      <c r="B28" s="24">
        <v>43490</v>
      </c>
      <c r="C28" t="s">
        <v>81</v>
      </c>
      <c r="D28" t="s">
        <v>14</v>
      </c>
      <c r="E28" t="s">
        <v>11</v>
      </c>
      <c r="F28">
        <v>900</v>
      </c>
      <c r="G28">
        <v>1</v>
      </c>
      <c r="H28">
        <v>900</v>
      </c>
      <c r="I28">
        <v>900</v>
      </c>
    </row>
    <row r="29" spans="1:9" x14ac:dyDescent="0.3">
      <c r="A29">
        <v>26</v>
      </c>
      <c r="B29" s="24">
        <v>43491</v>
      </c>
      <c r="C29" t="s">
        <v>81</v>
      </c>
      <c r="D29" t="s">
        <v>12</v>
      </c>
      <c r="E29" t="s">
        <v>11</v>
      </c>
      <c r="F29">
        <v>900</v>
      </c>
      <c r="G29">
        <v>1</v>
      </c>
      <c r="H29">
        <v>900</v>
      </c>
      <c r="I29">
        <v>765</v>
      </c>
    </row>
    <row r="30" spans="1:9" x14ac:dyDescent="0.3">
      <c r="A30">
        <v>27</v>
      </c>
      <c r="B30" s="24">
        <v>43492</v>
      </c>
      <c r="C30" t="s">
        <v>81</v>
      </c>
      <c r="D30" t="s">
        <v>14</v>
      </c>
      <c r="E30" t="s">
        <v>11</v>
      </c>
      <c r="F30">
        <v>900</v>
      </c>
      <c r="G30">
        <v>1</v>
      </c>
      <c r="H30">
        <v>900</v>
      </c>
      <c r="I30">
        <v>900</v>
      </c>
    </row>
    <row r="31" spans="1:9" x14ac:dyDescent="0.3">
      <c r="A31">
        <v>28</v>
      </c>
      <c r="B31" s="24">
        <v>43493</v>
      </c>
      <c r="C31" t="s">
        <v>81</v>
      </c>
      <c r="D31" t="s">
        <v>10</v>
      </c>
      <c r="E31" t="s">
        <v>11</v>
      </c>
      <c r="F31">
        <v>1100</v>
      </c>
      <c r="G31">
        <v>1</v>
      </c>
      <c r="H31">
        <v>1100</v>
      </c>
      <c r="I31">
        <v>1100</v>
      </c>
    </row>
    <row r="32" spans="1:9" x14ac:dyDescent="0.3">
      <c r="A32">
        <v>29</v>
      </c>
      <c r="B32" s="24">
        <v>43494</v>
      </c>
      <c r="C32" t="s">
        <v>81</v>
      </c>
      <c r="D32" t="s">
        <v>10</v>
      </c>
      <c r="E32" t="s">
        <v>11</v>
      </c>
      <c r="F32">
        <v>1100</v>
      </c>
      <c r="G32">
        <v>1</v>
      </c>
      <c r="H32">
        <v>1100</v>
      </c>
      <c r="I32">
        <v>1100</v>
      </c>
    </row>
    <row r="33" spans="1:9" x14ac:dyDescent="0.3">
      <c r="A33">
        <v>30</v>
      </c>
      <c r="B33" s="24">
        <v>43495</v>
      </c>
      <c r="C33" t="s">
        <v>81</v>
      </c>
      <c r="D33" t="s">
        <v>14</v>
      </c>
      <c r="E33" t="s">
        <v>11</v>
      </c>
      <c r="F33">
        <v>900</v>
      </c>
      <c r="G33">
        <v>1</v>
      </c>
      <c r="H33">
        <v>900</v>
      </c>
      <c r="I33">
        <v>900</v>
      </c>
    </row>
    <row r="34" spans="1:9" x14ac:dyDescent="0.3">
      <c r="A34">
        <v>31</v>
      </c>
      <c r="B34" s="24">
        <v>43496</v>
      </c>
      <c r="C34" t="s">
        <v>81</v>
      </c>
      <c r="D34" t="s">
        <v>14</v>
      </c>
      <c r="E34" t="s">
        <v>11</v>
      </c>
      <c r="F34">
        <v>900</v>
      </c>
      <c r="G34">
        <v>1</v>
      </c>
      <c r="H34">
        <v>900</v>
      </c>
      <c r="I34">
        <v>900</v>
      </c>
    </row>
    <row r="35" spans="1:9" x14ac:dyDescent="0.3">
      <c r="A35">
        <v>32</v>
      </c>
      <c r="B35" s="24">
        <v>43497</v>
      </c>
      <c r="C35" t="s">
        <v>81</v>
      </c>
      <c r="D35" t="s">
        <v>14</v>
      </c>
      <c r="E35" t="s">
        <v>11</v>
      </c>
      <c r="F35">
        <v>900</v>
      </c>
      <c r="G35">
        <v>1</v>
      </c>
      <c r="H35">
        <v>900</v>
      </c>
      <c r="I35">
        <v>900</v>
      </c>
    </row>
    <row r="36" spans="1:9" x14ac:dyDescent="0.3">
      <c r="A36">
        <v>33</v>
      </c>
      <c r="B36" s="24">
        <v>43498</v>
      </c>
      <c r="C36" t="s">
        <v>81</v>
      </c>
      <c r="D36" t="s">
        <v>14</v>
      </c>
      <c r="E36" t="s">
        <v>11</v>
      </c>
      <c r="F36">
        <v>900</v>
      </c>
      <c r="G36">
        <v>1</v>
      </c>
      <c r="H36">
        <v>900</v>
      </c>
      <c r="I36">
        <v>900</v>
      </c>
    </row>
    <row r="37" spans="1:9" x14ac:dyDescent="0.3">
      <c r="A37">
        <v>34</v>
      </c>
      <c r="B37" s="24">
        <v>43499</v>
      </c>
      <c r="C37" t="s">
        <v>81</v>
      </c>
      <c r="D37" t="s">
        <v>14</v>
      </c>
      <c r="E37" t="s">
        <v>11</v>
      </c>
      <c r="F37">
        <v>900</v>
      </c>
      <c r="G37">
        <v>1</v>
      </c>
      <c r="H37">
        <v>900</v>
      </c>
      <c r="I37">
        <v>900</v>
      </c>
    </row>
    <row r="38" spans="1:9" x14ac:dyDescent="0.3">
      <c r="A38">
        <v>35</v>
      </c>
      <c r="B38" s="24">
        <v>43500</v>
      </c>
      <c r="C38" t="s">
        <v>81</v>
      </c>
      <c r="D38" t="s">
        <v>12</v>
      </c>
      <c r="E38" t="s">
        <v>11</v>
      </c>
      <c r="F38">
        <v>900</v>
      </c>
      <c r="G38">
        <v>1</v>
      </c>
      <c r="H38">
        <v>900</v>
      </c>
      <c r="I38">
        <v>765</v>
      </c>
    </row>
    <row r="39" spans="1:9" x14ac:dyDescent="0.3">
      <c r="A39">
        <v>36</v>
      </c>
      <c r="B39" s="24">
        <v>43501</v>
      </c>
      <c r="C39" t="s">
        <v>81</v>
      </c>
      <c r="D39" t="s">
        <v>12</v>
      </c>
      <c r="E39" t="s">
        <v>11</v>
      </c>
      <c r="F39">
        <v>900</v>
      </c>
      <c r="G39">
        <v>1</v>
      </c>
      <c r="H39">
        <v>900</v>
      </c>
      <c r="I39">
        <v>765</v>
      </c>
    </row>
    <row r="40" spans="1:9" x14ac:dyDescent="0.3">
      <c r="A40">
        <v>37</v>
      </c>
      <c r="B40" s="24">
        <v>43502</v>
      </c>
      <c r="C40" t="s">
        <v>81</v>
      </c>
      <c r="D40" t="s">
        <v>12</v>
      </c>
      <c r="E40" t="s">
        <v>11</v>
      </c>
      <c r="F40">
        <v>900</v>
      </c>
      <c r="G40">
        <v>1</v>
      </c>
      <c r="H40">
        <v>900</v>
      </c>
      <c r="I40">
        <v>765</v>
      </c>
    </row>
    <row r="41" spans="1:9" x14ac:dyDescent="0.3">
      <c r="A41">
        <v>38</v>
      </c>
      <c r="B41" s="24">
        <v>43503</v>
      </c>
      <c r="C41" t="s">
        <v>81</v>
      </c>
      <c r="D41" t="s">
        <v>10</v>
      </c>
      <c r="E41" t="s">
        <v>11</v>
      </c>
      <c r="F41">
        <v>1100</v>
      </c>
      <c r="G41">
        <v>1</v>
      </c>
      <c r="H41">
        <v>1100</v>
      </c>
      <c r="I41">
        <v>1100</v>
      </c>
    </row>
    <row r="42" spans="1:9" x14ac:dyDescent="0.3">
      <c r="A42">
        <v>39</v>
      </c>
      <c r="B42" s="24">
        <v>43504</v>
      </c>
      <c r="C42" t="s">
        <v>81</v>
      </c>
      <c r="D42" t="s">
        <v>10</v>
      </c>
      <c r="E42" t="s">
        <v>11</v>
      </c>
      <c r="F42">
        <v>1100</v>
      </c>
      <c r="G42">
        <v>1</v>
      </c>
      <c r="H42">
        <v>1100</v>
      </c>
      <c r="I42">
        <v>1100</v>
      </c>
    </row>
    <row r="43" spans="1:9" x14ac:dyDescent="0.3">
      <c r="A43">
        <v>40</v>
      </c>
      <c r="B43" s="24">
        <v>43505</v>
      </c>
      <c r="C43" t="s">
        <v>81</v>
      </c>
      <c r="D43" t="s">
        <v>15</v>
      </c>
      <c r="E43" t="s">
        <v>11</v>
      </c>
      <c r="F43">
        <v>1000</v>
      </c>
      <c r="G43">
        <v>1</v>
      </c>
      <c r="H43">
        <v>1000</v>
      </c>
      <c r="I43">
        <v>1000</v>
      </c>
    </row>
    <row r="44" spans="1:9" x14ac:dyDescent="0.3">
      <c r="A44">
        <v>41</v>
      </c>
      <c r="B44" s="24">
        <v>43506</v>
      </c>
      <c r="C44" t="s">
        <v>81</v>
      </c>
      <c r="D44" t="s">
        <v>15</v>
      </c>
      <c r="E44" t="s">
        <v>11</v>
      </c>
      <c r="F44">
        <v>1000</v>
      </c>
      <c r="G44">
        <v>1</v>
      </c>
      <c r="H44">
        <v>1000</v>
      </c>
      <c r="I44">
        <v>1000</v>
      </c>
    </row>
    <row r="45" spans="1:9" x14ac:dyDescent="0.3">
      <c r="A45">
        <v>42</v>
      </c>
      <c r="B45" s="24">
        <v>43507</v>
      </c>
      <c r="C45" t="s">
        <v>81</v>
      </c>
      <c r="D45" t="s">
        <v>10</v>
      </c>
      <c r="E45" t="s">
        <v>11</v>
      </c>
      <c r="F45">
        <v>1100</v>
      </c>
      <c r="G45">
        <v>1</v>
      </c>
      <c r="H45">
        <v>1100</v>
      </c>
      <c r="I45">
        <v>1100</v>
      </c>
    </row>
    <row r="46" spans="1:9" x14ac:dyDescent="0.3">
      <c r="A46">
        <v>43</v>
      </c>
      <c r="B46" s="24">
        <v>43508</v>
      </c>
      <c r="C46" t="s">
        <v>81</v>
      </c>
      <c r="D46" t="s">
        <v>15</v>
      </c>
      <c r="E46" t="s">
        <v>11</v>
      </c>
      <c r="F46">
        <v>1000</v>
      </c>
      <c r="G46">
        <v>1</v>
      </c>
      <c r="H46">
        <v>1000</v>
      </c>
      <c r="I46">
        <v>1000</v>
      </c>
    </row>
    <row r="47" spans="1:9" x14ac:dyDescent="0.3">
      <c r="A47">
        <v>44</v>
      </c>
      <c r="B47" s="24">
        <v>43509</v>
      </c>
      <c r="C47" t="s">
        <v>81</v>
      </c>
      <c r="D47" t="s">
        <v>12</v>
      </c>
      <c r="E47" t="s">
        <v>11</v>
      </c>
      <c r="F47">
        <v>900</v>
      </c>
      <c r="G47">
        <v>1</v>
      </c>
      <c r="H47">
        <v>900</v>
      </c>
      <c r="I47">
        <v>765</v>
      </c>
    </row>
    <row r="48" spans="1:9" x14ac:dyDescent="0.3">
      <c r="A48">
        <v>45</v>
      </c>
      <c r="B48" s="24">
        <v>43510</v>
      </c>
      <c r="C48" t="s">
        <v>81</v>
      </c>
      <c r="D48" t="s">
        <v>12</v>
      </c>
      <c r="E48" t="s">
        <v>11</v>
      </c>
      <c r="F48">
        <v>900</v>
      </c>
      <c r="G48">
        <v>2</v>
      </c>
      <c r="H48">
        <v>1800</v>
      </c>
      <c r="I48">
        <v>1530</v>
      </c>
    </row>
    <row r="49" spans="1:9" x14ac:dyDescent="0.3">
      <c r="A49">
        <v>46</v>
      </c>
      <c r="B49" s="24">
        <v>43511</v>
      </c>
      <c r="C49" t="s">
        <v>81</v>
      </c>
      <c r="D49" t="s">
        <v>10</v>
      </c>
      <c r="E49" t="s">
        <v>11</v>
      </c>
      <c r="F49">
        <v>1100</v>
      </c>
      <c r="G49">
        <v>1</v>
      </c>
      <c r="H49">
        <v>1100</v>
      </c>
      <c r="I49">
        <v>1100</v>
      </c>
    </row>
    <row r="50" spans="1:9" x14ac:dyDescent="0.3">
      <c r="A50">
        <v>47</v>
      </c>
      <c r="B50" s="24">
        <v>43512</v>
      </c>
      <c r="C50" t="s">
        <v>81</v>
      </c>
      <c r="D50" t="s">
        <v>12</v>
      </c>
      <c r="E50" t="s">
        <v>11</v>
      </c>
      <c r="F50">
        <v>900</v>
      </c>
      <c r="G50">
        <v>1</v>
      </c>
      <c r="H50">
        <v>900</v>
      </c>
      <c r="I50">
        <v>765</v>
      </c>
    </row>
    <row r="51" spans="1:9" x14ac:dyDescent="0.3">
      <c r="A51">
        <v>48</v>
      </c>
      <c r="B51" s="24">
        <v>43513</v>
      </c>
      <c r="C51" t="s">
        <v>81</v>
      </c>
      <c r="D51" t="s">
        <v>10</v>
      </c>
      <c r="E51" t="s">
        <v>11</v>
      </c>
      <c r="F51">
        <v>1100</v>
      </c>
      <c r="G51">
        <v>1</v>
      </c>
      <c r="H51">
        <v>1100</v>
      </c>
      <c r="I51">
        <v>1100</v>
      </c>
    </row>
    <row r="52" spans="1:9" x14ac:dyDescent="0.3">
      <c r="A52">
        <v>49</v>
      </c>
      <c r="B52" s="24">
        <v>43514</v>
      </c>
      <c r="C52" t="s">
        <v>81</v>
      </c>
      <c r="D52" t="s">
        <v>16</v>
      </c>
      <c r="E52" t="s">
        <v>17</v>
      </c>
      <c r="F52">
        <v>800</v>
      </c>
      <c r="G52">
        <v>1</v>
      </c>
      <c r="H52">
        <v>800</v>
      </c>
      <c r="I52">
        <v>800</v>
      </c>
    </row>
    <row r="53" spans="1:9" x14ac:dyDescent="0.3">
      <c r="A53">
        <v>50</v>
      </c>
      <c r="B53" s="24">
        <v>43515</v>
      </c>
      <c r="C53" t="s">
        <v>81</v>
      </c>
      <c r="D53" t="s">
        <v>16</v>
      </c>
      <c r="E53" t="s">
        <v>17</v>
      </c>
      <c r="F53">
        <v>800</v>
      </c>
      <c r="G53">
        <v>2</v>
      </c>
      <c r="H53">
        <v>1600</v>
      </c>
      <c r="I53">
        <v>1600</v>
      </c>
    </row>
    <row r="54" spans="1:9" x14ac:dyDescent="0.3">
      <c r="A54">
        <v>51</v>
      </c>
      <c r="B54" s="24">
        <v>43516</v>
      </c>
      <c r="C54" t="s">
        <v>81</v>
      </c>
      <c r="D54" t="s">
        <v>14</v>
      </c>
      <c r="E54" t="s">
        <v>11</v>
      </c>
      <c r="F54">
        <v>900</v>
      </c>
      <c r="G54">
        <v>1</v>
      </c>
      <c r="H54">
        <v>900</v>
      </c>
      <c r="I54">
        <v>900</v>
      </c>
    </row>
    <row r="55" spans="1:9" x14ac:dyDescent="0.3">
      <c r="A55">
        <v>52</v>
      </c>
      <c r="B55" s="24">
        <v>43517</v>
      </c>
      <c r="C55" t="s">
        <v>81</v>
      </c>
      <c r="D55" t="s">
        <v>10</v>
      </c>
      <c r="E55" t="s">
        <v>11</v>
      </c>
      <c r="F55">
        <v>1100</v>
      </c>
      <c r="G55">
        <v>1</v>
      </c>
      <c r="H55">
        <v>1100</v>
      </c>
      <c r="I55">
        <v>1100</v>
      </c>
    </row>
    <row r="56" spans="1:9" x14ac:dyDescent="0.3">
      <c r="A56">
        <v>53</v>
      </c>
      <c r="B56" s="24">
        <v>43518</v>
      </c>
      <c r="C56" t="s">
        <v>81</v>
      </c>
      <c r="D56" t="s">
        <v>16</v>
      </c>
      <c r="E56" t="s">
        <v>17</v>
      </c>
      <c r="F56">
        <v>800</v>
      </c>
      <c r="G56">
        <v>1</v>
      </c>
      <c r="H56">
        <v>800</v>
      </c>
      <c r="I56">
        <v>800</v>
      </c>
    </row>
    <row r="57" spans="1:9" x14ac:dyDescent="0.3">
      <c r="A57">
        <v>54</v>
      </c>
      <c r="B57" s="24">
        <v>43519</v>
      </c>
      <c r="C57" t="s">
        <v>81</v>
      </c>
      <c r="D57" t="s">
        <v>15</v>
      </c>
      <c r="E57" t="s">
        <v>11</v>
      </c>
      <c r="F57">
        <v>1000</v>
      </c>
      <c r="G57">
        <v>1</v>
      </c>
      <c r="H57">
        <v>1000</v>
      </c>
      <c r="I57">
        <v>1000</v>
      </c>
    </row>
    <row r="58" spans="1:9" x14ac:dyDescent="0.3">
      <c r="A58">
        <v>55</v>
      </c>
      <c r="B58" s="24">
        <v>43520</v>
      </c>
      <c r="C58" t="s">
        <v>81</v>
      </c>
      <c r="D58" t="s">
        <v>16</v>
      </c>
      <c r="E58" t="s">
        <v>17</v>
      </c>
      <c r="F58">
        <v>800</v>
      </c>
      <c r="G58">
        <v>1</v>
      </c>
      <c r="H58">
        <v>800</v>
      </c>
      <c r="I58">
        <v>800</v>
      </c>
    </row>
    <row r="59" spans="1:9" x14ac:dyDescent="0.3">
      <c r="A59">
        <v>56</v>
      </c>
      <c r="B59" s="24">
        <v>43521</v>
      </c>
      <c r="C59" t="s">
        <v>81</v>
      </c>
      <c r="D59" t="s">
        <v>18</v>
      </c>
      <c r="E59" t="s">
        <v>17</v>
      </c>
      <c r="F59">
        <v>600</v>
      </c>
      <c r="G59">
        <v>1</v>
      </c>
      <c r="H59">
        <v>600</v>
      </c>
      <c r="I59">
        <v>600</v>
      </c>
    </row>
    <row r="60" spans="1:9" x14ac:dyDescent="0.3">
      <c r="A60">
        <v>57</v>
      </c>
      <c r="B60" s="24">
        <v>43522</v>
      </c>
      <c r="C60" t="s">
        <v>81</v>
      </c>
      <c r="D60" t="s">
        <v>12</v>
      </c>
      <c r="E60" t="s">
        <v>11</v>
      </c>
      <c r="F60">
        <v>900</v>
      </c>
      <c r="G60">
        <v>1</v>
      </c>
      <c r="H60">
        <v>900</v>
      </c>
      <c r="I60">
        <v>765</v>
      </c>
    </row>
    <row r="61" spans="1:9" x14ac:dyDescent="0.3">
      <c r="A61">
        <v>58</v>
      </c>
      <c r="B61" s="24">
        <v>43523</v>
      </c>
      <c r="C61" t="s">
        <v>81</v>
      </c>
      <c r="D61" t="s">
        <v>10</v>
      </c>
      <c r="E61" t="s">
        <v>11</v>
      </c>
      <c r="F61">
        <v>1100</v>
      </c>
      <c r="G61">
        <v>1</v>
      </c>
      <c r="H61">
        <v>1100</v>
      </c>
      <c r="I61">
        <v>1100</v>
      </c>
    </row>
    <row r="62" spans="1:9" x14ac:dyDescent="0.3">
      <c r="A62">
        <v>59</v>
      </c>
      <c r="B62" s="24">
        <v>43524</v>
      </c>
      <c r="C62" t="s">
        <v>81</v>
      </c>
      <c r="D62" t="s">
        <v>15</v>
      </c>
      <c r="E62" t="s">
        <v>11</v>
      </c>
      <c r="F62">
        <v>1000</v>
      </c>
      <c r="G62">
        <v>1</v>
      </c>
      <c r="H62">
        <v>1000</v>
      </c>
      <c r="I62">
        <v>1000</v>
      </c>
    </row>
    <row r="63" spans="1:9" x14ac:dyDescent="0.3">
      <c r="A63">
        <v>60</v>
      </c>
      <c r="B63" s="24">
        <v>43525</v>
      </c>
      <c r="C63" t="s">
        <v>81</v>
      </c>
      <c r="D63" t="s">
        <v>12</v>
      </c>
      <c r="E63" t="s">
        <v>11</v>
      </c>
      <c r="F63">
        <v>900</v>
      </c>
      <c r="G63">
        <v>1</v>
      </c>
      <c r="H63">
        <v>900</v>
      </c>
      <c r="I63">
        <v>765</v>
      </c>
    </row>
    <row r="64" spans="1:9" x14ac:dyDescent="0.3">
      <c r="A64">
        <v>61</v>
      </c>
      <c r="B64" s="24">
        <v>43526</v>
      </c>
      <c r="C64" t="s">
        <v>81</v>
      </c>
      <c r="D64" t="s">
        <v>10</v>
      </c>
      <c r="E64" t="s">
        <v>11</v>
      </c>
      <c r="F64">
        <v>1100</v>
      </c>
      <c r="G64">
        <v>2</v>
      </c>
      <c r="H64">
        <v>2200</v>
      </c>
      <c r="I64">
        <v>2200</v>
      </c>
    </row>
    <row r="65" spans="1:9" x14ac:dyDescent="0.3">
      <c r="A65">
        <v>62</v>
      </c>
      <c r="B65" s="24">
        <v>43527</v>
      </c>
      <c r="C65" t="s">
        <v>81</v>
      </c>
      <c r="D65" t="s">
        <v>18</v>
      </c>
      <c r="E65" t="s">
        <v>17</v>
      </c>
      <c r="F65">
        <v>600</v>
      </c>
      <c r="G65">
        <v>1</v>
      </c>
      <c r="H65">
        <v>600</v>
      </c>
      <c r="I65">
        <v>600</v>
      </c>
    </row>
    <row r="66" spans="1:9" x14ac:dyDescent="0.3">
      <c r="A66">
        <v>63</v>
      </c>
      <c r="B66" s="24">
        <v>43528</v>
      </c>
      <c r="C66" t="s">
        <v>81</v>
      </c>
      <c r="D66" t="s">
        <v>18</v>
      </c>
      <c r="E66" t="s">
        <v>17</v>
      </c>
      <c r="F66">
        <v>600</v>
      </c>
      <c r="G66">
        <v>1</v>
      </c>
      <c r="H66">
        <v>600</v>
      </c>
      <c r="I66">
        <v>600</v>
      </c>
    </row>
    <row r="67" spans="1:9" x14ac:dyDescent="0.3">
      <c r="A67">
        <v>64</v>
      </c>
      <c r="B67" s="24">
        <v>43529</v>
      </c>
      <c r="C67" t="s">
        <v>81</v>
      </c>
      <c r="D67" t="s">
        <v>18</v>
      </c>
      <c r="E67" t="s">
        <v>17</v>
      </c>
      <c r="F67">
        <v>600</v>
      </c>
      <c r="G67">
        <v>1</v>
      </c>
      <c r="H67">
        <v>600</v>
      </c>
      <c r="I67">
        <v>600</v>
      </c>
    </row>
    <row r="68" spans="1:9" x14ac:dyDescent="0.3">
      <c r="A68">
        <v>65</v>
      </c>
      <c r="B68" s="24">
        <v>43530</v>
      </c>
      <c r="C68" t="s">
        <v>81</v>
      </c>
      <c r="D68" t="s">
        <v>12</v>
      </c>
      <c r="E68" t="s">
        <v>11</v>
      </c>
      <c r="F68">
        <v>900</v>
      </c>
      <c r="G68">
        <v>1</v>
      </c>
      <c r="H68">
        <v>900</v>
      </c>
      <c r="I68">
        <v>765</v>
      </c>
    </row>
    <row r="69" spans="1:9" x14ac:dyDescent="0.3">
      <c r="A69">
        <v>66</v>
      </c>
      <c r="B69" s="24">
        <v>43531</v>
      </c>
      <c r="C69" t="s">
        <v>81</v>
      </c>
      <c r="D69" t="s">
        <v>18</v>
      </c>
      <c r="E69" t="s">
        <v>17</v>
      </c>
      <c r="F69">
        <v>600</v>
      </c>
      <c r="G69">
        <v>1</v>
      </c>
      <c r="H69">
        <v>600</v>
      </c>
      <c r="I69">
        <v>600</v>
      </c>
    </row>
    <row r="70" spans="1:9" x14ac:dyDescent="0.3">
      <c r="A70">
        <v>67</v>
      </c>
      <c r="B70" s="24">
        <v>43532</v>
      </c>
      <c r="C70" t="s">
        <v>81</v>
      </c>
      <c r="D70" t="s">
        <v>18</v>
      </c>
      <c r="E70" t="s">
        <v>17</v>
      </c>
      <c r="F70">
        <v>600</v>
      </c>
      <c r="G70">
        <v>1</v>
      </c>
      <c r="H70">
        <v>600</v>
      </c>
      <c r="I70">
        <v>600</v>
      </c>
    </row>
    <row r="71" spans="1:9" x14ac:dyDescent="0.3">
      <c r="A71">
        <v>68</v>
      </c>
      <c r="B71" s="24">
        <v>43533</v>
      </c>
      <c r="C71" t="s">
        <v>81</v>
      </c>
      <c r="D71" t="s">
        <v>10</v>
      </c>
      <c r="E71" t="s">
        <v>11</v>
      </c>
      <c r="F71">
        <v>1100</v>
      </c>
      <c r="G71">
        <v>1</v>
      </c>
      <c r="H71">
        <v>1100</v>
      </c>
      <c r="I71">
        <v>1100</v>
      </c>
    </row>
    <row r="72" spans="1:9" x14ac:dyDescent="0.3">
      <c r="A72">
        <v>69</v>
      </c>
      <c r="B72" s="24">
        <v>43534</v>
      </c>
      <c r="C72" t="s">
        <v>81</v>
      </c>
      <c r="D72" t="s">
        <v>14</v>
      </c>
      <c r="E72" t="s">
        <v>11</v>
      </c>
      <c r="F72">
        <v>900</v>
      </c>
      <c r="G72">
        <v>3</v>
      </c>
      <c r="H72">
        <v>2700</v>
      </c>
      <c r="I72">
        <v>2700</v>
      </c>
    </row>
    <row r="73" spans="1:9" x14ac:dyDescent="0.3">
      <c r="A73">
        <v>70</v>
      </c>
      <c r="B73" s="24">
        <v>43535</v>
      </c>
      <c r="C73" t="s">
        <v>81</v>
      </c>
      <c r="D73" t="s">
        <v>10</v>
      </c>
      <c r="E73" t="s">
        <v>11</v>
      </c>
      <c r="F73">
        <v>1100</v>
      </c>
      <c r="G73">
        <v>2</v>
      </c>
      <c r="H73">
        <v>2200</v>
      </c>
      <c r="I73">
        <v>2200</v>
      </c>
    </row>
    <row r="74" spans="1:9" x14ac:dyDescent="0.3">
      <c r="A74">
        <v>71</v>
      </c>
      <c r="B74" s="24">
        <v>43536</v>
      </c>
      <c r="C74" t="s">
        <v>81</v>
      </c>
      <c r="D74" t="s">
        <v>10</v>
      </c>
      <c r="E74" t="s">
        <v>11</v>
      </c>
      <c r="F74">
        <v>1100</v>
      </c>
      <c r="G74">
        <v>1</v>
      </c>
      <c r="H74">
        <v>1100</v>
      </c>
      <c r="I74">
        <v>1100</v>
      </c>
    </row>
    <row r="75" spans="1:9" x14ac:dyDescent="0.3">
      <c r="A75">
        <v>72</v>
      </c>
      <c r="B75" s="24">
        <v>43537</v>
      </c>
      <c r="C75" t="s">
        <v>81</v>
      </c>
      <c r="D75" t="s">
        <v>18</v>
      </c>
      <c r="E75" t="s">
        <v>17</v>
      </c>
      <c r="F75">
        <v>600</v>
      </c>
      <c r="G75">
        <v>1</v>
      </c>
      <c r="H75">
        <v>600</v>
      </c>
      <c r="I75">
        <v>600</v>
      </c>
    </row>
    <row r="76" spans="1:9" x14ac:dyDescent="0.3">
      <c r="A76">
        <v>73</v>
      </c>
      <c r="B76" s="24">
        <v>43538</v>
      </c>
      <c r="C76" t="s">
        <v>81</v>
      </c>
      <c r="D76" t="s">
        <v>12</v>
      </c>
      <c r="E76" t="s">
        <v>11</v>
      </c>
      <c r="F76">
        <v>900</v>
      </c>
      <c r="G76">
        <v>1</v>
      </c>
      <c r="H76">
        <v>900</v>
      </c>
      <c r="I76">
        <v>765</v>
      </c>
    </row>
    <row r="77" spans="1:9" x14ac:dyDescent="0.3">
      <c r="A77">
        <v>74</v>
      </c>
      <c r="B77" s="24">
        <v>43539</v>
      </c>
      <c r="C77" t="s">
        <v>81</v>
      </c>
      <c r="D77" t="s">
        <v>18</v>
      </c>
      <c r="E77" t="s">
        <v>17</v>
      </c>
      <c r="F77">
        <v>600</v>
      </c>
      <c r="G77">
        <v>1</v>
      </c>
      <c r="H77">
        <v>600</v>
      </c>
      <c r="I77">
        <v>600</v>
      </c>
    </row>
    <row r="78" spans="1:9" x14ac:dyDescent="0.3">
      <c r="A78">
        <v>75</v>
      </c>
      <c r="B78" s="24">
        <v>43540</v>
      </c>
      <c r="C78" t="s">
        <v>81</v>
      </c>
      <c r="D78" t="s">
        <v>18</v>
      </c>
      <c r="E78" t="s">
        <v>17</v>
      </c>
      <c r="F78">
        <v>600</v>
      </c>
      <c r="G78">
        <v>1</v>
      </c>
      <c r="H78">
        <v>600</v>
      </c>
      <c r="I78">
        <v>600</v>
      </c>
    </row>
    <row r="79" spans="1:9" x14ac:dyDescent="0.3">
      <c r="A79">
        <v>76</v>
      </c>
      <c r="B79" s="24">
        <v>43541</v>
      </c>
      <c r="C79" t="s">
        <v>81</v>
      </c>
      <c r="D79" t="s">
        <v>12</v>
      </c>
      <c r="E79" t="s">
        <v>11</v>
      </c>
      <c r="F79">
        <v>900</v>
      </c>
      <c r="G79">
        <v>3</v>
      </c>
      <c r="H79">
        <v>2700</v>
      </c>
      <c r="I79">
        <v>2295</v>
      </c>
    </row>
    <row r="80" spans="1:9" x14ac:dyDescent="0.3">
      <c r="A80">
        <v>77</v>
      </c>
      <c r="B80" s="24">
        <v>43542</v>
      </c>
      <c r="C80" t="s">
        <v>81</v>
      </c>
      <c r="D80" t="s">
        <v>18</v>
      </c>
      <c r="E80" t="s">
        <v>17</v>
      </c>
      <c r="F80">
        <v>600</v>
      </c>
      <c r="G80">
        <v>1</v>
      </c>
      <c r="H80">
        <v>600</v>
      </c>
      <c r="I80">
        <v>600</v>
      </c>
    </row>
    <row r="81" spans="1:9" x14ac:dyDescent="0.3">
      <c r="A81">
        <v>78</v>
      </c>
      <c r="B81" s="24">
        <v>43543</v>
      </c>
      <c r="C81" t="s">
        <v>81</v>
      </c>
      <c r="D81" t="s">
        <v>16</v>
      </c>
      <c r="E81" t="s">
        <v>17</v>
      </c>
      <c r="F81">
        <v>800</v>
      </c>
      <c r="G81">
        <v>1</v>
      </c>
      <c r="H81">
        <v>800</v>
      </c>
      <c r="I81">
        <v>800</v>
      </c>
    </row>
    <row r="82" spans="1:9" x14ac:dyDescent="0.3">
      <c r="A82">
        <v>79</v>
      </c>
      <c r="B82" s="24">
        <v>43544</v>
      </c>
      <c r="C82" t="s">
        <v>81</v>
      </c>
      <c r="D82" t="s">
        <v>18</v>
      </c>
      <c r="E82" t="s">
        <v>17</v>
      </c>
      <c r="F82">
        <v>600</v>
      </c>
      <c r="G82">
        <v>1</v>
      </c>
      <c r="H82">
        <v>600</v>
      </c>
      <c r="I82">
        <v>600</v>
      </c>
    </row>
    <row r="83" spans="1:9" x14ac:dyDescent="0.3">
      <c r="A83">
        <v>80</v>
      </c>
      <c r="B83" s="24">
        <v>43545</v>
      </c>
      <c r="C83" t="s">
        <v>81</v>
      </c>
      <c r="D83" t="s">
        <v>10</v>
      </c>
      <c r="E83" t="s">
        <v>11</v>
      </c>
      <c r="F83">
        <v>1100</v>
      </c>
      <c r="G83">
        <v>1</v>
      </c>
      <c r="H83">
        <v>1100</v>
      </c>
      <c r="I83">
        <v>1100</v>
      </c>
    </row>
    <row r="84" spans="1:9" x14ac:dyDescent="0.3">
      <c r="A84">
        <v>81</v>
      </c>
      <c r="B84" s="24">
        <v>43546</v>
      </c>
      <c r="C84" t="s">
        <v>81</v>
      </c>
      <c r="D84" t="s">
        <v>14</v>
      </c>
      <c r="E84" t="s">
        <v>11</v>
      </c>
      <c r="F84">
        <v>900</v>
      </c>
      <c r="G84">
        <v>1</v>
      </c>
      <c r="H84">
        <v>900</v>
      </c>
      <c r="I84">
        <v>900</v>
      </c>
    </row>
    <row r="85" spans="1:9" x14ac:dyDescent="0.3">
      <c r="A85">
        <v>82</v>
      </c>
      <c r="B85" s="24">
        <v>43547</v>
      </c>
      <c r="C85" t="s">
        <v>81</v>
      </c>
      <c r="D85" t="s">
        <v>10</v>
      </c>
      <c r="E85" t="s">
        <v>11</v>
      </c>
      <c r="F85">
        <v>1100</v>
      </c>
      <c r="G85">
        <v>1</v>
      </c>
      <c r="H85">
        <v>1100</v>
      </c>
      <c r="I85">
        <v>1100</v>
      </c>
    </row>
    <row r="86" spans="1:9" x14ac:dyDescent="0.3">
      <c r="A86">
        <v>83</v>
      </c>
      <c r="B86" s="24">
        <v>43548</v>
      </c>
      <c r="C86" t="s">
        <v>81</v>
      </c>
      <c r="D86" t="s">
        <v>10</v>
      </c>
      <c r="E86" t="s">
        <v>11</v>
      </c>
      <c r="F86">
        <v>1100</v>
      </c>
      <c r="G86">
        <v>1</v>
      </c>
      <c r="H86">
        <v>1100</v>
      </c>
      <c r="I86">
        <v>1100</v>
      </c>
    </row>
    <row r="87" spans="1:9" x14ac:dyDescent="0.3">
      <c r="A87">
        <v>84</v>
      </c>
      <c r="B87" s="24">
        <v>43549</v>
      </c>
      <c r="C87" t="s">
        <v>81</v>
      </c>
      <c r="D87" t="s">
        <v>10</v>
      </c>
      <c r="E87" t="s">
        <v>11</v>
      </c>
      <c r="F87">
        <v>1100</v>
      </c>
      <c r="G87">
        <v>1</v>
      </c>
      <c r="H87">
        <v>1100</v>
      </c>
      <c r="I87">
        <v>1100</v>
      </c>
    </row>
    <row r="88" spans="1:9" x14ac:dyDescent="0.3">
      <c r="A88">
        <v>85</v>
      </c>
      <c r="B88" s="24">
        <v>43550</v>
      </c>
      <c r="C88" t="s">
        <v>81</v>
      </c>
      <c r="D88" t="s">
        <v>15</v>
      </c>
      <c r="E88" t="s">
        <v>11</v>
      </c>
      <c r="F88">
        <v>1000</v>
      </c>
      <c r="G88">
        <v>1</v>
      </c>
      <c r="H88">
        <v>1000</v>
      </c>
      <c r="I88">
        <v>1000</v>
      </c>
    </row>
    <row r="89" spans="1:9" x14ac:dyDescent="0.3">
      <c r="A89">
        <v>86</v>
      </c>
      <c r="B89" s="24">
        <v>43551</v>
      </c>
      <c r="C89" t="s">
        <v>81</v>
      </c>
      <c r="D89" t="s">
        <v>18</v>
      </c>
      <c r="E89" t="s">
        <v>17</v>
      </c>
      <c r="F89">
        <v>600</v>
      </c>
      <c r="G89">
        <v>1</v>
      </c>
      <c r="H89">
        <v>600</v>
      </c>
      <c r="I89">
        <v>600</v>
      </c>
    </row>
    <row r="90" spans="1:9" x14ac:dyDescent="0.3">
      <c r="A90">
        <v>87</v>
      </c>
      <c r="B90" s="24">
        <v>43552</v>
      </c>
      <c r="C90" t="s">
        <v>81</v>
      </c>
      <c r="D90" t="s">
        <v>16</v>
      </c>
      <c r="E90" t="s">
        <v>17</v>
      </c>
      <c r="F90">
        <v>800</v>
      </c>
      <c r="G90">
        <v>1</v>
      </c>
      <c r="H90">
        <v>800</v>
      </c>
      <c r="I90">
        <v>800</v>
      </c>
    </row>
    <row r="91" spans="1:9" x14ac:dyDescent="0.3">
      <c r="A91">
        <v>88</v>
      </c>
      <c r="B91" s="24">
        <v>43553</v>
      </c>
      <c r="C91" t="s">
        <v>81</v>
      </c>
      <c r="D91" t="s">
        <v>10</v>
      </c>
      <c r="E91" t="s">
        <v>11</v>
      </c>
      <c r="F91">
        <v>1100</v>
      </c>
      <c r="G91">
        <v>1</v>
      </c>
      <c r="H91">
        <v>1100</v>
      </c>
      <c r="I91">
        <v>1100</v>
      </c>
    </row>
    <row r="92" spans="1:9" x14ac:dyDescent="0.3">
      <c r="A92">
        <v>89</v>
      </c>
      <c r="B92" s="24">
        <v>43554</v>
      </c>
      <c r="C92" t="s">
        <v>81</v>
      </c>
      <c r="D92" t="s">
        <v>18</v>
      </c>
      <c r="E92" t="s">
        <v>17</v>
      </c>
      <c r="F92">
        <v>600</v>
      </c>
      <c r="G92">
        <v>1</v>
      </c>
      <c r="H92">
        <v>600</v>
      </c>
      <c r="I92">
        <v>600</v>
      </c>
    </row>
    <row r="93" spans="1:9" x14ac:dyDescent="0.3">
      <c r="A93">
        <v>90</v>
      </c>
      <c r="B93" s="24">
        <v>43555</v>
      </c>
      <c r="C93" t="s">
        <v>81</v>
      </c>
      <c r="D93" t="s">
        <v>19</v>
      </c>
      <c r="E93" t="s">
        <v>20</v>
      </c>
      <c r="F93">
        <v>850</v>
      </c>
      <c r="G93">
        <v>1</v>
      </c>
      <c r="H93">
        <v>850</v>
      </c>
      <c r="I93">
        <v>850</v>
      </c>
    </row>
    <row r="94" spans="1:9" x14ac:dyDescent="0.3">
      <c r="A94">
        <v>91</v>
      </c>
      <c r="B94" s="24">
        <v>43556</v>
      </c>
      <c r="C94" t="s">
        <v>81</v>
      </c>
      <c r="D94" t="s">
        <v>14</v>
      </c>
      <c r="E94" t="s">
        <v>11</v>
      </c>
      <c r="F94">
        <v>900</v>
      </c>
      <c r="G94">
        <v>1</v>
      </c>
      <c r="H94">
        <v>900</v>
      </c>
      <c r="I94">
        <v>900</v>
      </c>
    </row>
    <row r="95" spans="1:9" x14ac:dyDescent="0.3">
      <c r="A95">
        <v>92</v>
      </c>
      <c r="B95" s="24">
        <v>43557</v>
      </c>
      <c r="C95" t="s">
        <v>81</v>
      </c>
      <c r="D95" t="s">
        <v>15</v>
      </c>
      <c r="E95" t="s">
        <v>11</v>
      </c>
      <c r="F95">
        <v>1000</v>
      </c>
      <c r="G95">
        <v>1</v>
      </c>
      <c r="H95">
        <v>1000</v>
      </c>
      <c r="I95">
        <v>1000</v>
      </c>
    </row>
    <row r="96" spans="1:9" x14ac:dyDescent="0.3">
      <c r="A96">
        <v>93</v>
      </c>
      <c r="B96" s="24">
        <v>43558</v>
      </c>
      <c r="C96" t="s">
        <v>81</v>
      </c>
      <c r="D96" t="s">
        <v>19</v>
      </c>
      <c r="E96" t="s">
        <v>20</v>
      </c>
      <c r="F96">
        <v>850</v>
      </c>
      <c r="G96">
        <v>1</v>
      </c>
      <c r="H96">
        <v>850</v>
      </c>
      <c r="I96">
        <v>850</v>
      </c>
    </row>
    <row r="97" spans="1:9" x14ac:dyDescent="0.3">
      <c r="A97">
        <v>94</v>
      </c>
      <c r="B97" s="24">
        <v>43559</v>
      </c>
      <c r="C97" t="s">
        <v>81</v>
      </c>
      <c r="D97" t="s">
        <v>19</v>
      </c>
      <c r="E97" t="s">
        <v>20</v>
      </c>
      <c r="F97">
        <v>850</v>
      </c>
      <c r="G97">
        <v>1</v>
      </c>
      <c r="H97">
        <v>850</v>
      </c>
      <c r="I97">
        <v>850</v>
      </c>
    </row>
    <row r="98" spans="1:9" x14ac:dyDescent="0.3">
      <c r="A98">
        <v>95</v>
      </c>
      <c r="B98" s="24">
        <v>43560</v>
      </c>
      <c r="C98" t="s">
        <v>81</v>
      </c>
      <c r="D98" t="s">
        <v>15</v>
      </c>
      <c r="E98" t="s">
        <v>11</v>
      </c>
      <c r="F98">
        <v>1000</v>
      </c>
      <c r="G98">
        <v>1</v>
      </c>
      <c r="H98">
        <v>1000</v>
      </c>
      <c r="I98">
        <v>1000</v>
      </c>
    </row>
    <row r="99" spans="1:9" x14ac:dyDescent="0.3">
      <c r="A99">
        <v>96</v>
      </c>
      <c r="B99" s="24">
        <v>43561</v>
      </c>
      <c r="C99" t="s">
        <v>81</v>
      </c>
      <c r="D99" t="s">
        <v>16</v>
      </c>
      <c r="E99" t="s">
        <v>17</v>
      </c>
      <c r="F99">
        <v>800</v>
      </c>
      <c r="G99">
        <v>1</v>
      </c>
      <c r="H99">
        <v>800</v>
      </c>
      <c r="I99">
        <v>800</v>
      </c>
    </row>
    <row r="100" spans="1:9" x14ac:dyDescent="0.3">
      <c r="A100">
        <v>97</v>
      </c>
      <c r="B100" s="24">
        <v>43562</v>
      </c>
      <c r="C100" t="s">
        <v>81</v>
      </c>
      <c r="D100" t="s">
        <v>18</v>
      </c>
      <c r="E100" t="s">
        <v>17</v>
      </c>
      <c r="F100">
        <v>600</v>
      </c>
      <c r="G100">
        <v>1</v>
      </c>
      <c r="H100">
        <v>600</v>
      </c>
      <c r="I100">
        <v>600</v>
      </c>
    </row>
    <row r="101" spans="1:9" x14ac:dyDescent="0.3">
      <c r="A101">
        <v>98</v>
      </c>
      <c r="B101" s="24">
        <v>43563</v>
      </c>
      <c r="C101" t="s">
        <v>81</v>
      </c>
      <c r="D101" t="s">
        <v>16</v>
      </c>
      <c r="E101" t="s">
        <v>17</v>
      </c>
      <c r="F101">
        <v>800</v>
      </c>
      <c r="G101">
        <v>1</v>
      </c>
      <c r="H101">
        <v>800</v>
      </c>
      <c r="I101">
        <v>800</v>
      </c>
    </row>
    <row r="102" spans="1:9" x14ac:dyDescent="0.3">
      <c r="A102">
        <v>99</v>
      </c>
      <c r="B102" s="24">
        <v>43564</v>
      </c>
      <c r="C102" t="s">
        <v>81</v>
      </c>
      <c r="D102" t="s">
        <v>10</v>
      </c>
      <c r="E102" t="s">
        <v>11</v>
      </c>
      <c r="F102">
        <v>1100</v>
      </c>
      <c r="G102">
        <v>1</v>
      </c>
      <c r="H102">
        <v>1100</v>
      </c>
      <c r="I102">
        <v>1100</v>
      </c>
    </row>
    <row r="103" spans="1:9" x14ac:dyDescent="0.3">
      <c r="A103">
        <v>100</v>
      </c>
      <c r="B103" s="24">
        <v>43565</v>
      </c>
      <c r="C103" t="s">
        <v>81</v>
      </c>
      <c r="D103" t="s">
        <v>19</v>
      </c>
      <c r="E103" t="s">
        <v>20</v>
      </c>
      <c r="F103">
        <v>850</v>
      </c>
      <c r="G103">
        <v>1</v>
      </c>
      <c r="H103">
        <v>850</v>
      </c>
      <c r="I103">
        <v>850</v>
      </c>
    </row>
    <row r="104" spans="1:9" x14ac:dyDescent="0.3">
      <c r="A104">
        <v>101</v>
      </c>
      <c r="B104" s="24">
        <v>43566</v>
      </c>
      <c r="C104" t="s">
        <v>81</v>
      </c>
      <c r="D104" t="s">
        <v>19</v>
      </c>
      <c r="E104" t="s">
        <v>20</v>
      </c>
      <c r="F104">
        <v>850</v>
      </c>
      <c r="G104">
        <v>1</v>
      </c>
      <c r="H104">
        <v>850</v>
      </c>
      <c r="I104">
        <v>850</v>
      </c>
    </row>
    <row r="105" spans="1:9" x14ac:dyDescent="0.3">
      <c r="A105">
        <v>102</v>
      </c>
      <c r="B105" s="24">
        <v>43567</v>
      </c>
      <c r="C105" t="s">
        <v>81</v>
      </c>
      <c r="D105" t="s">
        <v>19</v>
      </c>
      <c r="E105" t="s">
        <v>20</v>
      </c>
      <c r="F105">
        <v>850</v>
      </c>
      <c r="G105">
        <v>1</v>
      </c>
      <c r="H105">
        <v>850</v>
      </c>
      <c r="I105">
        <v>850</v>
      </c>
    </row>
    <row r="106" spans="1:9" x14ac:dyDescent="0.3">
      <c r="A106">
        <v>103</v>
      </c>
      <c r="B106" s="24">
        <v>43568</v>
      </c>
      <c r="C106" t="s">
        <v>81</v>
      </c>
      <c r="D106" t="s">
        <v>18</v>
      </c>
      <c r="E106" t="s">
        <v>17</v>
      </c>
      <c r="F106">
        <v>600</v>
      </c>
      <c r="G106">
        <v>1</v>
      </c>
      <c r="H106">
        <v>600</v>
      </c>
      <c r="I106">
        <v>600</v>
      </c>
    </row>
    <row r="107" spans="1:9" x14ac:dyDescent="0.3">
      <c r="A107">
        <v>104</v>
      </c>
      <c r="B107" s="24">
        <v>43569</v>
      </c>
      <c r="C107" t="s">
        <v>81</v>
      </c>
      <c r="D107" t="s">
        <v>19</v>
      </c>
      <c r="E107" t="s">
        <v>20</v>
      </c>
      <c r="F107">
        <v>850</v>
      </c>
      <c r="G107">
        <v>1</v>
      </c>
      <c r="H107">
        <v>850</v>
      </c>
      <c r="I107">
        <v>850</v>
      </c>
    </row>
    <row r="108" spans="1:9" x14ac:dyDescent="0.3">
      <c r="A108">
        <v>105</v>
      </c>
      <c r="B108" s="24">
        <v>43570</v>
      </c>
      <c r="C108" t="s">
        <v>81</v>
      </c>
      <c r="D108" t="s">
        <v>19</v>
      </c>
      <c r="E108" t="s">
        <v>20</v>
      </c>
      <c r="F108">
        <v>850</v>
      </c>
      <c r="G108">
        <v>1</v>
      </c>
      <c r="H108">
        <v>850</v>
      </c>
      <c r="I108">
        <v>850</v>
      </c>
    </row>
    <row r="109" spans="1:9" x14ac:dyDescent="0.3">
      <c r="A109">
        <v>106</v>
      </c>
      <c r="B109" s="24">
        <v>43571</v>
      </c>
      <c r="C109" t="s">
        <v>81</v>
      </c>
      <c r="D109" t="s">
        <v>10</v>
      </c>
      <c r="E109" t="s">
        <v>11</v>
      </c>
      <c r="F109">
        <v>1100</v>
      </c>
      <c r="G109">
        <v>1</v>
      </c>
      <c r="H109">
        <v>1100</v>
      </c>
      <c r="I109">
        <v>1100</v>
      </c>
    </row>
    <row r="110" spans="1:9" x14ac:dyDescent="0.3">
      <c r="A110">
        <v>107</v>
      </c>
      <c r="B110" s="24">
        <v>43572</v>
      </c>
      <c r="C110" t="s">
        <v>81</v>
      </c>
      <c r="D110" t="s">
        <v>15</v>
      </c>
      <c r="E110" t="s">
        <v>11</v>
      </c>
      <c r="F110">
        <v>1000</v>
      </c>
      <c r="G110">
        <v>1</v>
      </c>
      <c r="H110">
        <v>1000</v>
      </c>
      <c r="I110">
        <v>1000</v>
      </c>
    </row>
    <row r="111" spans="1:9" x14ac:dyDescent="0.3">
      <c r="A111">
        <v>108</v>
      </c>
      <c r="B111" s="24">
        <v>43573</v>
      </c>
      <c r="C111" t="s">
        <v>81</v>
      </c>
      <c r="D111" t="s">
        <v>10</v>
      </c>
      <c r="E111" t="s">
        <v>11</v>
      </c>
      <c r="F111">
        <v>1100</v>
      </c>
      <c r="G111">
        <v>1</v>
      </c>
      <c r="H111">
        <v>1100</v>
      </c>
      <c r="I111">
        <v>1100</v>
      </c>
    </row>
    <row r="112" spans="1:9" x14ac:dyDescent="0.3">
      <c r="A112">
        <v>109</v>
      </c>
      <c r="B112" s="24">
        <v>43574</v>
      </c>
      <c r="C112" t="s">
        <v>81</v>
      </c>
      <c r="D112" t="s">
        <v>18</v>
      </c>
      <c r="E112" t="s">
        <v>17</v>
      </c>
      <c r="F112">
        <v>600</v>
      </c>
      <c r="G112">
        <v>1</v>
      </c>
      <c r="H112">
        <v>600</v>
      </c>
      <c r="I112">
        <v>600</v>
      </c>
    </row>
    <row r="113" spans="1:9" x14ac:dyDescent="0.3">
      <c r="A113">
        <v>110</v>
      </c>
      <c r="B113" s="24">
        <v>43575</v>
      </c>
      <c r="C113" t="s">
        <v>81</v>
      </c>
      <c r="D113" t="s">
        <v>18</v>
      </c>
      <c r="E113" t="s">
        <v>17</v>
      </c>
      <c r="F113">
        <v>600</v>
      </c>
      <c r="G113">
        <v>2</v>
      </c>
      <c r="H113">
        <v>1200</v>
      </c>
      <c r="I113">
        <v>1200</v>
      </c>
    </row>
    <row r="114" spans="1:9" x14ac:dyDescent="0.3">
      <c r="A114">
        <v>111</v>
      </c>
      <c r="B114" s="24">
        <v>43576</v>
      </c>
      <c r="C114" t="s">
        <v>81</v>
      </c>
      <c r="D114" t="s">
        <v>18</v>
      </c>
      <c r="E114" t="s">
        <v>17</v>
      </c>
      <c r="F114">
        <v>600</v>
      </c>
      <c r="G114">
        <v>1</v>
      </c>
      <c r="H114">
        <v>600</v>
      </c>
      <c r="I114">
        <v>600</v>
      </c>
    </row>
    <row r="115" spans="1:9" x14ac:dyDescent="0.3">
      <c r="A115">
        <v>112</v>
      </c>
      <c r="B115" s="24">
        <v>43577</v>
      </c>
      <c r="C115" t="s">
        <v>81</v>
      </c>
      <c r="D115" t="s">
        <v>18</v>
      </c>
      <c r="E115" t="s">
        <v>17</v>
      </c>
      <c r="F115">
        <v>600</v>
      </c>
      <c r="G115">
        <v>1</v>
      </c>
      <c r="H115">
        <v>600</v>
      </c>
      <c r="I115">
        <v>600</v>
      </c>
    </row>
    <row r="116" spans="1:9" x14ac:dyDescent="0.3">
      <c r="A116">
        <v>113</v>
      </c>
      <c r="B116" s="24">
        <v>43578</v>
      </c>
      <c r="C116" t="s">
        <v>81</v>
      </c>
      <c r="D116" t="s">
        <v>10</v>
      </c>
      <c r="E116" t="s">
        <v>11</v>
      </c>
      <c r="F116">
        <v>1100</v>
      </c>
      <c r="G116">
        <v>1</v>
      </c>
      <c r="H116">
        <v>1100</v>
      </c>
      <c r="I116">
        <v>1100</v>
      </c>
    </row>
    <row r="117" spans="1:9" x14ac:dyDescent="0.3">
      <c r="A117">
        <v>114</v>
      </c>
      <c r="B117" s="24">
        <v>43579</v>
      </c>
      <c r="C117" t="s">
        <v>81</v>
      </c>
      <c r="D117" t="s">
        <v>14</v>
      </c>
      <c r="E117" t="s">
        <v>11</v>
      </c>
      <c r="F117">
        <v>900</v>
      </c>
      <c r="G117">
        <v>1</v>
      </c>
      <c r="H117">
        <v>900</v>
      </c>
      <c r="I117">
        <v>900</v>
      </c>
    </row>
    <row r="118" spans="1:9" x14ac:dyDescent="0.3">
      <c r="A118">
        <v>115</v>
      </c>
      <c r="B118" s="24">
        <v>43580</v>
      </c>
      <c r="C118" t="s">
        <v>81</v>
      </c>
      <c r="D118" t="s">
        <v>18</v>
      </c>
      <c r="E118" t="s">
        <v>17</v>
      </c>
      <c r="F118">
        <v>600</v>
      </c>
      <c r="G118">
        <v>1</v>
      </c>
      <c r="H118">
        <v>600</v>
      </c>
      <c r="I118">
        <v>600</v>
      </c>
    </row>
    <row r="119" spans="1:9" x14ac:dyDescent="0.3">
      <c r="A119">
        <v>116</v>
      </c>
      <c r="B119" s="24">
        <v>43581</v>
      </c>
      <c r="C119" t="s">
        <v>81</v>
      </c>
      <c r="D119" t="s">
        <v>14</v>
      </c>
      <c r="E119" t="s">
        <v>11</v>
      </c>
      <c r="F119">
        <v>900</v>
      </c>
      <c r="G119">
        <v>1</v>
      </c>
      <c r="H119">
        <v>900</v>
      </c>
      <c r="I119">
        <v>900</v>
      </c>
    </row>
    <row r="120" spans="1:9" x14ac:dyDescent="0.3">
      <c r="A120">
        <v>117</v>
      </c>
      <c r="B120" s="24">
        <v>43582</v>
      </c>
      <c r="C120" t="s">
        <v>81</v>
      </c>
      <c r="D120" t="s">
        <v>12</v>
      </c>
      <c r="E120" t="s">
        <v>11</v>
      </c>
      <c r="F120">
        <v>900</v>
      </c>
      <c r="G120">
        <v>1</v>
      </c>
      <c r="H120">
        <v>900</v>
      </c>
      <c r="I120">
        <v>765</v>
      </c>
    </row>
    <row r="121" spans="1:9" x14ac:dyDescent="0.3">
      <c r="A121">
        <v>118</v>
      </c>
      <c r="B121" s="24">
        <v>43583</v>
      </c>
      <c r="C121" t="s">
        <v>81</v>
      </c>
      <c r="D121" t="s">
        <v>18</v>
      </c>
      <c r="E121" t="s">
        <v>17</v>
      </c>
      <c r="F121">
        <v>600</v>
      </c>
      <c r="G121">
        <v>1</v>
      </c>
      <c r="H121">
        <v>600</v>
      </c>
      <c r="I121">
        <v>600</v>
      </c>
    </row>
    <row r="122" spans="1:9" x14ac:dyDescent="0.3">
      <c r="A122">
        <v>119</v>
      </c>
      <c r="B122" s="24">
        <v>43584</v>
      </c>
      <c r="C122" t="s">
        <v>81</v>
      </c>
      <c r="D122" t="s">
        <v>18</v>
      </c>
      <c r="E122" t="s">
        <v>17</v>
      </c>
      <c r="F122">
        <v>600</v>
      </c>
      <c r="G122">
        <v>1</v>
      </c>
      <c r="H122">
        <v>600</v>
      </c>
      <c r="I122">
        <v>600</v>
      </c>
    </row>
    <row r="123" spans="1:9" x14ac:dyDescent="0.3">
      <c r="A123">
        <v>120</v>
      </c>
      <c r="B123" s="24">
        <v>43585</v>
      </c>
      <c r="C123" t="s">
        <v>81</v>
      </c>
      <c r="D123" t="s">
        <v>18</v>
      </c>
      <c r="E123" t="s">
        <v>17</v>
      </c>
      <c r="F123">
        <v>600</v>
      </c>
      <c r="G123">
        <v>1</v>
      </c>
      <c r="H123">
        <v>600</v>
      </c>
      <c r="I123">
        <v>600</v>
      </c>
    </row>
    <row r="124" spans="1:9" x14ac:dyDescent="0.3">
      <c r="A124">
        <v>121</v>
      </c>
      <c r="B124" s="24">
        <v>43586</v>
      </c>
      <c r="C124" t="s">
        <v>81</v>
      </c>
      <c r="D124" t="s">
        <v>10</v>
      </c>
      <c r="E124" t="s">
        <v>11</v>
      </c>
      <c r="F124">
        <v>1100</v>
      </c>
      <c r="G124">
        <v>1</v>
      </c>
      <c r="H124">
        <v>1100</v>
      </c>
      <c r="I124">
        <v>1100</v>
      </c>
    </row>
    <row r="125" spans="1:9" x14ac:dyDescent="0.3">
      <c r="A125">
        <v>122</v>
      </c>
      <c r="B125" s="24">
        <v>43587</v>
      </c>
      <c r="C125" t="s">
        <v>81</v>
      </c>
      <c r="D125" t="s">
        <v>18</v>
      </c>
      <c r="E125" t="s">
        <v>17</v>
      </c>
      <c r="F125">
        <v>600</v>
      </c>
      <c r="G125">
        <v>1</v>
      </c>
      <c r="H125">
        <v>600</v>
      </c>
      <c r="I125">
        <v>600</v>
      </c>
    </row>
    <row r="126" spans="1:9" x14ac:dyDescent="0.3">
      <c r="A126">
        <v>123</v>
      </c>
      <c r="B126" s="24">
        <v>43588</v>
      </c>
      <c r="C126" t="s">
        <v>81</v>
      </c>
      <c r="D126" t="s">
        <v>18</v>
      </c>
      <c r="E126" t="s">
        <v>17</v>
      </c>
      <c r="F126">
        <v>600</v>
      </c>
      <c r="G126">
        <v>1</v>
      </c>
      <c r="H126">
        <v>600</v>
      </c>
      <c r="I126">
        <v>600</v>
      </c>
    </row>
    <row r="127" spans="1:9" x14ac:dyDescent="0.3">
      <c r="A127">
        <v>124</v>
      </c>
      <c r="B127" s="24">
        <v>43589</v>
      </c>
      <c r="C127" t="s">
        <v>81</v>
      </c>
      <c r="D127" t="s">
        <v>18</v>
      </c>
      <c r="E127" t="s">
        <v>17</v>
      </c>
      <c r="F127">
        <v>600</v>
      </c>
      <c r="G127">
        <v>1</v>
      </c>
      <c r="H127">
        <v>600</v>
      </c>
      <c r="I127">
        <v>600</v>
      </c>
    </row>
    <row r="128" spans="1:9" x14ac:dyDescent="0.3">
      <c r="A128">
        <v>125</v>
      </c>
      <c r="B128" s="24">
        <v>43590</v>
      </c>
      <c r="C128" t="s">
        <v>81</v>
      </c>
      <c r="D128" t="s">
        <v>12</v>
      </c>
      <c r="E128" t="s">
        <v>11</v>
      </c>
      <c r="F128">
        <v>900</v>
      </c>
      <c r="G128">
        <v>1</v>
      </c>
      <c r="H128">
        <v>900</v>
      </c>
      <c r="I128">
        <v>765</v>
      </c>
    </row>
    <row r="129" spans="1:9" x14ac:dyDescent="0.3">
      <c r="A129">
        <v>126</v>
      </c>
      <c r="B129" s="24">
        <v>43591</v>
      </c>
      <c r="C129" t="s">
        <v>81</v>
      </c>
      <c r="D129" t="s">
        <v>18</v>
      </c>
      <c r="E129" t="s">
        <v>17</v>
      </c>
      <c r="F129">
        <v>600</v>
      </c>
      <c r="G129">
        <v>1</v>
      </c>
      <c r="H129">
        <v>600</v>
      </c>
      <c r="I129">
        <v>600</v>
      </c>
    </row>
    <row r="130" spans="1:9" x14ac:dyDescent="0.3">
      <c r="A130">
        <v>127</v>
      </c>
      <c r="B130" s="24">
        <v>43592</v>
      </c>
      <c r="C130" t="s">
        <v>81</v>
      </c>
      <c r="D130" t="s">
        <v>14</v>
      </c>
      <c r="E130" t="s">
        <v>11</v>
      </c>
      <c r="F130">
        <v>900</v>
      </c>
      <c r="G130">
        <v>1</v>
      </c>
      <c r="H130">
        <v>900</v>
      </c>
      <c r="I130">
        <v>900</v>
      </c>
    </row>
    <row r="131" spans="1:9" x14ac:dyDescent="0.3">
      <c r="A131">
        <v>128</v>
      </c>
      <c r="B131" s="24">
        <v>43593</v>
      </c>
      <c r="C131" t="s">
        <v>81</v>
      </c>
      <c r="D131" t="s">
        <v>21</v>
      </c>
      <c r="E131" t="s">
        <v>20</v>
      </c>
      <c r="F131">
        <v>1200</v>
      </c>
      <c r="G131">
        <v>1</v>
      </c>
      <c r="H131">
        <v>1200</v>
      </c>
      <c r="I131">
        <v>1200</v>
      </c>
    </row>
    <row r="132" spans="1:9" x14ac:dyDescent="0.3">
      <c r="A132">
        <v>129</v>
      </c>
      <c r="B132" s="24">
        <v>43594</v>
      </c>
      <c r="C132" t="s">
        <v>81</v>
      </c>
      <c r="D132" t="s">
        <v>10</v>
      </c>
      <c r="E132" t="s">
        <v>11</v>
      </c>
      <c r="F132">
        <v>1100</v>
      </c>
      <c r="G132">
        <v>1</v>
      </c>
      <c r="H132">
        <v>1100</v>
      </c>
      <c r="I132">
        <v>1100</v>
      </c>
    </row>
    <row r="133" spans="1:9" x14ac:dyDescent="0.3">
      <c r="A133">
        <v>130</v>
      </c>
      <c r="B133" s="24">
        <v>43595</v>
      </c>
      <c r="C133" t="s">
        <v>81</v>
      </c>
      <c r="D133" t="s">
        <v>10</v>
      </c>
      <c r="E133" t="s">
        <v>11</v>
      </c>
      <c r="F133">
        <v>1100</v>
      </c>
      <c r="G133">
        <v>1</v>
      </c>
      <c r="H133">
        <v>1100</v>
      </c>
      <c r="I133">
        <v>1100</v>
      </c>
    </row>
    <row r="134" spans="1:9" x14ac:dyDescent="0.3">
      <c r="A134">
        <v>131</v>
      </c>
      <c r="B134" s="24">
        <v>43596</v>
      </c>
      <c r="C134" t="s">
        <v>81</v>
      </c>
      <c r="D134" t="s">
        <v>18</v>
      </c>
      <c r="E134" t="s">
        <v>17</v>
      </c>
      <c r="F134">
        <v>600</v>
      </c>
      <c r="G134">
        <v>1</v>
      </c>
      <c r="H134">
        <v>600</v>
      </c>
      <c r="I134">
        <v>600</v>
      </c>
    </row>
    <row r="135" spans="1:9" x14ac:dyDescent="0.3">
      <c r="A135">
        <v>132</v>
      </c>
      <c r="B135" s="24">
        <v>43597</v>
      </c>
      <c r="C135" t="s">
        <v>81</v>
      </c>
      <c r="D135" t="s">
        <v>18</v>
      </c>
      <c r="E135" t="s">
        <v>17</v>
      </c>
      <c r="F135">
        <v>600</v>
      </c>
      <c r="G135">
        <v>2</v>
      </c>
      <c r="H135">
        <v>1200</v>
      </c>
      <c r="I135">
        <v>1200</v>
      </c>
    </row>
    <row r="136" spans="1:9" x14ac:dyDescent="0.3">
      <c r="A136">
        <v>133</v>
      </c>
      <c r="B136" s="24">
        <v>43598</v>
      </c>
      <c r="C136" t="s">
        <v>81</v>
      </c>
      <c r="D136" t="s">
        <v>21</v>
      </c>
      <c r="E136" t="s">
        <v>20</v>
      </c>
      <c r="F136">
        <v>1200</v>
      </c>
      <c r="G136">
        <v>1</v>
      </c>
      <c r="H136">
        <v>1200</v>
      </c>
      <c r="I136">
        <v>1200</v>
      </c>
    </row>
    <row r="137" spans="1:9" x14ac:dyDescent="0.3">
      <c r="A137">
        <v>134</v>
      </c>
      <c r="B137" s="24">
        <v>43599</v>
      </c>
      <c r="C137" t="s">
        <v>81</v>
      </c>
      <c r="D137" t="s">
        <v>21</v>
      </c>
      <c r="E137" t="s">
        <v>20</v>
      </c>
      <c r="F137">
        <v>1200</v>
      </c>
      <c r="G137">
        <v>1</v>
      </c>
      <c r="H137">
        <v>1200</v>
      </c>
      <c r="I137">
        <v>1200</v>
      </c>
    </row>
    <row r="138" spans="1:9" x14ac:dyDescent="0.3">
      <c r="A138">
        <v>135</v>
      </c>
      <c r="B138" s="24">
        <v>43600</v>
      </c>
      <c r="C138" t="s">
        <v>81</v>
      </c>
      <c r="D138" t="s">
        <v>15</v>
      </c>
      <c r="E138" t="s">
        <v>11</v>
      </c>
      <c r="F138">
        <v>1000</v>
      </c>
      <c r="G138">
        <v>1</v>
      </c>
      <c r="H138">
        <v>1000</v>
      </c>
      <c r="I138">
        <v>1000</v>
      </c>
    </row>
    <row r="139" spans="1:9" x14ac:dyDescent="0.3">
      <c r="A139">
        <v>136</v>
      </c>
      <c r="B139" s="24">
        <v>43601</v>
      </c>
      <c r="C139" t="s">
        <v>81</v>
      </c>
      <c r="D139" t="s">
        <v>16</v>
      </c>
      <c r="E139" t="s">
        <v>17</v>
      </c>
      <c r="F139">
        <v>800</v>
      </c>
      <c r="G139">
        <v>2</v>
      </c>
      <c r="H139">
        <v>1600</v>
      </c>
      <c r="I139">
        <v>1600</v>
      </c>
    </row>
    <row r="140" spans="1:9" x14ac:dyDescent="0.3">
      <c r="A140">
        <v>137</v>
      </c>
      <c r="B140" s="24">
        <v>43602</v>
      </c>
      <c r="C140" t="s">
        <v>81</v>
      </c>
      <c r="D140" t="s">
        <v>21</v>
      </c>
      <c r="E140" t="s">
        <v>20</v>
      </c>
      <c r="F140">
        <v>1200</v>
      </c>
      <c r="G140">
        <v>1</v>
      </c>
      <c r="H140">
        <v>1200</v>
      </c>
      <c r="I140">
        <v>1200</v>
      </c>
    </row>
    <row r="141" spans="1:9" x14ac:dyDescent="0.3">
      <c r="A141">
        <v>138</v>
      </c>
      <c r="B141" s="24">
        <v>43603</v>
      </c>
      <c r="C141" t="s">
        <v>81</v>
      </c>
      <c r="D141" t="s">
        <v>14</v>
      </c>
      <c r="E141" t="s">
        <v>11</v>
      </c>
      <c r="F141">
        <v>900</v>
      </c>
      <c r="G141">
        <v>1</v>
      </c>
      <c r="H141">
        <v>900</v>
      </c>
      <c r="I141">
        <v>900</v>
      </c>
    </row>
    <row r="142" spans="1:9" x14ac:dyDescent="0.3">
      <c r="A142">
        <v>139</v>
      </c>
      <c r="B142" s="24">
        <v>43604</v>
      </c>
      <c r="C142" t="s">
        <v>81</v>
      </c>
      <c r="D142" t="s">
        <v>15</v>
      </c>
      <c r="E142" t="s">
        <v>11</v>
      </c>
      <c r="F142">
        <v>1000</v>
      </c>
      <c r="G142">
        <v>1</v>
      </c>
      <c r="H142">
        <v>1000</v>
      </c>
      <c r="I142">
        <v>1000</v>
      </c>
    </row>
    <row r="143" spans="1:9" x14ac:dyDescent="0.3">
      <c r="A143">
        <v>140</v>
      </c>
      <c r="B143" s="24">
        <v>43605</v>
      </c>
      <c r="C143" t="s">
        <v>81</v>
      </c>
      <c r="D143" t="s">
        <v>16</v>
      </c>
      <c r="E143" t="s">
        <v>17</v>
      </c>
      <c r="F143">
        <v>800</v>
      </c>
      <c r="G143">
        <v>1</v>
      </c>
      <c r="H143">
        <v>800</v>
      </c>
      <c r="I143">
        <v>800</v>
      </c>
    </row>
    <row r="144" spans="1:9" x14ac:dyDescent="0.3">
      <c r="A144">
        <v>141</v>
      </c>
      <c r="B144" s="24">
        <v>43606</v>
      </c>
      <c r="C144" t="s">
        <v>81</v>
      </c>
      <c r="D144" t="s">
        <v>21</v>
      </c>
      <c r="E144" t="s">
        <v>20</v>
      </c>
      <c r="F144">
        <v>1200</v>
      </c>
      <c r="G144">
        <v>1</v>
      </c>
      <c r="H144">
        <v>1200</v>
      </c>
      <c r="I144">
        <v>1200</v>
      </c>
    </row>
    <row r="145" spans="1:9" x14ac:dyDescent="0.3">
      <c r="A145">
        <v>142</v>
      </c>
      <c r="B145" s="24">
        <v>43607</v>
      </c>
      <c r="C145" t="s">
        <v>81</v>
      </c>
      <c r="D145" t="s">
        <v>21</v>
      </c>
      <c r="E145" t="s">
        <v>20</v>
      </c>
      <c r="F145">
        <v>1200</v>
      </c>
      <c r="G145">
        <v>1</v>
      </c>
      <c r="H145">
        <v>1200</v>
      </c>
      <c r="I145">
        <v>1200</v>
      </c>
    </row>
    <row r="146" spans="1:9" x14ac:dyDescent="0.3">
      <c r="A146">
        <v>143</v>
      </c>
      <c r="B146" s="24">
        <v>43608</v>
      </c>
      <c r="C146" t="s">
        <v>81</v>
      </c>
      <c r="D146" t="s">
        <v>16</v>
      </c>
      <c r="E146" t="s">
        <v>17</v>
      </c>
      <c r="F146">
        <v>800</v>
      </c>
      <c r="G146">
        <v>2</v>
      </c>
      <c r="H146">
        <v>1600</v>
      </c>
      <c r="I146">
        <v>1600</v>
      </c>
    </row>
    <row r="147" spans="1:9" x14ac:dyDescent="0.3">
      <c r="A147">
        <v>144</v>
      </c>
      <c r="B147" s="24">
        <v>43609</v>
      </c>
      <c r="C147" t="s">
        <v>81</v>
      </c>
      <c r="D147" t="s">
        <v>12</v>
      </c>
      <c r="E147" t="s">
        <v>11</v>
      </c>
      <c r="F147">
        <v>900</v>
      </c>
      <c r="G147">
        <v>1</v>
      </c>
      <c r="H147">
        <v>900</v>
      </c>
      <c r="I147">
        <v>765</v>
      </c>
    </row>
    <row r="148" spans="1:9" x14ac:dyDescent="0.3">
      <c r="A148">
        <v>145</v>
      </c>
      <c r="B148" s="24">
        <v>43610</v>
      </c>
      <c r="C148" t="s">
        <v>81</v>
      </c>
      <c r="D148" t="s">
        <v>15</v>
      </c>
      <c r="E148" t="s">
        <v>11</v>
      </c>
      <c r="F148">
        <v>1000</v>
      </c>
      <c r="G148">
        <v>1</v>
      </c>
      <c r="H148">
        <v>1000</v>
      </c>
      <c r="I148">
        <v>1000</v>
      </c>
    </row>
    <row r="149" spans="1:9" x14ac:dyDescent="0.3">
      <c r="A149">
        <v>146</v>
      </c>
      <c r="B149" s="24">
        <v>43611</v>
      </c>
      <c r="C149" t="s">
        <v>81</v>
      </c>
      <c r="D149" t="s">
        <v>15</v>
      </c>
      <c r="E149" t="s">
        <v>11</v>
      </c>
      <c r="F149">
        <v>1000</v>
      </c>
      <c r="G149">
        <v>1</v>
      </c>
      <c r="H149">
        <v>1000</v>
      </c>
      <c r="I149">
        <v>1000</v>
      </c>
    </row>
    <row r="150" spans="1:9" x14ac:dyDescent="0.3">
      <c r="A150">
        <v>147</v>
      </c>
      <c r="B150" s="24">
        <v>43612</v>
      </c>
      <c r="C150" t="s">
        <v>81</v>
      </c>
      <c r="D150" t="s">
        <v>18</v>
      </c>
      <c r="E150" t="s">
        <v>17</v>
      </c>
      <c r="F150">
        <v>600</v>
      </c>
      <c r="G150">
        <v>1</v>
      </c>
      <c r="H150">
        <v>600</v>
      </c>
      <c r="I150">
        <v>600</v>
      </c>
    </row>
    <row r="151" spans="1:9" x14ac:dyDescent="0.3">
      <c r="A151">
        <v>148</v>
      </c>
      <c r="B151" s="24">
        <v>43613</v>
      </c>
      <c r="C151" t="s">
        <v>81</v>
      </c>
      <c r="D151" t="s">
        <v>19</v>
      </c>
      <c r="E151" t="s">
        <v>20</v>
      </c>
      <c r="F151">
        <v>850</v>
      </c>
      <c r="G151">
        <v>1</v>
      </c>
      <c r="H151">
        <v>850</v>
      </c>
      <c r="I151">
        <v>850</v>
      </c>
    </row>
    <row r="152" spans="1:9" x14ac:dyDescent="0.3">
      <c r="A152">
        <v>149</v>
      </c>
      <c r="B152" s="24">
        <v>43614</v>
      </c>
      <c r="C152" t="s">
        <v>81</v>
      </c>
      <c r="D152" t="s">
        <v>18</v>
      </c>
      <c r="E152" t="s">
        <v>17</v>
      </c>
      <c r="F152">
        <v>600</v>
      </c>
      <c r="G152">
        <v>1</v>
      </c>
      <c r="H152">
        <v>600</v>
      </c>
      <c r="I152">
        <v>600</v>
      </c>
    </row>
    <row r="153" spans="1:9" x14ac:dyDescent="0.3">
      <c r="A153">
        <v>150</v>
      </c>
      <c r="B153" s="24">
        <v>43615</v>
      </c>
      <c r="C153" t="s">
        <v>81</v>
      </c>
      <c r="D153" t="s">
        <v>19</v>
      </c>
      <c r="E153" t="s">
        <v>20</v>
      </c>
      <c r="F153">
        <v>850</v>
      </c>
      <c r="G153">
        <v>1</v>
      </c>
      <c r="H153">
        <v>850</v>
      </c>
      <c r="I153">
        <v>850</v>
      </c>
    </row>
    <row r="154" spans="1:9" x14ac:dyDescent="0.3">
      <c r="A154">
        <v>151</v>
      </c>
      <c r="B154" s="24">
        <v>43616</v>
      </c>
      <c r="C154" t="s">
        <v>81</v>
      </c>
      <c r="D154" t="s">
        <v>19</v>
      </c>
      <c r="E154" t="s">
        <v>20</v>
      </c>
      <c r="F154">
        <v>850</v>
      </c>
      <c r="G154">
        <v>1</v>
      </c>
      <c r="H154">
        <v>850</v>
      </c>
      <c r="I154">
        <v>850</v>
      </c>
    </row>
    <row r="155" spans="1:9" x14ac:dyDescent="0.3">
      <c r="A155">
        <v>152</v>
      </c>
      <c r="B155" s="24">
        <v>43617</v>
      </c>
      <c r="C155" t="s">
        <v>81</v>
      </c>
      <c r="D155" t="s">
        <v>12</v>
      </c>
      <c r="E155" t="s">
        <v>11</v>
      </c>
      <c r="F155">
        <v>900</v>
      </c>
      <c r="G155">
        <v>1</v>
      </c>
      <c r="H155">
        <v>900</v>
      </c>
      <c r="I155">
        <v>765</v>
      </c>
    </row>
    <row r="156" spans="1:9" x14ac:dyDescent="0.3">
      <c r="A156">
        <v>153</v>
      </c>
      <c r="B156" s="24">
        <v>43618</v>
      </c>
      <c r="C156" t="s">
        <v>81</v>
      </c>
      <c r="D156" t="s">
        <v>21</v>
      </c>
      <c r="E156" t="s">
        <v>20</v>
      </c>
      <c r="F156">
        <v>1200</v>
      </c>
      <c r="G156">
        <v>2</v>
      </c>
      <c r="H156">
        <v>2400</v>
      </c>
      <c r="I156">
        <v>2400</v>
      </c>
    </row>
    <row r="157" spans="1:9" x14ac:dyDescent="0.3">
      <c r="A157">
        <v>154</v>
      </c>
      <c r="B157" s="24">
        <v>43619</v>
      </c>
      <c r="C157" t="s">
        <v>81</v>
      </c>
      <c r="D157" t="s">
        <v>16</v>
      </c>
      <c r="E157" t="s">
        <v>17</v>
      </c>
      <c r="F157">
        <v>800</v>
      </c>
      <c r="G157">
        <v>1</v>
      </c>
      <c r="H157">
        <v>800</v>
      </c>
      <c r="I157">
        <v>800</v>
      </c>
    </row>
    <row r="158" spans="1:9" x14ac:dyDescent="0.3">
      <c r="A158">
        <v>155</v>
      </c>
      <c r="B158" s="24">
        <v>43620</v>
      </c>
      <c r="C158" t="s">
        <v>81</v>
      </c>
      <c r="D158" t="s">
        <v>16</v>
      </c>
      <c r="E158" t="s">
        <v>17</v>
      </c>
      <c r="F158">
        <v>800</v>
      </c>
      <c r="G158">
        <v>1</v>
      </c>
      <c r="H158">
        <v>800</v>
      </c>
      <c r="I158">
        <v>800</v>
      </c>
    </row>
    <row r="159" spans="1:9" x14ac:dyDescent="0.3">
      <c r="A159">
        <v>156</v>
      </c>
      <c r="B159" s="24">
        <v>43621</v>
      </c>
      <c r="C159" t="s">
        <v>81</v>
      </c>
      <c r="D159" t="s">
        <v>14</v>
      </c>
      <c r="E159" t="s">
        <v>11</v>
      </c>
      <c r="F159">
        <v>900</v>
      </c>
      <c r="G159">
        <v>1</v>
      </c>
      <c r="H159">
        <v>900</v>
      </c>
      <c r="I159">
        <v>900</v>
      </c>
    </row>
    <row r="160" spans="1:9" x14ac:dyDescent="0.3">
      <c r="A160">
        <v>157</v>
      </c>
      <c r="B160" s="24">
        <v>43622</v>
      </c>
      <c r="C160" t="s">
        <v>81</v>
      </c>
      <c r="D160" t="s">
        <v>16</v>
      </c>
      <c r="E160" t="s">
        <v>17</v>
      </c>
      <c r="F160">
        <v>800</v>
      </c>
      <c r="G160">
        <v>1</v>
      </c>
      <c r="H160">
        <v>800</v>
      </c>
      <c r="I160">
        <v>800</v>
      </c>
    </row>
    <row r="161" spans="1:9" x14ac:dyDescent="0.3">
      <c r="A161">
        <v>158</v>
      </c>
      <c r="B161" s="24">
        <v>43623</v>
      </c>
      <c r="C161" t="s">
        <v>81</v>
      </c>
      <c r="D161" t="s">
        <v>18</v>
      </c>
      <c r="E161" t="s">
        <v>17</v>
      </c>
      <c r="F161">
        <v>600</v>
      </c>
      <c r="G161">
        <v>1</v>
      </c>
      <c r="H161">
        <v>600</v>
      </c>
      <c r="I161">
        <v>600</v>
      </c>
    </row>
    <row r="162" spans="1:9" x14ac:dyDescent="0.3">
      <c r="A162">
        <v>159</v>
      </c>
      <c r="B162" s="24">
        <v>43624</v>
      </c>
      <c r="C162" t="s">
        <v>81</v>
      </c>
      <c r="D162" t="s">
        <v>12</v>
      </c>
      <c r="E162" t="s">
        <v>11</v>
      </c>
      <c r="F162">
        <v>900</v>
      </c>
      <c r="G162">
        <v>3</v>
      </c>
      <c r="H162">
        <v>2700</v>
      </c>
      <c r="I162">
        <v>2295</v>
      </c>
    </row>
    <row r="163" spans="1:9" x14ac:dyDescent="0.3">
      <c r="A163">
        <v>160</v>
      </c>
      <c r="B163" s="24">
        <v>43625</v>
      </c>
      <c r="C163" t="s">
        <v>81</v>
      </c>
      <c r="D163" t="s">
        <v>18</v>
      </c>
      <c r="E163" t="s">
        <v>17</v>
      </c>
      <c r="F163">
        <v>600</v>
      </c>
      <c r="G163">
        <v>1</v>
      </c>
      <c r="H163">
        <v>600</v>
      </c>
      <c r="I163">
        <v>600</v>
      </c>
    </row>
    <row r="164" spans="1:9" x14ac:dyDescent="0.3">
      <c r="A164">
        <v>161</v>
      </c>
      <c r="B164" s="24">
        <v>43626</v>
      </c>
      <c r="C164" t="s">
        <v>81</v>
      </c>
      <c r="D164" t="s">
        <v>16</v>
      </c>
      <c r="E164" t="s">
        <v>17</v>
      </c>
      <c r="F164">
        <v>800</v>
      </c>
      <c r="G164">
        <v>1</v>
      </c>
      <c r="H164">
        <v>800</v>
      </c>
      <c r="I164">
        <v>800</v>
      </c>
    </row>
    <row r="165" spans="1:9" x14ac:dyDescent="0.3">
      <c r="A165">
        <v>162</v>
      </c>
      <c r="B165" s="24">
        <v>43627</v>
      </c>
      <c r="C165" t="s">
        <v>81</v>
      </c>
      <c r="D165" t="s">
        <v>18</v>
      </c>
      <c r="E165" t="s">
        <v>17</v>
      </c>
      <c r="F165">
        <v>600</v>
      </c>
      <c r="G165">
        <v>1</v>
      </c>
      <c r="H165">
        <v>600</v>
      </c>
      <c r="I165">
        <v>600</v>
      </c>
    </row>
    <row r="166" spans="1:9" x14ac:dyDescent="0.3">
      <c r="A166">
        <v>163</v>
      </c>
      <c r="B166" s="24">
        <v>43628</v>
      </c>
      <c r="C166" t="s">
        <v>81</v>
      </c>
      <c r="D166" t="s">
        <v>10</v>
      </c>
      <c r="E166" t="s">
        <v>11</v>
      </c>
      <c r="F166">
        <v>1100</v>
      </c>
      <c r="G166">
        <v>1</v>
      </c>
      <c r="H166">
        <v>1100</v>
      </c>
      <c r="I166">
        <v>1100</v>
      </c>
    </row>
    <row r="167" spans="1:9" x14ac:dyDescent="0.3">
      <c r="A167">
        <v>164</v>
      </c>
      <c r="B167" s="24">
        <v>43629</v>
      </c>
      <c r="C167" t="s">
        <v>81</v>
      </c>
      <c r="D167" t="s">
        <v>14</v>
      </c>
      <c r="E167" t="s">
        <v>11</v>
      </c>
      <c r="F167">
        <v>900</v>
      </c>
      <c r="G167">
        <v>1</v>
      </c>
      <c r="H167">
        <v>900</v>
      </c>
      <c r="I167">
        <v>900</v>
      </c>
    </row>
    <row r="168" spans="1:9" x14ac:dyDescent="0.3">
      <c r="A168">
        <v>165</v>
      </c>
      <c r="B168" s="24">
        <v>43630</v>
      </c>
      <c r="C168" t="s">
        <v>81</v>
      </c>
      <c r="D168" t="s">
        <v>10</v>
      </c>
      <c r="E168" t="s">
        <v>11</v>
      </c>
      <c r="F168">
        <v>1100</v>
      </c>
      <c r="G168">
        <v>1</v>
      </c>
      <c r="H168">
        <v>1100</v>
      </c>
      <c r="I168">
        <v>1100</v>
      </c>
    </row>
    <row r="169" spans="1:9" x14ac:dyDescent="0.3">
      <c r="A169">
        <v>166</v>
      </c>
      <c r="B169" s="24">
        <v>43631</v>
      </c>
      <c r="C169" t="s">
        <v>81</v>
      </c>
      <c r="D169" t="s">
        <v>10</v>
      </c>
      <c r="E169" t="s">
        <v>11</v>
      </c>
      <c r="F169">
        <v>1100</v>
      </c>
      <c r="G169">
        <v>1</v>
      </c>
      <c r="H169">
        <v>1100</v>
      </c>
      <c r="I169">
        <v>1100</v>
      </c>
    </row>
    <row r="170" spans="1:9" x14ac:dyDescent="0.3">
      <c r="A170">
        <v>167</v>
      </c>
      <c r="B170" s="24">
        <v>43632</v>
      </c>
      <c r="C170" t="s">
        <v>81</v>
      </c>
      <c r="D170" t="s">
        <v>21</v>
      </c>
      <c r="E170" t="s">
        <v>20</v>
      </c>
      <c r="F170">
        <v>1200</v>
      </c>
      <c r="G170">
        <v>1</v>
      </c>
      <c r="H170">
        <v>1200</v>
      </c>
      <c r="I170">
        <v>1200</v>
      </c>
    </row>
    <row r="171" spans="1:9" x14ac:dyDescent="0.3">
      <c r="A171">
        <v>168</v>
      </c>
      <c r="B171" s="24">
        <v>43633</v>
      </c>
      <c r="C171" t="s">
        <v>81</v>
      </c>
      <c r="D171" t="s">
        <v>21</v>
      </c>
      <c r="E171" t="s">
        <v>20</v>
      </c>
      <c r="F171">
        <v>1200</v>
      </c>
      <c r="G171">
        <v>1</v>
      </c>
      <c r="H171">
        <v>1200</v>
      </c>
      <c r="I171">
        <v>1200</v>
      </c>
    </row>
    <row r="172" spans="1:9" x14ac:dyDescent="0.3">
      <c r="A172">
        <v>169</v>
      </c>
      <c r="B172" s="24">
        <v>43634</v>
      </c>
      <c r="C172" t="s">
        <v>81</v>
      </c>
      <c r="D172" t="s">
        <v>10</v>
      </c>
      <c r="E172" t="s">
        <v>11</v>
      </c>
      <c r="F172">
        <v>1100</v>
      </c>
      <c r="G172">
        <v>1</v>
      </c>
      <c r="H172">
        <v>1100</v>
      </c>
      <c r="I172">
        <v>1100</v>
      </c>
    </row>
    <row r="173" spans="1:9" x14ac:dyDescent="0.3">
      <c r="A173">
        <v>170</v>
      </c>
      <c r="B173" s="24">
        <v>43635</v>
      </c>
      <c r="C173" t="s">
        <v>81</v>
      </c>
      <c r="D173" t="s">
        <v>10</v>
      </c>
      <c r="E173" t="s">
        <v>11</v>
      </c>
      <c r="F173">
        <v>1100</v>
      </c>
      <c r="G173">
        <v>1</v>
      </c>
      <c r="H173">
        <v>1100</v>
      </c>
      <c r="I173">
        <v>1100</v>
      </c>
    </row>
    <row r="174" spans="1:9" x14ac:dyDescent="0.3">
      <c r="A174">
        <v>171</v>
      </c>
      <c r="B174" s="24">
        <v>43636</v>
      </c>
      <c r="C174" t="s">
        <v>81</v>
      </c>
      <c r="D174" t="s">
        <v>22</v>
      </c>
      <c r="E174" t="s">
        <v>23</v>
      </c>
      <c r="F174">
        <v>900</v>
      </c>
      <c r="G174">
        <v>1</v>
      </c>
      <c r="H174">
        <v>900</v>
      </c>
      <c r="I174">
        <v>900</v>
      </c>
    </row>
    <row r="175" spans="1:9" x14ac:dyDescent="0.3">
      <c r="A175">
        <v>172</v>
      </c>
      <c r="B175" s="24">
        <v>43637</v>
      </c>
      <c r="C175" t="s">
        <v>81</v>
      </c>
      <c r="D175" t="s">
        <v>14</v>
      </c>
      <c r="E175" t="s">
        <v>11</v>
      </c>
      <c r="F175">
        <v>900</v>
      </c>
      <c r="G175">
        <v>1</v>
      </c>
      <c r="H175">
        <v>900</v>
      </c>
      <c r="I175">
        <v>900</v>
      </c>
    </row>
    <row r="176" spans="1:9" x14ac:dyDescent="0.3">
      <c r="A176">
        <v>173</v>
      </c>
      <c r="B176" s="24">
        <v>43638</v>
      </c>
      <c r="C176" t="s">
        <v>81</v>
      </c>
      <c r="D176" t="s">
        <v>22</v>
      </c>
      <c r="E176" t="s">
        <v>23</v>
      </c>
      <c r="F176">
        <v>800</v>
      </c>
      <c r="G176">
        <v>1</v>
      </c>
      <c r="H176">
        <v>800</v>
      </c>
      <c r="I176">
        <v>800</v>
      </c>
    </row>
    <row r="177" spans="1:9" x14ac:dyDescent="0.3">
      <c r="A177">
        <v>174</v>
      </c>
      <c r="B177" s="24">
        <v>43639</v>
      </c>
      <c r="C177" t="s">
        <v>81</v>
      </c>
      <c r="D177" t="s">
        <v>18</v>
      </c>
      <c r="E177" t="s">
        <v>17</v>
      </c>
      <c r="F177">
        <v>600</v>
      </c>
      <c r="G177">
        <v>1</v>
      </c>
      <c r="H177">
        <v>600</v>
      </c>
      <c r="I177">
        <v>600</v>
      </c>
    </row>
    <row r="178" spans="1:9" x14ac:dyDescent="0.3">
      <c r="A178">
        <v>175</v>
      </c>
      <c r="B178" s="24">
        <v>43640</v>
      </c>
      <c r="C178" t="s">
        <v>81</v>
      </c>
      <c r="D178" t="s">
        <v>22</v>
      </c>
      <c r="E178" t="s">
        <v>23</v>
      </c>
      <c r="F178">
        <v>800</v>
      </c>
      <c r="G178">
        <v>1</v>
      </c>
      <c r="H178">
        <v>800</v>
      </c>
      <c r="I178">
        <v>800</v>
      </c>
    </row>
    <row r="179" spans="1:9" x14ac:dyDescent="0.3">
      <c r="A179">
        <v>176</v>
      </c>
      <c r="B179" s="24">
        <v>43641</v>
      </c>
      <c r="C179" t="s">
        <v>81</v>
      </c>
      <c r="D179" t="s">
        <v>14</v>
      </c>
      <c r="E179" t="s">
        <v>11</v>
      </c>
      <c r="F179">
        <v>900</v>
      </c>
      <c r="G179">
        <v>1</v>
      </c>
      <c r="H179">
        <v>900</v>
      </c>
      <c r="I179">
        <v>900</v>
      </c>
    </row>
    <row r="180" spans="1:9" x14ac:dyDescent="0.3">
      <c r="A180">
        <v>177</v>
      </c>
      <c r="B180" s="24">
        <v>43642</v>
      </c>
      <c r="C180" t="s">
        <v>81</v>
      </c>
      <c r="D180" t="s">
        <v>21</v>
      </c>
      <c r="E180" t="s">
        <v>20</v>
      </c>
      <c r="F180">
        <v>1200</v>
      </c>
      <c r="G180">
        <v>1</v>
      </c>
      <c r="H180">
        <v>1200</v>
      </c>
      <c r="I180">
        <v>1200</v>
      </c>
    </row>
    <row r="181" spans="1:9" x14ac:dyDescent="0.3">
      <c r="A181">
        <v>178</v>
      </c>
      <c r="B181" s="24">
        <v>43643</v>
      </c>
      <c r="C181" t="s">
        <v>81</v>
      </c>
      <c r="D181" t="s">
        <v>22</v>
      </c>
      <c r="E181" t="s">
        <v>23</v>
      </c>
      <c r="F181">
        <v>800</v>
      </c>
      <c r="G181">
        <v>1</v>
      </c>
      <c r="H181">
        <v>800</v>
      </c>
      <c r="I181">
        <v>800</v>
      </c>
    </row>
    <row r="182" spans="1:9" x14ac:dyDescent="0.3">
      <c r="A182">
        <v>179</v>
      </c>
      <c r="B182" s="24">
        <v>43644</v>
      </c>
      <c r="C182" t="s">
        <v>81</v>
      </c>
      <c r="D182" t="s">
        <v>12</v>
      </c>
      <c r="E182" t="s">
        <v>11</v>
      </c>
      <c r="F182">
        <v>900</v>
      </c>
      <c r="G182">
        <v>1</v>
      </c>
      <c r="H182">
        <v>900</v>
      </c>
      <c r="I182">
        <v>765</v>
      </c>
    </row>
    <row r="183" spans="1:9" x14ac:dyDescent="0.3">
      <c r="A183">
        <v>180</v>
      </c>
      <c r="B183" s="24">
        <v>43645</v>
      </c>
      <c r="C183" t="s">
        <v>81</v>
      </c>
      <c r="D183" t="s">
        <v>21</v>
      </c>
      <c r="E183" t="s">
        <v>20</v>
      </c>
      <c r="F183">
        <v>1200</v>
      </c>
      <c r="G183">
        <v>1</v>
      </c>
      <c r="H183">
        <v>1200</v>
      </c>
      <c r="I183">
        <v>1200</v>
      </c>
    </row>
    <row r="184" spans="1:9" x14ac:dyDescent="0.3">
      <c r="A184">
        <v>181</v>
      </c>
      <c r="B184" s="24">
        <v>43646</v>
      </c>
      <c r="C184" t="s">
        <v>81</v>
      </c>
      <c r="D184" t="s">
        <v>10</v>
      </c>
      <c r="E184" t="s">
        <v>11</v>
      </c>
      <c r="F184">
        <v>1100</v>
      </c>
      <c r="G184">
        <v>1</v>
      </c>
      <c r="H184">
        <v>1100</v>
      </c>
      <c r="I184">
        <v>1100</v>
      </c>
    </row>
    <row r="185" spans="1:9" x14ac:dyDescent="0.3">
      <c r="A185">
        <v>182</v>
      </c>
      <c r="B185" s="24">
        <v>43647</v>
      </c>
      <c r="C185" t="s">
        <v>81</v>
      </c>
      <c r="D185" t="s">
        <v>21</v>
      </c>
      <c r="E185" t="s">
        <v>20</v>
      </c>
      <c r="F185">
        <v>1200</v>
      </c>
      <c r="G185">
        <v>1</v>
      </c>
      <c r="H185">
        <v>1200</v>
      </c>
      <c r="I185">
        <v>1200</v>
      </c>
    </row>
    <row r="186" spans="1:9" x14ac:dyDescent="0.3">
      <c r="A186">
        <v>183</v>
      </c>
      <c r="B186" s="24">
        <v>43648</v>
      </c>
      <c r="C186" t="s">
        <v>81</v>
      </c>
      <c r="D186" t="s">
        <v>14</v>
      </c>
      <c r="E186" t="s">
        <v>11</v>
      </c>
      <c r="F186">
        <v>900</v>
      </c>
      <c r="G186">
        <v>1</v>
      </c>
      <c r="H186">
        <v>900</v>
      </c>
      <c r="I186">
        <v>900</v>
      </c>
    </row>
    <row r="187" spans="1:9" x14ac:dyDescent="0.3">
      <c r="A187">
        <v>184</v>
      </c>
      <c r="B187" s="24">
        <v>43649</v>
      </c>
      <c r="C187" t="s">
        <v>81</v>
      </c>
      <c r="D187" t="s">
        <v>10</v>
      </c>
      <c r="E187" t="s">
        <v>11</v>
      </c>
      <c r="F187">
        <v>1100</v>
      </c>
      <c r="G187">
        <v>2</v>
      </c>
      <c r="H187">
        <v>2200</v>
      </c>
      <c r="I187">
        <v>2200</v>
      </c>
    </row>
    <row r="188" spans="1:9" x14ac:dyDescent="0.3">
      <c r="A188">
        <v>185</v>
      </c>
      <c r="B188" s="24">
        <v>43650</v>
      </c>
      <c r="C188" t="s">
        <v>81</v>
      </c>
      <c r="D188" t="s">
        <v>21</v>
      </c>
      <c r="E188" t="s">
        <v>20</v>
      </c>
      <c r="F188">
        <v>1200</v>
      </c>
      <c r="G188">
        <v>1</v>
      </c>
      <c r="H188">
        <v>1200</v>
      </c>
      <c r="I188">
        <v>1200</v>
      </c>
    </row>
    <row r="189" spans="1:9" x14ac:dyDescent="0.3">
      <c r="A189">
        <v>186</v>
      </c>
      <c r="B189" s="24">
        <v>43651</v>
      </c>
      <c r="C189" t="s">
        <v>81</v>
      </c>
      <c r="D189" t="s">
        <v>10</v>
      </c>
      <c r="E189" t="s">
        <v>11</v>
      </c>
      <c r="F189">
        <v>1100</v>
      </c>
      <c r="G189">
        <v>1</v>
      </c>
      <c r="H189">
        <v>1100</v>
      </c>
      <c r="I189">
        <v>1100</v>
      </c>
    </row>
    <row r="190" spans="1:9" x14ac:dyDescent="0.3">
      <c r="A190">
        <v>187</v>
      </c>
      <c r="B190" s="24">
        <v>43652</v>
      </c>
      <c r="C190" t="s">
        <v>81</v>
      </c>
      <c r="D190" t="s">
        <v>12</v>
      </c>
      <c r="E190" t="s">
        <v>11</v>
      </c>
      <c r="F190">
        <v>900</v>
      </c>
      <c r="G190">
        <v>1</v>
      </c>
      <c r="H190">
        <v>900</v>
      </c>
      <c r="I190">
        <v>765</v>
      </c>
    </row>
    <row r="191" spans="1:9" x14ac:dyDescent="0.3">
      <c r="A191">
        <v>188</v>
      </c>
      <c r="B191" s="24">
        <v>43653</v>
      </c>
      <c r="C191" t="s">
        <v>81</v>
      </c>
      <c r="D191" t="s">
        <v>18</v>
      </c>
      <c r="E191" t="s">
        <v>17</v>
      </c>
      <c r="F191">
        <v>600</v>
      </c>
      <c r="G191">
        <v>1</v>
      </c>
      <c r="H191">
        <v>600</v>
      </c>
      <c r="I191">
        <v>600</v>
      </c>
    </row>
    <row r="192" spans="1:9" x14ac:dyDescent="0.3">
      <c r="A192">
        <v>189</v>
      </c>
      <c r="B192" s="24">
        <v>43654</v>
      </c>
      <c r="C192" t="s">
        <v>81</v>
      </c>
      <c r="D192" t="s">
        <v>22</v>
      </c>
      <c r="E192" t="s">
        <v>23</v>
      </c>
      <c r="F192">
        <v>900</v>
      </c>
      <c r="G192">
        <v>1</v>
      </c>
      <c r="H192">
        <v>900</v>
      </c>
      <c r="I192">
        <v>900</v>
      </c>
    </row>
    <row r="193" spans="1:9" x14ac:dyDescent="0.3">
      <c r="A193">
        <v>190</v>
      </c>
      <c r="B193" s="24">
        <v>43655</v>
      </c>
      <c r="C193" t="s">
        <v>81</v>
      </c>
      <c r="D193" t="s">
        <v>16</v>
      </c>
      <c r="E193" t="s">
        <v>17</v>
      </c>
      <c r="F193">
        <v>800</v>
      </c>
      <c r="G193">
        <v>1</v>
      </c>
      <c r="H193">
        <v>800</v>
      </c>
      <c r="I193">
        <v>800</v>
      </c>
    </row>
    <row r="194" spans="1:9" x14ac:dyDescent="0.3">
      <c r="A194">
        <v>191</v>
      </c>
      <c r="B194" s="24">
        <v>43656</v>
      </c>
      <c r="C194" t="s">
        <v>81</v>
      </c>
      <c r="D194" t="s">
        <v>10</v>
      </c>
      <c r="E194" t="s">
        <v>11</v>
      </c>
      <c r="F194">
        <v>1100</v>
      </c>
      <c r="G194">
        <v>1</v>
      </c>
      <c r="H194">
        <v>1100</v>
      </c>
      <c r="I194">
        <v>1100</v>
      </c>
    </row>
    <row r="195" spans="1:9" x14ac:dyDescent="0.3">
      <c r="A195">
        <v>192</v>
      </c>
      <c r="B195" s="24">
        <v>43657</v>
      </c>
      <c r="C195" t="s">
        <v>81</v>
      </c>
      <c r="D195" t="s">
        <v>14</v>
      </c>
      <c r="E195" t="s">
        <v>11</v>
      </c>
      <c r="F195">
        <v>900</v>
      </c>
      <c r="G195">
        <v>1</v>
      </c>
      <c r="H195">
        <v>900</v>
      </c>
      <c r="I195">
        <v>900</v>
      </c>
    </row>
    <row r="196" spans="1:9" x14ac:dyDescent="0.3">
      <c r="A196">
        <v>193</v>
      </c>
      <c r="B196" s="24">
        <v>43658</v>
      </c>
      <c r="C196" t="s">
        <v>81</v>
      </c>
      <c r="D196" t="s">
        <v>15</v>
      </c>
      <c r="E196" t="s">
        <v>11</v>
      </c>
      <c r="F196">
        <v>1000</v>
      </c>
      <c r="G196">
        <v>1</v>
      </c>
      <c r="H196">
        <v>1000</v>
      </c>
      <c r="I196">
        <v>1000</v>
      </c>
    </row>
    <row r="197" spans="1:9" x14ac:dyDescent="0.3">
      <c r="A197">
        <v>194</v>
      </c>
      <c r="B197" s="24">
        <v>43659</v>
      </c>
      <c r="C197" t="s">
        <v>81</v>
      </c>
      <c r="D197" t="s">
        <v>19</v>
      </c>
      <c r="E197" t="s">
        <v>20</v>
      </c>
      <c r="F197">
        <v>850</v>
      </c>
      <c r="G197">
        <v>1</v>
      </c>
      <c r="H197">
        <v>850</v>
      </c>
      <c r="I197">
        <v>850</v>
      </c>
    </row>
    <row r="198" spans="1:9" x14ac:dyDescent="0.3">
      <c r="A198">
        <v>195</v>
      </c>
      <c r="B198" s="24">
        <v>43660</v>
      </c>
      <c r="C198" t="s">
        <v>81</v>
      </c>
      <c r="D198" t="s">
        <v>18</v>
      </c>
      <c r="E198" t="s">
        <v>17</v>
      </c>
      <c r="F198">
        <v>600</v>
      </c>
      <c r="G198">
        <v>1</v>
      </c>
      <c r="H198">
        <v>600</v>
      </c>
      <c r="I198">
        <v>600</v>
      </c>
    </row>
    <row r="199" spans="1:9" x14ac:dyDescent="0.3">
      <c r="A199">
        <v>196</v>
      </c>
      <c r="B199" s="24">
        <v>43661</v>
      </c>
      <c r="C199" t="s">
        <v>81</v>
      </c>
      <c r="D199" t="s">
        <v>14</v>
      </c>
      <c r="E199" t="s">
        <v>11</v>
      </c>
      <c r="F199">
        <v>900</v>
      </c>
      <c r="G199">
        <v>1</v>
      </c>
      <c r="H199">
        <v>900</v>
      </c>
      <c r="I199">
        <v>900</v>
      </c>
    </row>
    <row r="200" spans="1:9" x14ac:dyDescent="0.3">
      <c r="A200">
        <v>197</v>
      </c>
      <c r="B200" s="24">
        <v>43662</v>
      </c>
      <c r="C200" t="s">
        <v>81</v>
      </c>
      <c r="D200" t="s">
        <v>15</v>
      </c>
      <c r="E200" t="s">
        <v>11</v>
      </c>
      <c r="F200">
        <v>1000</v>
      </c>
      <c r="G200">
        <v>1</v>
      </c>
      <c r="H200">
        <v>1000</v>
      </c>
      <c r="I200">
        <v>1000</v>
      </c>
    </row>
    <row r="201" spans="1:9" x14ac:dyDescent="0.3">
      <c r="A201">
        <v>198</v>
      </c>
      <c r="B201" s="24">
        <v>43663</v>
      </c>
      <c r="C201" t="s">
        <v>81</v>
      </c>
      <c r="D201" t="s">
        <v>14</v>
      </c>
      <c r="E201" t="s">
        <v>11</v>
      </c>
      <c r="F201">
        <v>900</v>
      </c>
      <c r="G201">
        <v>1</v>
      </c>
      <c r="H201">
        <v>900</v>
      </c>
      <c r="I201">
        <v>900</v>
      </c>
    </row>
    <row r="202" spans="1:9" x14ac:dyDescent="0.3">
      <c r="A202">
        <v>199</v>
      </c>
      <c r="B202" s="24">
        <v>43664</v>
      </c>
      <c r="C202" t="s">
        <v>81</v>
      </c>
      <c r="D202" t="s">
        <v>12</v>
      </c>
      <c r="E202" t="s">
        <v>11</v>
      </c>
      <c r="F202">
        <v>900</v>
      </c>
      <c r="G202">
        <v>1</v>
      </c>
      <c r="H202">
        <v>900</v>
      </c>
      <c r="I202">
        <v>765</v>
      </c>
    </row>
    <row r="203" spans="1:9" x14ac:dyDescent="0.3">
      <c r="A203">
        <v>200</v>
      </c>
      <c r="B203" s="24">
        <v>43665</v>
      </c>
      <c r="C203" t="s">
        <v>81</v>
      </c>
      <c r="D203" t="s">
        <v>18</v>
      </c>
      <c r="E203" t="s">
        <v>17</v>
      </c>
      <c r="F203">
        <v>600</v>
      </c>
      <c r="G203">
        <v>1</v>
      </c>
      <c r="H203">
        <v>600</v>
      </c>
      <c r="I203">
        <v>600</v>
      </c>
    </row>
    <row r="204" spans="1:9" x14ac:dyDescent="0.3">
      <c r="A204">
        <v>201</v>
      </c>
      <c r="B204" s="24">
        <v>43666</v>
      </c>
      <c r="C204" t="s">
        <v>81</v>
      </c>
      <c r="D204" t="s">
        <v>22</v>
      </c>
      <c r="E204" t="s">
        <v>23</v>
      </c>
      <c r="F204">
        <v>900</v>
      </c>
      <c r="G204">
        <v>1</v>
      </c>
      <c r="H204">
        <v>900</v>
      </c>
      <c r="I204">
        <v>900</v>
      </c>
    </row>
    <row r="205" spans="1:9" x14ac:dyDescent="0.3">
      <c r="A205">
        <v>202</v>
      </c>
      <c r="B205" s="24">
        <v>43667</v>
      </c>
      <c r="C205" t="s">
        <v>81</v>
      </c>
      <c r="D205" t="s">
        <v>22</v>
      </c>
      <c r="E205" t="s">
        <v>23</v>
      </c>
      <c r="F205">
        <v>800</v>
      </c>
      <c r="G205">
        <v>1</v>
      </c>
      <c r="H205">
        <v>800</v>
      </c>
      <c r="I205">
        <v>800</v>
      </c>
    </row>
    <row r="206" spans="1:9" x14ac:dyDescent="0.3">
      <c r="A206">
        <v>203</v>
      </c>
      <c r="B206" s="24">
        <v>43668</v>
      </c>
      <c r="C206" t="s">
        <v>81</v>
      </c>
      <c r="D206" t="s">
        <v>16</v>
      </c>
      <c r="E206" t="s">
        <v>17</v>
      </c>
      <c r="F206">
        <v>800</v>
      </c>
      <c r="G206">
        <v>1</v>
      </c>
      <c r="H206">
        <v>800</v>
      </c>
      <c r="I206">
        <v>800</v>
      </c>
    </row>
    <row r="207" spans="1:9" x14ac:dyDescent="0.3">
      <c r="A207">
        <v>204</v>
      </c>
      <c r="B207" s="24">
        <v>43669</v>
      </c>
      <c r="C207" t="s">
        <v>81</v>
      </c>
      <c r="D207" t="s">
        <v>18</v>
      </c>
      <c r="E207" t="s">
        <v>17</v>
      </c>
      <c r="F207">
        <v>600</v>
      </c>
      <c r="G207">
        <v>1</v>
      </c>
      <c r="H207">
        <v>600</v>
      </c>
      <c r="I207">
        <v>600</v>
      </c>
    </row>
    <row r="208" spans="1:9" x14ac:dyDescent="0.3">
      <c r="A208">
        <v>205</v>
      </c>
      <c r="B208" s="24">
        <v>43670</v>
      </c>
      <c r="C208" t="s">
        <v>81</v>
      </c>
      <c r="D208" t="s">
        <v>22</v>
      </c>
      <c r="E208" t="s">
        <v>23</v>
      </c>
      <c r="F208">
        <v>500</v>
      </c>
      <c r="G208">
        <v>1</v>
      </c>
      <c r="H208">
        <v>500</v>
      </c>
      <c r="I208">
        <v>500</v>
      </c>
    </row>
    <row r="209" spans="1:9" x14ac:dyDescent="0.3">
      <c r="A209">
        <v>206</v>
      </c>
      <c r="B209" s="24">
        <v>43671</v>
      </c>
      <c r="C209" t="s">
        <v>81</v>
      </c>
      <c r="D209" t="s">
        <v>14</v>
      </c>
      <c r="E209" t="s">
        <v>11</v>
      </c>
      <c r="F209">
        <v>900</v>
      </c>
      <c r="G209">
        <v>1</v>
      </c>
      <c r="H209">
        <v>900</v>
      </c>
      <c r="I209">
        <v>900</v>
      </c>
    </row>
    <row r="210" spans="1:9" x14ac:dyDescent="0.3">
      <c r="A210">
        <v>207</v>
      </c>
      <c r="B210" s="24">
        <v>43672</v>
      </c>
      <c r="C210" t="s">
        <v>81</v>
      </c>
      <c r="D210" t="s">
        <v>10</v>
      </c>
      <c r="E210" t="s">
        <v>11</v>
      </c>
      <c r="F210">
        <v>1100</v>
      </c>
      <c r="G210">
        <v>1</v>
      </c>
      <c r="H210">
        <v>1100</v>
      </c>
      <c r="I210">
        <v>1100</v>
      </c>
    </row>
    <row r="211" spans="1:9" x14ac:dyDescent="0.3">
      <c r="A211">
        <v>208</v>
      </c>
      <c r="B211" s="24">
        <v>43673</v>
      </c>
      <c r="C211" t="s">
        <v>81</v>
      </c>
      <c r="D211" t="s">
        <v>22</v>
      </c>
      <c r="E211" t="s">
        <v>23</v>
      </c>
      <c r="F211">
        <v>500</v>
      </c>
      <c r="G211">
        <v>1</v>
      </c>
      <c r="H211">
        <v>500</v>
      </c>
      <c r="I211">
        <v>500</v>
      </c>
    </row>
    <row r="212" spans="1:9" x14ac:dyDescent="0.3">
      <c r="A212">
        <v>209</v>
      </c>
      <c r="B212" s="24">
        <v>43674</v>
      </c>
      <c r="C212" t="s">
        <v>81</v>
      </c>
      <c r="D212" t="s">
        <v>18</v>
      </c>
      <c r="E212" t="s">
        <v>17</v>
      </c>
      <c r="F212">
        <v>600</v>
      </c>
      <c r="G212">
        <v>1</v>
      </c>
      <c r="H212">
        <v>600</v>
      </c>
      <c r="I212">
        <v>600</v>
      </c>
    </row>
    <row r="213" spans="1:9" x14ac:dyDescent="0.3">
      <c r="A213">
        <v>210</v>
      </c>
      <c r="B213" s="24">
        <v>43675</v>
      </c>
      <c r="C213" t="s">
        <v>81</v>
      </c>
      <c r="D213" t="s">
        <v>14</v>
      </c>
      <c r="E213" t="s">
        <v>11</v>
      </c>
      <c r="F213">
        <v>900</v>
      </c>
      <c r="G213">
        <v>1</v>
      </c>
      <c r="H213">
        <v>900</v>
      </c>
      <c r="I213">
        <v>900</v>
      </c>
    </row>
    <row r="214" spans="1:9" x14ac:dyDescent="0.3">
      <c r="A214">
        <v>211</v>
      </c>
      <c r="B214" s="24">
        <v>43676</v>
      </c>
      <c r="C214" t="s">
        <v>81</v>
      </c>
      <c r="D214" t="s">
        <v>22</v>
      </c>
      <c r="E214" t="s">
        <v>23</v>
      </c>
      <c r="F214">
        <v>500</v>
      </c>
      <c r="G214">
        <v>1</v>
      </c>
      <c r="H214">
        <v>500</v>
      </c>
      <c r="I214">
        <v>500</v>
      </c>
    </row>
    <row r="215" spans="1:9" x14ac:dyDescent="0.3">
      <c r="A215">
        <v>212</v>
      </c>
      <c r="B215" s="24">
        <v>43677</v>
      </c>
      <c r="C215" t="s">
        <v>81</v>
      </c>
      <c r="D215" t="s">
        <v>22</v>
      </c>
      <c r="E215" t="s">
        <v>23</v>
      </c>
      <c r="F215">
        <v>500</v>
      </c>
      <c r="G215">
        <v>1</v>
      </c>
      <c r="H215">
        <v>500</v>
      </c>
      <c r="I215">
        <v>500</v>
      </c>
    </row>
    <row r="216" spans="1:9" x14ac:dyDescent="0.3">
      <c r="A216">
        <v>213</v>
      </c>
      <c r="B216" s="24">
        <v>43678</v>
      </c>
      <c r="C216" t="s">
        <v>81</v>
      </c>
      <c r="D216" t="s">
        <v>18</v>
      </c>
      <c r="E216" t="s">
        <v>17</v>
      </c>
      <c r="F216">
        <v>600</v>
      </c>
      <c r="G216">
        <v>1</v>
      </c>
      <c r="H216">
        <v>600</v>
      </c>
      <c r="I216">
        <v>600</v>
      </c>
    </row>
    <row r="217" spans="1:9" x14ac:dyDescent="0.3">
      <c r="A217">
        <v>214</v>
      </c>
      <c r="B217" s="24">
        <v>43679</v>
      </c>
      <c r="C217" t="s">
        <v>81</v>
      </c>
      <c r="D217" t="s">
        <v>18</v>
      </c>
      <c r="E217" t="s">
        <v>17</v>
      </c>
      <c r="F217">
        <v>600</v>
      </c>
      <c r="G217">
        <v>1</v>
      </c>
      <c r="H217">
        <v>600</v>
      </c>
      <c r="I217">
        <v>600</v>
      </c>
    </row>
    <row r="218" spans="1:9" x14ac:dyDescent="0.3">
      <c r="A218">
        <v>215</v>
      </c>
      <c r="B218" s="24">
        <v>43680</v>
      </c>
      <c r="C218" t="s">
        <v>81</v>
      </c>
      <c r="D218" t="s">
        <v>16</v>
      </c>
      <c r="E218" t="s">
        <v>17</v>
      </c>
      <c r="F218">
        <v>800</v>
      </c>
      <c r="G218">
        <v>1</v>
      </c>
      <c r="H218">
        <v>800</v>
      </c>
      <c r="I218">
        <v>800</v>
      </c>
    </row>
    <row r="219" spans="1:9" x14ac:dyDescent="0.3">
      <c r="A219">
        <v>216</v>
      </c>
      <c r="B219" s="24">
        <v>43681</v>
      </c>
      <c r="C219" t="s">
        <v>81</v>
      </c>
      <c r="D219" t="s">
        <v>19</v>
      </c>
      <c r="E219" t="s">
        <v>20</v>
      </c>
      <c r="F219">
        <v>850</v>
      </c>
      <c r="G219">
        <v>1</v>
      </c>
      <c r="H219">
        <v>850</v>
      </c>
      <c r="I219">
        <v>850</v>
      </c>
    </row>
    <row r="220" spans="1:9" x14ac:dyDescent="0.3">
      <c r="A220">
        <v>217</v>
      </c>
      <c r="B220" s="24">
        <v>43682</v>
      </c>
      <c r="C220" t="s">
        <v>81</v>
      </c>
      <c r="D220" t="s">
        <v>22</v>
      </c>
      <c r="E220" t="s">
        <v>23</v>
      </c>
      <c r="F220">
        <v>500</v>
      </c>
      <c r="G220">
        <v>1</v>
      </c>
      <c r="H220">
        <v>500</v>
      </c>
      <c r="I220">
        <v>500</v>
      </c>
    </row>
    <row r="221" spans="1:9" x14ac:dyDescent="0.3">
      <c r="A221">
        <v>218</v>
      </c>
      <c r="B221" s="24">
        <v>43683</v>
      </c>
      <c r="C221" t="s">
        <v>81</v>
      </c>
      <c r="D221" t="s">
        <v>22</v>
      </c>
      <c r="E221" t="s">
        <v>23</v>
      </c>
      <c r="F221">
        <v>500</v>
      </c>
      <c r="G221">
        <v>1</v>
      </c>
      <c r="H221">
        <v>500</v>
      </c>
      <c r="I221">
        <v>500</v>
      </c>
    </row>
    <row r="222" spans="1:9" x14ac:dyDescent="0.3">
      <c r="A222">
        <v>219</v>
      </c>
      <c r="B222" s="24">
        <v>43684</v>
      </c>
      <c r="C222" t="s">
        <v>81</v>
      </c>
      <c r="D222" t="s">
        <v>10</v>
      </c>
      <c r="E222" t="s">
        <v>11</v>
      </c>
      <c r="F222">
        <v>1100</v>
      </c>
      <c r="G222">
        <v>1</v>
      </c>
      <c r="H222">
        <v>1100</v>
      </c>
      <c r="I222">
        <v>1100</v>
      </c>
    </row>
    <row r="223" spans="1:9" x14ac:dyDescent="0.3">
      <c r="A223">
        <v>220</v>
      </c>
      <c r="B223" s="24">
        <v>43685</v>
      </c>
      <c r="C223" t="s">
        <v>81</v>
      </c>
      <c r="D223" t="s">
        <v>22</v>
      </c>
      <c r="E223" t="s">
        <v>23</v>
      </c>
      <c r="F223">
        <v>500</v>
      </c>
      <c r="G223">
        <v>1</v>
      </c>
      <c r="H223">
        <v>500</v>
      </c>
      <c r="I223">
        <v>500</v>
      </c>
    </row>
    <row r="224" spans="1:9" x14ac:dyDescent="0.3">
      <c r="A224">
        <v>221</v>
      </c>
      <c r="B224" s="24">
        <v>43686</v>
      </c>
      <c r="C224" t="s">
        <v>81</v>
      </c>
      <c r="D224" t="s">
        <v>15</v>
      </c>
      <c r="E224" t="s">
        <v>11</v>
      </c>
      <c r="F224">
        <v>1000</v>
      </c>
      <c r="G224">
        <v>1</v>
      </c>
      <c r="H224">
        <v>1000</v>
      </c>
      <c r="I224">
        <v>1000</v>
      </c>
    </row>
    <row r="225" spans="1:9" x14ac:dyDescent="0.3">
      <c r="A225">
        <v>222</v>
      </c>
      <c r="B225" s="24">
        <v>43687</v>
      </c>
      <c r="C225" t="s">
        <v>81</v>
      </c>
      <c r="D225" t="s">
        <v>16</v>
      </c>
      <c r="E225" t="s">
        <v>17</v>
      </c>
      <c r="F225">
        <v>800</v>
      </c>
      <c r="G225">
        <v>1</v>
      </c>
      <c r="H225">
        <v>800</v>
      </c>
      <c r="I225">
        <v>800</v>
      </c>
    </row>
    <row r="226" spans="1:9" x14ac:dyDescent="0.3">
      <c r="A226">
        <v>223</v>
      </c>
      <c r="B226" s="24">
        <v>43688</v>
      </c>
      <c r="C226" t="s">
        <v>81</v>
      </c>
      <c r="D226" t="s">
        <v>24</v>
      </c>
      <c r="E226" t="s">
        <v>23</v>
      </c>
      <c r="F226">
        <v>600</v>
      </c>
      <c r="G226">
        <v>1</v>
      </c>
      <c r="H226">
        <v>600</v>
      </c>
      <c r="I226">
        <v>600</v>
      </c>
    </row>
    <row r="227" spans="1:9" x14ac:dyDescent="0.3">
      <c r="A227">
        <v>224</v>
      </c>
      <c r="B227" s="24">
        <v>43689</v>
      </c>
      <c r="C227" t="s">
        <v>81</v>
      </c>
      <c r="D227" t="s">
        <v>24</v>
      </c>
      <c r="E227" t="s">
        <v>23</v>
      </c>
      <c r="F227">
        <v>600</v>
      </c>
      <c r="G227">
        <v>1</v>
      </c>
      <c r="H227">
        <v>600</v>
      </c>
      <c r="I227">
        <v>600</v>
      </c>
    </row>
    <row r="228" spans="1:9" x14ac:dyDescent="0.3">
      <c r="A228">
        <v>225</v>
      </c>
      <c r="B228" s="24">
        <v>43690</v>
      </c>
      <c r="C228" t="s">
        <v>81</v>
      </c>
      <c r="D228" t="s">
        <v>19</v>
      </c>
      <c r="E228" t="s">
        <v>20</v>
      </c>
      <c r="F228">
        <v>850</v>
      </c>
      <c r="G228">
        <v>1</v>
      </c>
      <c r="H228">
        <v>850</v>
      </c>
      <c r="I228">
        <v>850</v>
      </c>
    </row>
    <row r="229" spans="1:9" x14ac:dyDescent="0.3">
      <c r="A229">
        <v>226</v>
      </c>
      <c r="B229" s="24">
        <v>43691</v>
      </c>
      <c r="C229" t="s">
        <v>81</v>
      </c>
      <c r="D229" t="s">
        <v>24</v>
      </c>
      <c r="E229" t="s">
        <v>23</v>
      </c>
      <c r="F229">
        <v>600</v>
      </c>
      <c r="G229">
        <v>1</v>
      </c>
      <c r="H229">
        <v>600</v>
      </c>
      <c r="I229">
        <v>600</v>
      </c>
    </row>
    <row r="230" spans="1:9" x14ac:dyDescent="0.3">
      <c r="A230">
        <v>227</v>
      </c>
      <c r="B230" s="24">
        <v>43692</v>
      </c>
      <c r="C230" t="s">
        <v>81</v>
      </c>
      <c r="D230" t="s">
        <v>18</v>
      </c>
      <c r="E230" t="s">
        <v>17</v>
      </c>
      <c r="F230">
        <v>600</v>
      </c>
      <c r="G230">
        <v>1</v>
      </c>
      <c r="H230">
        <v>600</v>
      </c>
      <c r="I230">
        <v>600</v>
      </c>
    </row>
    <row r="231" spans="1:9" x14ac:dyDescent="0.3">
      <c r="A231">
        <v>228</v>
      </c>
      <c r="B231" s="24">
        <v>43693</v>
      </c>
      <c r="C231" t="s">
        <v>81</v>
      </c>
      <c r="D231" t="s">
        <v>24</v>
      </c>
      <c r="E231" t="s">
        <v>23</v>
      </c>
      <c r="F231">
        <v>600</v>
      </c>
      <c r="G231">
        <v>1</v>
      </c>
      <c r="H231">
        <v>600</v>
      </c>
      <c r="I231">
        <v>600</v>
      </c>
    </row>
    <row r="232" spans="1:9" x14ac:dyDescent="0.3">
      <c r="A232">
        <v>229</v>
      </c>
      <c r="B232" s="24">
        <v>43694</v>
      </c>
      <c r="C232" t="s">
        <v>81</v>
      </c>
      <c r="D232" t="s">
        <v>10</v>
      </c>
      <c r="E232" t="s">
        <v>11</v>
      </c>
      <c r="F232">
        <v>1100</v>
      </c>
      <c r="G232">
        <v>1</v>
      </c>
      <c r="H232">
        <v>1100</v>
      </c>
      <c r="I232">
        <v>1100</v>
      </c>
    </row>
    <row r="233" spans="1:9" x14ac:dyDescent="0.3">
      <c r="A233">
        <v>230</v>
      </c>
      <c r="B233" s="24">
        <v>43695</v>
      </c>
      <c r="C233" t="s">
        <v>81</v>
      </c>
      <c r="D233" t="s">
        <v>18</v>
      </c>
      <c r="E233" t="s">
        <v>17</v>
      </c>
      <c r="F233">
        <v>600</v>
      </c>
      <c r="G233">
        <v>1</v>
      </c>
      <c r="H233">
        <v>600</v>
      </c>
      <c r="I233">
        <v>600</v>
      </c>
    </row>
    <row r="234" spans="1:9" x14ac:dyDescent="0.3">
      <c r="A234">
        <v>231</v>
      </c>
      <c r="B234" s="24">
        <v>43696</v>
      </c>
      <c r="C234" t="s">
        <v>81</v>
      </c>
      <c r="D234" t="s">
        <v>10</v>
      </c>
      <c r="E234" t="s">
        <v>11</v>
      </c>
      <c r="F234">
        <v>1100</v>
      </c>
      <c r="G234">
        <v>1</v>
      </c>
      <c r="H234">
        <v>1100</v>
      </c>
      <c r="I234">
        <v>1100</v>
      </c>
    </row>
    <row r="235" spans="1:9" x14ac:dyDescent="0.3">
      <c r="A235">
        <v>232</v>
      </c>
      <c r="B235" s="24">
        <v>43697</v>
      </c>
      <c r="C235" t="s">
        <v>81</v>
      </c>
      <c r="D235" t="s">
        <v>10</v>
      </c>
      <c r="E235" t="s">
        <v>11</v>
      </c>
      <c r="F235">
        <v>1100</v>
      </c>
      <c r="G235">
        <v>1</v>
      </c>
      <c r="H235">
        <v>1100</v>
      </c>
      <c r="I235">
        <v>1100</v>
      </c>
    </row>
    <row r="236" spans="1:9" x14ac:dyDescent="0.3">
      <c r="A236">
        <v>233</v>
      </c>
      <c r="B236" s="24">
        <v>43698</v>
      </c>
      <c r="C236" t="s">
        <v>81</v>
      </c>
      <c r="D236" t="s">
        <v>10</v>
      </c>
      <c r="E236" t="s">
        <v>11</v>
      </c>
      <c r="F236">
        <v>1100</v>
      </c>
      <c r="G236">
        <v>1</v>
      </c>
      <c r="H236">
        <v>1100</v>
      </c>
      <c r="I236">
        <v>1100</v>
      </c>
    </row>
    <row r="237" spans="1:9" x14ac:dyDescent="0.3">
      <c r="A237">
        <v>234</v>
      </c>
      <c r="B237" s="24">
        <v>43699</v>
      </c>
      <c r="C237" t="s">
        <v>81</v>
      </c>
      <c r="D237" t="s">
        <v>19</v>
      </c>
      <c r="E237" t="s">
        <v>20</v>
      </c>
      <c r="F237">
        <v>850</v>
      </c>
      <c r="G237">
        <v>1</v>
      </c>
      <c r="H237">
        <v>850</v>
      </c>
      <c r="I237">
        <v>850</v>
      </c>
    </row>
    <row r="238" spans="1:9" x14ac:dyDescent="0.3">
      <c r="A238">
        <v>235</v>
      </c>
      <c r="B238" s="24">
        <v>43700</v>
      </c>
      <c r="C238" t="s">
        <v>81</v>
      </c>
      <c r="D238" t="s">
        <v>18</v>
      </c>
      <c r="E238" t="s">
        <v>17</v>
      </c>
      <c r="F238">
        <v>600</v>
      </c>
      <c r="G238">
        <v>1</v>
      </c>
      <c r="H238">
        <v>600</v>
      </c>
      <c r="I238">
        <v>600</v>
      </c>
    </row>
    <row r="239" spans="1:9" x14ac:dyDescent="0.3">
      <c r="A239">
        <v>236</v>
      </c>
      <c r="B239" s="24">
        <v>43701</v>
      </c>
      <c r="C239" t="s">
        <v>81</v>
      </c>
      <c r="D239" t="s">
        <v>18</v>
      </c>
      <c r="E239" t="s">
        <v>17</v>
      </c>
      <c r="F239">
        <v>600</v>
      </c>
      <c r="G239">
        <v>1</v>
      </c>
      <c r="H239">
        <v>600</v>
      </c>
      <c r="I239">
        <v>600</v>
      </c>
    </row>
    <row r="240" spans="1:9" x14ac:dyDescent="0.3">
      <c r="A240">
        <v>237</v>
      </c>
      <c r="B240" s="24">
        <v>43702</v>
      </c>
      <c r="C240" t="s">
        <v>81</v>
      </c>
      <c r="D240" t="s">
        <v>16</v>
      </c>
      <c r="E240" t="s">
        <v>17</v>
      </c>
      <c r="F240">
        <v>800</v>
      </c>
      <c r="G240">
        <v>1</v>
      </c>
      <c r="H240">
        <v>800</v>
      </c>
      <c r="I240">
        <v>800</v>
      </c>
    </row>
    <row r="241" spans="1:9" x14ac:dyDescent="0.3">
      <c r="A241">
        <v>238</v>
      </c>
      <c r="B241" s="24">
        <v>43703</v>
      </c>
      <c r="C241" t="s">
        <v>81</v>
      </c>
      <c r="D241" t="s">
        <v>21</v>
      </c>
      <c r="E241" t="s">
        <v>20</v>
      </c>
      <c r="F241">
        <v>1200</v>
      </c>
      <c r="G241">
        <v>1</v>
      </c>
      <c r="H241">
        <v>1200</v>
      </c>
      <c r="I241">
        <v>1200</v>
      </c>
    </row>
    <row r="242" spans="1:9" x14ac:dyDescent="0.3">
      <c r="A242">
        <v>239</v>
      </c>
      <c r="B242" s="24">
        <v>43704</v>
      </c>
      <c r="C242" t="s">
        <v>81</v>
      </c>
      <c r="D242" t="s">
        <v>15</v>
      </c>
      <c r="E242" t="s">
        <v>11</v>
      </c>
      <c r="F242">
        <v>1000</v>
      </c>
      <c r="G242">
        <v>1</v>
      </c>
      <c r="H242">
        <v>1000</v>
      </c>
      <c r="I242">
        <v>1000</v>
      </c>
    </row>
    <row r="243" spans="1:9" x14ac:dyDescent="0.3">
      <c r="A243">
        <v>240</v>
      </c>
      <c r="B243" s="24">
        <v>43705</v>
      </c>
      <c r="C243" t="s">
        <v>81</v>
      </c>
      <c r="D243" t="s">
        <v>24</v>
      </c>
      <c r="E243" t="s">
        <v>23</v>
      </c>
      <c r="F243">
        <v>600</v>
      </c>
      <c r="G243">
        <v>1</v>
      </c>
      <c r="H243">
        <v>600</v>
      </c>
      <c r="I243">
        <v>600</v>
      </c>
    </row>
    <row r="244" spans="1:9" x14ac:dyDescent="0.3">
      <c r="A244">
        <v>241</v>
      </c>
      <c r="B244" s="24">
        <v>43706</v>
      </c>
      <c r="C244" t="s">
        <v>81</v>
      </c>
      <c r="D244" t="s">
        <v>14</v>
      </c>
      <c r="E244" t="s">
        <v>11</v>
      </c>
      <c r="F244">
        <v>900</v>
      </c>
      <c r="G244">
        <v>1</v>
      </c>
      <c r="H244">
        <v>900</v>
      </c>
      <c r="I244">
        <v>900</v>
      </c>
    </row>
    <row r="245" spans="1:9" x14ac:dyDescent="0.3">
      <c r="A245">
        <v>242</v>
      </c>
      <c r="B245" s="24">
        <v>43707</v>
      </c>
      <c r="C245" t="s">
        <v>81</v>
      </c>
      <c r="D245" t="s">
        <v>18</v>
      </c>
      <c r="E245" t="s">
        <v>17</v>
      </c>
      <c r="F245">
        <v>600</v>
      </c>
      <c r="G245">
        <v>1</v>
      </c>
      <c r="H245">
        <v>600</v>
      </c>
      <c r="I245">
        <v>600</v>
      </c>
    </row>
    <row r="246" spans="1:9" x14ac:dyDescent="0.3">
      <c r="A246">
        <v>243</v>
      </c>
      <c r="B246" s="24">
        <v>43708</v>
      </c>
      <c r="C246" t="s">
        <v>81</v>
      </c>
      <c r="D246" t="s">
        <v>12</v>
      </c>
      <c r="E246" t="s">
        <v>11</v>
      </c>
      <c r="F246">
        <v>900</v>
      </c>
      <c r="G246">
        <v>1</v>
      </c>
      <c r="H246">
        <v>900</v>
      </c>
      <c r="I246">
        <v>765</v>
      </c>
    </row>
    <row r="247" spans="1:9" x14ac:dyDescent="0.3">
      <c r="A247">
        <v>244</v>
      </c>
      <c r="B247" s="24">
        <v>43709</v>
      </c>
      <c r="C247" t="s">
        <v>81</v>
      </c>
      <c r="D247" t="s">
        <v>24</v>
      </c>
      <c r="E247" t="s">
        <v>23</v>
      </c>
      <c r="F247">
        <v>600</v>
      </c>
      <c r="G247">
        <v>1</v>
      </c>
      <c r="H247">
        <v>600</v>
      </c>
      <c r="I247">
        <v>600</v>
      </c>
    </row>
    <row r="248" spans="1:9" x14ac:dyDescent="0.3">
      <c r="A248">
        <v>245</v>
      </c>
      <c r="B248" s="24">
        <v>43710</v>
      </c>
      <c r="C248" t="s">
        <v>81</v>
      </c>
      <c r="D248" t="s">
        <v>19</v>
      </c>
      <c r="E248" t="s">
        <v>20</v>
      </c>
      <c r="F248">
        <v>850</v>
      </c>
      <c r="G248">
        <v>1</v>
      </c>
      <c r="H248">
        <v>850</v>
      </c>
      <c r="I248">
        <v>850</v>
      </c>
    </row>
    <row r="249" spans="1:9" x14ac:dyDescent="0.3">
      <c r="A249">
        <v>246</v>
      </c>
      <c r="B249" s="24">
        <v>43711</v>
      </c>
      <c r="C249" t="s">
        <v>81</v>
      </c>
      <c r="D249" t="s">
        <v>14</v>
      </c>
      <c r="E249" t="s">
        <v>11</v>
      </c>
      <c r="F249">
        <v>900</v>
      </c>
      <c r="G249">
        <v>1</v>
      </c>
      <c r="H249">
        <v>900</v>
      </c>
      <c r="I249">
        <v>900</v>
      </c>
    </row>
    <row r="250" spans="1:9" x14ac:dyDescent="0.3">
      <c r="A250">
        <v>247</v>
      </c>
      <c r="B250" s="24">
        <v>43712</v>
      </c>
      <c r="C250" t="s">
        <v>81</v>
      </c>
      <c r="D250" t="s">
        <v>10</v>
      </c>
      <c r="E250" t="s">
        <v>11</v>
      </c>
      <c r="F250">
        <v>1100</v>
      </c>
      <c r="G250">
        <v>1</v>
      </c>
      <c r="H250">
        <v>1100</v>
      </c>
      <c r="I250">
        <v>1100</v>
      </c>
    </row>
    <row r="251" spans="1:9" x14ac:dyDescent="0.3">
      <c r="A251">
        <v>248</v>
      </c>
      <c r="B251" s="24">
        <v>43713</v>
      </c>
      <c r="C251" t="s">
        <v>81</v>
      </c>
      <c r="D251" t="s">
        <v>14</v>
      </c>
      <c r="E251" t="s">
        <v>11</v>
      </c>
      <c r="F251">
        <v>900</v>
      </c>
      <c r="G251">
        <v>1</v>
      </c>
      <c r="H251">
        <v>900</v>
      </c>
      <c r="I251">
        <v>900</v>
      </c>
    </row>
    <row r="252" spans="1:9" x14ac:dyDescent="0.3">
      <c r="A252">
        <v>249</v>
      </c>
      <c r="B252" s="24">
        <v>43714</v>
      </c>
      <c r="C252" t="s">
        <v>81</v>
      </c>
      <c r="D252" t="s">
        <v>15</v>
      </c>
      <c r="E252" t="s">
        <v>11</v>
      </c>
      <c r="F252">
        <v>1000</v>
      </c>
      <c r="G252">
        <v>1</v>
      </c>
      <c r="H252">
        <v>1000</v>
      </c>
      <c r="I252">
        <v>1000</v>
      </c>
    </row>
    <row r="253" spans="1:9" x14ac:dyDescent="0.3">
      <c r="A253">
        <v>250</v>
      </c>
      <c r="B253" s="24">
        <v>43715</v>
      </c>
      <c r="C253" t="s">
        <v>81</v>
      </c>
      <c r="D253" t="s">
        <v>10</v>
      </c>
      <c r="E253" t="s">
        <v>11</v>
      </c>
      <c r="F253">
        <v>1100</v>
      </c>
      <c r="G253">
        <v>1</v>
      </c>
      <c r="H253">
        <v>1100</v>
      </c>
      <c r="I253">
        <v>1100</v>
      </c>
    </row>
    <row r="254" spans="1:9" x14ac:dyDescent="0.3">
      <c r="A254">
        <v>251</v>
      </c>
      <c r="B254" s="24">
        <v>43716</v>
      </c>
      <c r="C254" t="s">
        <v>81</v>
      </c>
      <c r="D254" t="s">
        <v>15</v>
      </c>
      <c r="E254" t="s">
        <v>11</v>
      </c>
      <c r="F254">
        <v>1000</v>
      </c>
      <c r="G254">
        <v>1</v>
      </c>
      <c r="H254">
        <v>1000</v>
      </c>
      <c r="I254">
        <v>1000</v>
      </c>
    </row>
    <row r="255" spans="1:9" x14ac:dyDescent="0.3">
      <c r="A255">
        <v>252</v>
      </c>
      <c r="B255" s="24">
        <v>43717</v>
      </c>
      <c r="C255" t="s">
        <v>81</v>
      </c>
      <c r="D255" t="s">
        <v>10</v>
      </c>
      <c r="E255" t="s">
        <v>11</v>
      </c>
      <c r="F255">
        <v>1100</v>
      </c>
      <c r="G255">
        <v>1</v>
      </c>
      <c r="H255">
        <v>1100</v>
      </c>
      <c r="I255">
        <v>1100</v>
      </c>
    </row>
    <row r="256" spans="1:9" x14ac:dyDescent="0.3">
      <c r="A256">
        <v>253</v>
      </c>
      <c r="B256" s="24">
        <v>43718</v>
      </c>
      <c r="C256" t="s">
        <v>81</v>
      </c>
      <c r="D256" t="s">
        <v>14</v>
      </c>
      <c r="E256" t="s">
        <v>11</v>
      </c>
      <c r="F256">
        <v>900</v>
      </c>
      <c r="G256">
        <v>1</v>
      </c>
      <c r="H256">
        <v>900</v>
      </c>
      <c r="I256">
        <v>900</v>
      </c>
    </row>
    <row r="257" spans="1:9" x14ac:dyDescent="0.3">
      <c r="A257">
        <v>254</v>
      </c>
      <c r="B257" s="24">
        <v>43719</v>
      </c>
      <c r="C257" t="s">
        <v>81</v>
      </c>
      <c r="D257" t="s">
        <v>12</v>
      </c>
      <c r="E257" t="s">
        <v>11</v>
      </c>
      <c r="F257">
        <v>900</v>
      </c>
      <c r="G257">
        <v>1</v>
      </c>
      <c r="H257">
        <v>900</v>
      </c>
      <c r="I257">
        <v>765</v>
      </c>
    </row>
    <row r="258" spans="1:9" x14ac:dyDescent="0.3">
      <c r="A258">
        <v>255</v>
      </c>
      <c r="B258" s="24">
        <v>43720</v>
      </c>
      <c r="C258" t="s">
        <v>81</v>
      </c>
      <c r="D258" t="s">
        <v>10</v>
      </c>
      <c r="E258" t="s">
        <v>11</v>
      </c>
      <c r="F258">
        <v>1100</v>
      </c>
      <c r="G258">
        <v>1</v>
      </c>
      <c r="H258">
        <v>1100</v>
      </c>
      <c r="I258">
        <v>1100</v>
      </c>
    </row>
    <row r="259" spans="1:9" x14ac:dyDescent="0.3">
      <c r="A259">
        <v>256</v>
      </c>
      <c r="B259" s="24">
        <v>43721</v>
      </c>
      <c r="C259" t="s">
        <v>81</v>
      </c>
      <c r="D259" t="s">
        <v>10</v>
      </c>
      <c r="E259" t="s">
        <v>11</v>
      </c>
      <c r="F259">
        <v>1100</v>
      </c>
      <c r="G259">
        <v>1</v>
      </c>
      <c r="H259">
        <v>1100</v>
      </c>
      <c r="I259">
        <v>1100</v>
      </c>
    </row>
    <row r="260" spans="1:9" x14ac:dyDescent="0.3">
      <c r="A260">
        <v>257</v>
      </c>
      <c r="B260" s="24">
        <v>43722</v>
      </c>
      <c r="C260" t="s">
        <v>81</v>
      </c>
      <c r="D260" t="s">
        <v>15</v>
      </c>
      <c r="E260" t="s">
        <v>11</v>
      </c>
      <c r="F260">
        <v>1000</v>
      </c>
      <c r="G260">
        <v>1</v>
      </c>
      <c r="H260">
        <v>1000</v>
      </c>
      <c r="I260">
        <v>1000</v>
      </c>
    </row>
    <row r="261" spans="1:9" x14ac:dyDescent="0.3">
      <c r="A261">
        <v>258</v>
      </c>
      <c r="B261" s="24">
        <v>43723</v>
      </c>
      <c r="C261" t="s">
        <v>81</v>
      </c>
      <c r="D261" t="s">
        <v>12</v>
      </c>
      <c r="E261" t="s">
        <v>11</v>
      </c>
      <c r="F261">
        <v>900</v>
      </c>
      <c r="G261">
        <v>1</v>
      </c>
      <c r="H261">
        <v>900</v>
      </c>
      <c r="I261">
        <v>765</v>
      </c>
    </row>
    <row r="262" spans="1:9" x14ac:dyDescent="0.3">
      <c r="A262">
        <v>259</v>
      </c>
      <c r="B262" s="24">
        <v>43724</v>
      </c>
      <c r="C262" t="s">
        <v>81</v>
      </c>
      <c r="D262" t="s">
        <v>18</v>
      </c>
      <c r="E262" t="s">
        <v>17</v>
      </c>
      <c r="F262">
        <v>600</v>
      </c>
      <c r="G262">
        <v>1</v>
      </c>
      <c r="H262">
        <v>600</v>
      </c>
      <c r="I262">
        <v>600</v>
      </c>
    </row>
    <row r="263" spans="1:9" x14ac:dyDescent="0.3">
      <c r="A263">
        <v>260</v>
      </c>
      <c r="B263" s="24">
        <v>43725</v>
      </c>
      <c r="C263" t="s">
        <v>81</v>
      </c>
      <c r="D263" t="s">
        <v>12</v>
      </c>
      <c r="E263" t="s">
        <v>11</v>
      </c>
      <c r="F263">
        <v>900</v>
      </c>
      <c r="G263">
        <v>1</v>
      </c>
      <c r="H263">
        <v>900</v>
      </c>
      <c r="I263">
        <v>765</v>
      </c>
    </row>
    <row r="264" spans="1:9" x14ac:dyDescent="0.3">
      <c r="A264">
        <v>261</v>
      </c>
      <c r="B264" s="24">
        <v>43726</v>
      </c>
      <c r="C264" t="s">
        <v>81</v>
      </c>
      <c r="D264" t="s">
        <v>18</v>
      </c>
      <c r="E264" t="s">
        <v>17</v>
      </c>
      <c r="F264">
        <v>600</v>
      </c>
      <c r="G264">
        <v>1</v>
      </c>
      <c r="H264">
        <v>600</v>
      </c>
      <c r="I264">
        <v>600</v>
      </c>
    </row>
    <row r="265" spans="1:9" x14ac:dyDescent="0.3">
      <c r="A265">
        <v>262</v>
      </c>
      <c r="B265" s="24">
        <v>43727</v>
      </c>
      <c r="C265" t="s">
        <v>81</v>
      </c>
      <c r="D265" t="s">
        <v>14</v>
      </c>
      <c r="E265" t="s">
        <v>11</v>
      </c>
      <c r="F265">
        <v>900</v>
      </c>
      <c r="G265">
        <v>1</v>
      </c>
      <c r="H265">
        <v>900</v>
      </c>
      <c r="I265">
        <v>900</v>
      </c>
    </row>
    <row r="266" spans="1:9" x14ac:dyDescent="0.3">
      <c r="A266">
        <v>263</v>
      </c>
      <c r="B266" s="24">
        <v>43728</v>
      </c>
      <c r="C266" t="s">
        <v>81</v>
      </c>
      <c r="D266" t="s">
        <v>10</v>
      </c>
      <c r="E266" t="s">
        <v>11</v>
      </c>
      <c r="F266">
        <v>1100</v>
      </c>
      <c r="G266">
        <v>2</v>
      </c>
      <c r="H266">
        <v>2200</v>
      </c>
      <c r="I266">
        <v>2200</v>
      </c>
    </row>
    <row r="267" spans="1:9" x14ac:dyDescent="0.3">
      <c r="A267">
        <v>264</v>
      </c>
      <c r="B267" s="24">
        <v>43729</v>
      </c>
      <c r="C267" t="s">
        <v>81</v>
      </c>
      <c r="D267" t="s">
        <v>18</v>
      </c>
      <c r="E267" t="s">
        <v>17</v>
      </c>
      <c r="F267">
        <v>600</v>
      </c>
      <c r="G267">
        <v>1</v>
      </c>
      <c r="H267">
        <v>600</v>
      </c>
      <c r="I267">
        <v>600</v>
      </c>
    </row>
    <row r="268" spans="1:9" x14ac:dyDescent="0.3">
      <c r="A268">
        <v>265</v>
      </c>
      <c r="B268" s="24">
        <v>43730</v>
      </c>
      <c r="C268" t="s">
        <v>81</v>
      </c>
      <c r="D268" t="s">
        <v>18</v>
      </c>
      <c r="E268" t="s">
        <v>17</v>
      </c>
      <c r="F268">
        <v>600</v>
      </c>
      <c r="G268">
        <v>1</v>
      </c>
      <c r="H268">
        <v>600</v>
      </c>
      <c r="I268">
        <v>600</v>
      </c>
    </row>
    <row r="269" spans="1:9" x14ac:dyDescent="0.3">
      <c r="A269">
        <v>266</v>
      </c>
      <c r="B269" s="24">
        <v>43731</v>
      </c>
      <c r="C269" t="s">
        <v>81</v>
      </c>
      <c r="D269" t="s">
        <v>14</v>
      </c>
      <c r="E269" t="s">
        <v>11</v>
      </c>
      <c r="F269">
        <v>900</v>
      </c>
      <c r="G269">
        <v>1</v>
      </c>
      <c r="H269">
        <v>900</v>
      </c>
      <c r="I269">
        <v>900</v>
      </c>
    </row>
    <row r="270" spans="1:9" x14ac:dyDescent="0.3">
      <c r="A270">
        <v>267</v>
      </c>
      <c r="B270" s="24">
        <v>43732</v>
      </c>
      <c r="C270" t="s">
        <v>81</v>
      </c>
      <c r="D270" t="s">
        <v>10</v>
      </c>
      <c r="E270" t="s">
        <v>11</v>
      </c>
      <c r="F270">
        <v>1100</v>
      </c>
      <c r="G270">
        <v>1</v>
      </c>
      <c r="H270">
        <v>1100</v>
      </c>
      <c r="I270">
        <v>1100</v>
      </c>
    </row>
    <row r="271" spans="1:9" x14ac:dyDescent="0.3">
      <c r="A271">
        <v>268</v>
      </c>
      <c r="B271" s="24">
        <v>43733</v>
      </c>
      <c r="C271" t="s">
        <v>81</v>
      </c>
      <c r="D271" t="s">
        <v>18</v>
      </c>
      <c r="E271" t="s">
        <v>17</v>
      </c>
      <c r="F271">
        <v>600</v>
      </c>
      <c r="G271">
        <v>1</v>
      </c>
      <c r="H271">
        <v>600</v>
      </c>
      <c r="I271">
        <v>600</v>
      </c>
    </row>
    <row r="272" spans="1:9" x14ac:dyDescent="0.3">
      <c r="A272">
        <v>269</v>
      </c>
      <c r="B272" s="24">
        <v>43734</v>
      </c>
      <c r="C272" t="s">
        <v>81</v>
      </c>
      <c r="D272" t="s">
        <v>24</v>
      </c>
      <c r="E272" t="s">
        <v>23</v>
      </c>
      <c r="F272">
        <v>600</v>
      </c>
      <c r="G272">
        <v>1</v>
      </c>
      <c r="H272">
        <v>600</v>
      </c>
      <c r="I272">
        <v>600</v>
      </c>
    </row>
    <row r="273" spans="1:9" x14ac:dyDescent="0.3">
      <c r="A273">
        <v>270</v>
      </c>
      <c r="B273" s="24">
        <v>43735</v>
      </c>
      <c r="C273" t="s">
        <v>81</v>
      </c>
      <c r="D273" t="s">
        <v>18</v>
      </c>
      <c r="E273" t="s">
        <v>17</v>
      </c>
      <c r="F273">
        <v>600</v>
      </c>
      <c r="G273">
        <v>1</v>
      </c>
      <c r="H273">
        <v>600</v>
      </c>
      <c r="I273">
        <v>600</v>
      </c>
    </row>
    <row r="274" spans="1:9" x14ac:dyDescent="0.3">
      <c r="A274">
        <v>271</v>
      </c>
      <c r="B274" s="24">
        <v>43736</v>
      </c>
      <c r="C274" t="s">
        <v>81</v>
      </c>
      <c r="D274" t="s">
        <v>24</v>
      </c>
      <c r="E274" t="s">
        <v>23</v>
      </c>
      <c r="F274">
        <v>600</v>
      </c>
      <c r="G274">
        <v>1</v>
      </c>
      <c r="H274">
        <v>600</v>
      </c>
      <c r="I274">
        <v>600</v>
      </c>
    </row>
    <row r="275" spans="1:9" x14ac:dyDescent="0.3">
      <c r="A275">
        <v>272</v>
      </c>
      <c r="B275" s="24">
        <v>43737</v>
      </c>
      <c r="C275" t="s">
        <v>81</v>
      </c>
      <c r="D275" t="s">
        <v>24</v>
      </c>
      <c r="E275" t="s">
        <v>23</v>
      </c>
      <c r="F275">
        <v>600</v>
      </c>
      <c r="G275">
        <v>2</v>
      </c>
      <c r="H275">
        <v>1200</v>
      </c>
      <c r="I275">
        <v>1200</v>
      </c>
    </row>
    <row r="276" spans="1:9" x14ac:dyDescent="0.3">
      <c r="A276">
        <v>273</v>
      </c>
      <c r="B276" s="24">
        <v>43738</v>
      </c>
      <c r="C276" t="s">
        <v>81</v>
      </c>
      <c r="D276" t="s">
        <v>18</v>
      </c>
      <c r="E276" t="s">
        <v>17</v>
      </c>
      <c r="F276">
        <v>600</v>
      </c>
      <c r="G276">
        <v>1</v>
      </c>
      <c r="H276">
        <v>600</v>
      </c>
      <c r="I276">
        <v>600</v>
      </c>
    </row>
    <row r="277" spans="1:9" x14ac:dyDescent="0.3">
      <c r="A277">
        <v>274</v>
      </c>
      <c r="B277" s="24">
        <v>43739</v>
      </c>
      <c r="C277" t="s">
        <v>81</v>
      </c>
      <c r="D277" t="s">
        <v>10</v>
      </c>
      <c r="E277" t="s">
        <v>11</v>
      </c>
      <c r="F277">
        <v>1100</v>
      </c>
      <c r="G277">
        <v>3</v>
      </c>
      <c r="H277">
        <v>3300</v>
      </c>
      <c r="I277">
        <v>3300</v>
      </c>
    </row>
    <row r="278" spans="1:9" x14ac:dyDescent="0.3">
      <c r="A278">
        <v>275</v>
      </c>
      <c r="B278" s="24">
        <v>43740</v>
      </c>
      <c r="C278" t="s">
        <v>81</v>
      </c>
      <c r="D278" t="s">
        <v>10</v>
      </c>
      <c r="E278" t="s">
        <v>11</v>
      </c>
      <c r="F278">
        <v>1100</v>
      </c>
      <c r="G278">
        <v>1</v>
      </c>
      <c r="H278">
        <v>1100</v>
      </c>
      <c r="I278">
        <v>1100</v>
      </c>
    </row>
    <row r="279" spans="1:9" x14ac:dyDescent="0.3">
      <c r="A279">
        <v>276</v>
      </c>
      <c r="B279" s="24">
        <v>43741</v>
      </c>
      <c r="C279" t="s">
        <v>81</v>
      </c>
      <c r="D279" t="s">
        <v>19</v>
      </c>
      <c r="E279" t="s">
        <v>20</v>
      </c>
      <c r="F279">
        <v>850</v>
      </c>
      <c r="G279">
        <v>1</v>
      </c>
      <c r="H279">
        <v>850</v>
      </c>
      <c r="I279">
        <v>850</v>
      </c>
    </row>
    <row r="280" spans="1:9" x14ac:dyDescent="0.3">
      <c r="A280">
        <v>277</v>
      </c>
      <c r="B280" s="24">
        <v>43742</v>
      </c>
      <c r="C280" t="s">
        <v>81</v>
      </c>
      <c r="D280" t="s">
        <v>21</v>
      </c>
      <c r="E280" t="s">
        <v>20</v>
      </c>
      <c r="F280">
        <v>1200</v>
      </c>
      <c r="G280">
        <v>1</v>
      </c>
      <c r="H280">
        <v>1200</v>
      </c>
      <c r="I280">
        <v>1200</v>
      </c>
    </row>
    <row r="281" spans="1:9" x14ac:dyDescent="0.3">
      <c r="A281">
        <v>278</v>
      </c>
      <c r="B281" s="24">
        <v>43743</v>
      </c>
      <c r="C281" t="s">
        <v>81</v>
      </c>
      <c r="D281" t="s">
        <v>16</v>
      </c>
      <c r="E281" t="s">
        <v>17</v>
      </c>
      <c r="F281">
        <v>800</v>
      </c>
      <c r="G281">
        <v>1</v>
      </c>
      <c r="H281">
        <v>800</v>
      </c>
      <c r="I281">
        <v>800</v>
      </c>
    </row>
    <row r="282" spans="1:9" x14ac:dyDescent="0.3">
      <c r="A282">
        <v>279</v>
      </c>
      <c r="B282" s="24">
        <v>43744</v>
      </c>
      <c r="C282" t="s">
        <v>81</v>
      </c>
      <c r="D282" t="s">
        <v>14</v>
      </c>
      <c r="E282" t="s">
        <v>11</v>
      </c>
      <c r="F282">
        <v>900</v>
      </c>
      <c r="G282">
        <v>1</v>
      </c>
      <c r="H282">
        <v>900</v>
      </c>
      <c r="I282">
        <v>900</v>
      </c>
    </row>
    <row r="283" spans="1:9" x14ac:dyDescent="0.3">
      <c r="A283">
        <v>280</v>
      </c>
      <c r="B283" s="24">
        <v>43745</v>
      </c>
      <c r="C283" t="s">
        <v>81</v>
      </c>
      <c r="D283" t="s">
        <v>10</v>
      </c>
      <c r="E283" t="s">
        <v>11</v>
      </c>
      <c r="F283">
        <v>1100</v>
      </c>
      <c r="G283">
        <v>1</v>
      </c>
      <c r="H283">
        <v>1100</v>
      </c>
      <c r="I283">
        <v>1100</v>
      </c>
    </row>
    <row r="284" spans="1:9" x14ac:dyDescent="0.3">
      <c r="A284">
        <v>281</v>
      </c>
      <c r="B284" s="24">
        <v>43746</v>
      </c>
      <c r="C284" t="s">
        <v>81</v>
      </c>
      <c r="D284" t="s">
        <v>12</v>
      </c>
      <c r="E284" t="s">
        <v>11</v>
      </c>
      <c r="F284">
        <v>900</v>
      </c>
      <c r="G284">
        <v>1</v>
      </c>
      <c r="H284">
        <v>900</v>
      </c>
      <c r="I284">
        <v>765</v>
      </c>
    </row>
    <row r="285" spans="1:9" x14ac:dyDescent="0.3">
      <c r="A285">
        <v>282</v>
      </c>
      <c r="B285" s="24">
        <v>43747</v>
      </c>
      <c r="C285" t="s">
        <v>81</v>
      </c>
      <c r="D285" t="s">
        <v>10</v>
      </c>
      <c r="E285" t="s">
        <v>11</v>
      </c>
      <c r="F285">
        <v>1100</v>
      </c>
      <c r="G285">
        <v>1</v>
      </c>
      <c r="H285">
        <v>1100</v>
      </c>
      <c r="I285">
        <v>1100</v>
      </c>
    </row>
    <row r="286" spans="1:9" x14ac:dyDescent="0.3">
      <c r="A286">
        <v>283</v>
      </c>
      <c r="B286" s="24">
        <v>43748</v>
      </c>
      <c r="C286" t="s">
        <v>81</v>
      </c>
      <c r="D286" t="s">
        <v>22</v>
      </c>
      <c r="E286" t="s">
        <v>23</v>
      </c>
      <c r="F286">
        <v>900</v>
      </c>
      <c r="G286">
        <v>1</v>
      </c>
      <c r="H286">
        <v>900</v>
      </c>
      <c r="I286">
        <v>900</v>
      </c>
    </row>
    <row r="287" spans="1:9" x14ac:dyDescent="0.3">
      <c r="A287">
        <v>284</v>
      </c>
      <c r="B287" s="24">
        <v>43749</v>
      </c>
      <c r="C287" t="s">
        <v>81</v>
      </c>
      <c r="D287" t="s">
        <v>22</v>
      </c>
      <c r="E287" t="s">
        <v>23</v>
      </c>
      <c r="F287">
        <v>500</v>
      </c>
      <c r="G287">
        <v>1</v>
      </c>
      <c r="H287">
        <v>500</v>
      </c>
      <c r="I287">
        <v>500</v>
      </c>
    </row>
    <row r="288" spans="1:9" x14ac:dyDescent="0.3">
      <c r="A288">
        <v>285</v>
      </c>
      <c r="B288" s="24">
        <v>43750</v>
      </c>
      <c r="C288" t="s">
        <v>81</v>
      </c>
      <c r="D288" t="s">
        <v>15</v>
      </c>
      <c r="E288" t="s">
        <v>11</v>
      </c>
      <c r="F288">
        <v>1000</v>
      </c>
      <c r="G288">
        <v>1</v>
      </c>
      <c r="H288">
        <v>1000</v>
      </c>
      <c r="I288">
        <v>1000</v>
      </c>
    </row>
    <row r="289" spans="1:9" x14ac:dyDescent="0.3">
      <c r="A289">
        <v>286</v>
      </c>
      <c r="B289" s="24">
        <v>43751</v>
      </c>
      <c r="C289" t="s">
        <v>81</v>
      </c>
      <c r="D289" t="s">
        <v>24</v>
      </c>
      <c r="E289" t="s">
        <v>23</v>
      </c>
      <c r="F289">
        <v>600</v>
      </c>
      <c r="G289">
        <v>1</v>
      </c>
      <c r="H289">
        <v>600</v>
      </c>
      <c r="I289">
        <v>600</v>
      </c>
    </row>
    <row r="290" spans="1:9" x14ac:dyDescent="0.3">
      <c r="A290">
        <v>287</v>
      </c>
      <c r="B290" s="24">
        <v>43752</v>
      </c>
      <c r="C290" t="s">
        <v>81</v>
      </c>
      <c r="D290" t="s">
        <v>12</v>
      </c>
      <c r="E290" t="s">
        <v>11</v>
      </c>
      <c r="F290">
        <v>900</v>
      </c>
      <c r="G290">
        <v>2</v>
      </c>
      <c r="H290">
        <v>1800</v>
      </c>
      <c r="I290">
        <v>1530</v>
      </c>
    </row>
    <row r="291" spans="1:9" x14ac:dyDescent="0.3">
      <c r="A291">
        <v>288</v>
      </c>
      <c r="B291" s="24">
        <v>43753</v>
      </c>
      <c r="C291" t="s">
        <v>81</v>
      </c>
      <c r="D291" t="s">
        <v>19</v>
      </c>
      <c r="E291" t="s">
        <v>20</v>
      </c>
      <c r="F291">
        <v>850</v>
      </c>
      <c r="G291">
        <v>1</v>
      </c>
      <c r="H291">
        <v>850</v>
      </c>
      <c r="I291">
        <v>850</v>
      </c>
    </row>
    <row r="292" spans="1:9" x14ac:dyDescent="0.3">
      <c r="A292">
        <v>289</v>
      </c>
      <c r="B292" s="24">
        <v>43754</v>
      </c>
      <c r="C292" t="s">
        <v>81</v>
      </c>
      <c r="D292" t="s">
        <v>16</v>
      </c>
      <c r="E292" t="s">
        <v>17</v>
      </c>
      <c r="F292">
        <v>800</v>
      </c>
      <c r="G292">
        <v>1</v>
      </c>
      <c r="H292">
        <v>800</v>
      </c>
      <c r="I292">
        <v>800</v>
      </c>
    </row>
    <row r="293" spans="1:9" x14ac:dyDescent="0.3">
      <c r="A293">
        <v>290</v>
      </c>
      <c r="B293" s="24">
        <v>43755</v>
      </c>
      <c r="C293" t="s">
        <v>81</v>
      </c>
      <c r="D293" t="s">
        <v>12</v>
      </c>
      <c r="E293" t="s">
        <v>11</v>
      </c>
      <c r="F293">
        <v>900</v>
      </c>
      <c r="G293">
        <v>1</v>
      </c>
      <c r="H293">
        <v>900</v>
      </c>
      <c r="I293">
        <v>765</v>
      </c>
    </row>
    <row r="294" spans="1:9" x14ac:dyDescent="0.3">
      <c r="A294">
        <v>291</v>
      </c>
      <c r="B294" s="24">
        <v>43756</v>
      </c>
      <c r="C294" t="s">
        <v>81</v>
      </c>
      <c r="D294" t="s">
        <v>12</v>
      </c>
      <c r="E294" t="s">
        <v>11</v>
      </c>
      <c r="F294">
        <v>900</v>
      </c>
      <c r="G294">
        <v>1</v>
      </c>
      <c r="H294">
        <v>900</v>
      </c>
      <c r="I294">
        <v>765</v>
      </c>
    </row>
    <row r="295" spans="1:9" x14ac:dyDescent="0.3">
      <c r="A295">
        <v>292</v>
      </c>
      <c r="B295" s="24">
        <v>43757</v>
      </c>
      <c r="C295" t="s">
        <v>81</v>
      </c>
      <c r="D295" t="s">
        <v>10</v>
      </c>
      <c r="E295" t="s">
        <v>11</v>
      </c>
      <c r="F295">
        <v>1100</v>
      </c>
      <c r="G295">
        <v>1</v>
      </c>
      <c r="H295">
        <v>1100</v>
      </c>
      <c r="I295">
        <v>1100</v>
      </c>
    </row>
    <row r="296" spans="1:9" x14ac:dyDescent="0.3">
      <c r="A296">
        <v>293</v>
      </c>
      <c r="B296" s="24">
        <v>43758</v>
      </c>
      <c r="C296" t="s">
        <v>81</v>
      </c>
      <c r="D296" t="s">
        <v>14</v>
      </c>
      <c r="E296" t="s">
        <v>11</v>
      </c>
      <c r="F296">
        <v>900</v>
      </c>
      <c r="G296">
        <v>1</v>
      </c>
      <c r="H296">
        <v>900</v>
      </c>
      <c r="I296">
        <v>900</v>
      </c>
    </row>
    <row r="297" spans="1:9" x14ac:dyDescent="0.3">
      <c r="A297">
        <v>294</v>
      </c>
      <c r="B297" s="24">
        <v>43759</v>
      </c>
      <c r="C297" t="s">
        <v>81</v>
      </c>
      <c r="D297" t="s">
        <v>18</v>
      </c>
      <c r="E297" t="s">
        <v>17</v>
      </c>
      <c r="F297">
        <v>600</v>
      </c>
      <c r="G297">
        <v>1</v>
      </c>
      <c r="H297">
        <v>600</v>
      </c>
      <c r="I297">
        <v>600</v>
      </c>
    </row>
    <row r="298" spans="1:9" x14ac:dyDescent="0.3">
      <c r="A298">
        <v>295</v>
      </c>
      <c r="B298" s="24">
        <v>43760</v>
      </c>
      <c r="C298" t="s">
        <v>81</v>
      </c>
      <c r="D298" t="s">
        <v>18</v>
      </c>
      <c r="E298" t="s">
        <v>17</v>
      </c>
      <c r="F298">
        <v>600</v>
      </c>
      <c r="G298">
        <v>1</v>
      </c>
      <c r="H298">
        <v>600</v>
      </c>
      <c r="I298">
        <v>600</v>
      </c>
    </row>
    <row r="299" spans="1:9" x14ac:dyDescent="0.3">
      <c r="A299">
        <v>296</v>
      </c>
      <c r="B299" s="24">
        <v>43761</v>
      </c>
      <c r="C299" t="s">
        <v>81</v>
      </c>
      <c r="D299" t="s">
        <v>14</v>
      </c>
      <c r="E299" t="s">
        <v>11</v>
      </c>
      <c r="F299">
        <v>900</v>
      </c>
      <c r="G299">
        <v>1</v>
      </c>
      <c r="H299">
        <v>900</v>
      </c>
      <c r="I299">
        <v>900</v>
      </c>
    </row>
    <row r="300" spans="1:9" x14ac:dyDescent="0.3">
      <c r="A300">
        <v>297</v>
      </c>
      <c r="B300" s="24">
        <v>43762</v>
      </c>
      <c r="C300" t="s">
        <v>81</v>
      </c>
      <c r="D300" t="s">
        <v>19</v>
      </c>
      <c r="E300" t="s">
        <v>20</v>
      </c>
      <c r="F300">
        <v>850</v>
      </c>
      <c r="G300">
        <v>1</v>
      </c>
      <c r="H300">
        <v>850</v>
      </c>
      <c r="I300">
        <v>850</v>
      </c>
    </row>
    <row r="301" spans="1:9" x14ac:dyDescent="0.3">
      <c r="A301">
        <v>298</v>
      </c>
      <c r="B301" s="24">
        <v>43763</v>
      </c>
      <c r="C301" t="s">
        <v>81</v>
      </c>
      <c r="D301" t="s">
        <v>14</v>
      </c>
      <c r="E301" t="s">
        <v>11</v>
      </c>
      <c r="F301">
        <v>900</v>
      </c>
      <c r="G301">
        <v>1</v>
      </c>
      <c r="H301">
        <v>900</v>
      </c>
      <c r="I301">
        <v>900</v>
      </c>
    </row>
    <row r="302" spans="1:9" x14ac:dyDescent="0.3">
      <c r="A302">
        <v>299</v>
      </c>
      <c r="B302" s="24">
        <v>43764</v>
      </c>
      <c r="C302" t="s">
        <v>81</v>
      </c>
      <c r="D302" t="s">
        <v>18</v>
      </c>
      <c r="E302" t="s">
        <v>17</v>
      </c>
      <c r="F302">
        <v>600</v>
      </c>
      <c r="G302">
        <v>1</v>
      </c>
      <c r="H302">
        <v>600</v>
      </c>
      <c r="I302">
        <v>600</v>
      </c>
    </row>
    <row r="303" spans="1:9" x14ac:dyDescent="0.3">
      <c r="A303">
        <v>300</v>
      </c>
      <c r="B303" s="24">
        <v>43765</v>
      </c>
      <c r="C303" t="s">
        <v>81</v>
      </c>
      <c r="D303" t="s">
        <v>18</v>
      </c>
      <c r="E303" t="s">
        <v>17</v>
      </c>
      <c r="F303">
        <v>600</v>
      </c>
      <c r="G303">
        <v>1</v>
      </c>
      <c r="H303">
        <v>600</v>
      </c>
      <c r="I303">
        <v>600</v>
      </c>
    </row>
    <row r="304" spans="1:9" x14ac:dyDescent="0.3">
      <c r="A304">
        <v>301</v>
      </c>
      <c r="B304" s="24">
        <v>43766</v>
      </c>
      <c r="C304" t="s">
        <v>81</v>
      </c>
      <c r="D304" t="s">
        <v>10</v>
      </c>
      <c r="E304" t="s">
        <v>11</v>
      </c>
      <c r="F304">
        <v>1100</v>
      </c>
      <c r="G304">
        <v>1</v>
      </c>
      <c r="H304">
        <v>1100</v>
      </c>
      <c r="I304">
        <v>1100</v>
      </c>
    </row>
    <row r="305" spans="1:9" x14ac:dyDescent="0.3">
      <c r="A305">
        <v>302</v>
      </c>
      <c r="B305" s="24">
        <v>43767</v>
      </c>
      <c r="C305" t="s">
        <v>81</v>
      </c>
      <c r="D305" t="s">
        <v>12</v>
      </c>
      <c r="E305" t="s">
        <v>11</v>
      </c>
      <c r="F305">
        <v>900</v>
      </c>
      <c r="G305">
        <v>1</v>
      </c>
      <c r="H305">
        <v>900</v>
      </c>
      <c r="I305">
        <v>765</v>
      </c>
    </row>
    <row r="306" spans="1:9" x14ac:dyDescent="0.3">
      <c r="A306">
        <v>303</v>
      </c>
      <c r="B306" s="24">
        <v>43768</v>
      </c>
      <c r="C306" t="s">
        <v>81</v>
      </c>
      <c r="D306" t="s">
        <v>10</v>
      </c>
      <c r="E306" t="s">
        <v>11</v>
      </c>
      <c r="F306">
        <v>1100</v>
      </c>
      <c r="G306">
        <v>1</v>
      </c>
      <c r="H306">
        <v>1100</v>
      </c>
      <c r="I306">
        <v>1100</v>
      </c>
    </row>
    <row r="307" spans="1:9" x14ac:dyDescent="0.3">
      <c r="A307">
        <v>304</v>
      </c>
      <c r="B307" s="24">
        <v>43769</v>
      </c>
      <c r="C307" t="s">
        <v>81</v>
      </c>
      <c r="D307" t="s">
        <v>18</v>
      </c>
      <c r="E307" t="s">
        <v>17</v>
      </c>
      <c r="F307">
        <v>600</v>
      </c>
      <c r="G307">
        <v>1</v>
      </c>
      <c r="H307">
        <v>600</v>
      </c>
      <c r="I307">
        <v>600</v>
      </c>
    </row>
    <row r="308" spans="1:9" x14ac:dyDescent="0.3">
      <c r="A308">
        <v>305</v>
      </c>
      <c r="B308" s="24">
        <v>43770</v>
      </c>
      <c r="C308" t="s">
        <v>81</v>
      </c>
      <c r="D308" t="s">
        <v>21</v>
      </c>
      <c r="E308" t="s">
        <v>20</v>
      </c>
      <c r="F308">
        <v>1200</v>
      </c>
      <c r="G308">
        <v>1</v>
      </c>
      <c r="H308">
        <v>1200</v>
      </c>
      <c r="I308">
        <v>1200</v>
      </c>
    </row>
    <row r="309" spans="1:9" x14ac:dyDescent="0.3">
      <c r="A309">
        <v>306</v>
      </c>
      <c r="B309" s="24">
        <v>43771</v>
      </c>
      <c r="C309" t="s">
        <v>81</v>
      </c>
      <c r="D309" t="s">
        <v>24</v>
      </c>
      <c r="E309" t="s">
        <v>23</v>
      </c>
      <c r="F309">
        <v>600</v>
      </c>
      <c r="G309">
        <v>1</v>
      </c>
      <c r="H309">
        <v>600</v>
      </c>
      <c r="I309">
        <v>600</v>
      </c>
    </row>
    <row r="310" spans="1:9" x14ac:dyDescent="0.3">
      <c r="A310">
        <v>307</v>
      </c>
      <c r="B310" s="24">
        <v>43772</v>
      </c>
      <c r="C310" t="s">
        <v>81</v>
      </c>
      <c r="D310" t="s">
        <v>10</v>
      </c>
      <c r="E310" t="s">
        <v>11</v>
      </c>
      <c r="F310">
        <v>1100</v>
      </c>
      <c r="G310">
        <v>1</v>
      </c>
      <c r="H310">
        <v>1100</v>
      </c>
      <c r="I310">
        <v>1100</v>
      </c>
    </row>
    <row r="311" spans="1:9" x14ac:dyDescent="0.3">
      <c r="A311">
        <v>308</v>
      </c>
      <c r="B311" s="24">
        <v>43773</v>
      </c>
      <c r="C311" t="s">
        <v>81</v>
      </c>
      <c r="D311" t="s">
        <v>22</v>
      </c>
      <c r="E311" t="s">
        <v>23</v>
      </c>
      <c r="F311">
        <v>500</v>
      </c>
      <c r="G311">
        <v>1</v>
      </c>
      <c r="H311">
        <v>500</v>
      </c>
      <c r="I311">
        <v>500</v>
      </c>
    </row>
    <row r="312" spans="1:9" x14ac:dyDescent="0.3">
      <c r="A312">
        <v>309</v>
      </c>
      <c r="B312" s="24">
        <v>43774</v>
      </c>
      <c r="C312" t="s">
        <v>81</v>
      </c>
      <c r="D312" t="s">
        <v>12</v>
      </c>
      <c r="E312" t="s">
        <v>11</v>
      </c>
      <c r="F312">
        <v>900</v>
      </c>
      <c r="G312">
        <v>1</v>
      </c>
      <c r="H312">
        <v>900</v>
      </c>
      <c r="I312">
        <v>765</v>
      </c>
    </row>
    <row r="313" spans="1:9" x14ac:dyDescent="0.3">
      <c r="A313">
        <v>310</v>
      </c>
      <c r="B313" s="24">
        <v>43775</v>
      </c>
      <c r="C313" t="s">
        <v>81</v>
      </c>
      <c r="D313" t="s">
        <v>19</v>
      </c>
      <c r="E313" t="s">
        <v>20</v>
      </c>
      <c r="F313">
        <v>850</v>
      </c>
      <c r="G313">
        <v>1</v>
      </c>
      <c r="H313">
        <v>850</v>
      </c>
      <c r="I313">
        <v>850</v>
      </c>
    </row>
    <row r="314" spans="1:9" x14ac:dyDescent="0.3">
      <c r="A314">
        <v>311</v>
      </c>
      <c r="B314" s="24">
        <v>43776</v>
      </c>
      <c r="C314" t="s">
        <v>81</v>
      </c>
      <c r="D314" t="s">
        <v>18</v>
      </c>
      <c r="E314" t="s">
        <v>17</v>
      </c>
      <c r="F314">
        <v>600</v>
      </c>
      <c r="G314">
        <v>1</v>
      </c>
      <c r="H314">
        <v>600</v>
      </c>
      <c r="I314">
        <v>600</v>
      </c>
    </row>
    <row r="315" spans="1:9" x14ac:dyDescent="0.3">
      <c r="A315">
        <v>312</v>
      </c>
      <c r="B315" s="24">
        <v>43777</v>
      </c>
      <c r="C315" t="s">
        <v>81</v>
      </c>
      <c r="D315" t="s">
        <v>10</v>
      </c>
      <c r="E315" t="s">
        <v>11</v>
      </c>
      <c r="F315">
        <v>1100</v>
      </c>
      <c r="G315">
        <v>1</v>
      </c>
      <c r="H315">
        <v>1100</v>
      </c>
      <c r="I315">
        <v>1100</v>
      </c>
    </row>
    <row r="316" spans="1:9" x14ac:dyDescent="0.3">
      <c r="A316">
        <v>313</v>
      </c>
      <c r="B316" s="24">
        <v>43778</v>
      </c>
      <c r="C316" t="s">
        <v>81</v>
      </c>
      <c r="D316" t="s">
        <v>22</v>
      </c>
      <c r="E316" t="s">
        <v>23</v>
      </c>
      <c r="F316">
        <v>500</v>
      </c>
      <c r="G316">
        <v>1</v>
      </c>
      <c r="H316">
        <v>500</v>
      </c>
      <c r="I316">
        <v>500</v>
      </c>
    </row>
    <row r="317" spans="1:9" x14ac:dyDescent="0.3">
      <c r="A317">
        <v>314</v>
      </c>
      <c r="B317" s="24">
        <v>43779</v>
      </c>
      <c r="C317" t="s">
        <v>81</v>
      </c>
      <c r="D317" t="s">
        <v>18</v>
      </c>
      <c r="E317" t="s">
        <v>17</v>
      </c>
      <c r="F317">
        <v>600</v>
      </c>
      <c r="G317">
        <v>1</v>
      </c>
      <c r="H317">
        <v>600</v>
      </c>
      <c r="I317">
        <v>600</v>
      </c>
    </row>
    <row r="318" spans="1:9" x14ac:dyDescent="0.3">
      <c r="A318">
        <v>315</v>
      </c>
      <c r="B318" s="24">
        <v>43780</v>
      </c>
      <c r="C318" t="s">
        <v>81</v>
      </c>
      <c r="D318" t="s">
        <v>15</v>
      </c>
      <c r="E318" t="s">
        <v>11</v>
      </c>
      <c r="F318">
        <v>1000</v>
      </c>
      <c r="G318">
        <v>1</v>
      </c>
      <c r="H318">
        <v>1000</v>
      </c>
      <c r="I318">
        <v>1000</v>
      </c>
    </row>
    <row r="319" spans="1:9" x14ac:dyDescent="0.3">
      <c r="A319">
        <v>316</v>
      </c>
      <c r="B319" s="24">
        <v>43781</v>
      </c>
      <c r="C319" t="s">
        <v>80</v>
      </c>
      <c r="D319" t="s">
        <v>18</v>
      </c>
      <c r="E319" t="s">
        <v>17</v>
      </c>
      <c r="F319">
        <v>600</v>
      </c>
      <c r="G319">
        <v>1</v>
      </c>
      <c r="H319">
        <v>600</v>
      </c>
      <c r="I319">
        <v>600</v>
      </c>
    </row>
    <row r="320" spans="1:9" x14ac:dyDescent="0.3">
      <c r="A320">
        <v>317</v>
      </c>
      <c r="B320" s="24">
        <v>43782</v>
      </c>
      <c r="C320" t="s">
        <v>80</v>
      </c>
      <c r="D320" t="s">
        <v>10</v>
      </c>
      <c r="E320" t="s">
        <v>11</v>
      </c>
      <c r="F320">
        <v>1100</v>
      </c>
      <c r="G320">
        <v>1</v>
      </c>
      <c r="H320">
        <v>1100</v>
      </c>
      <c r="I320">
        <v>1100</v>
      </c>
    </row>
    <row r="321" spans="1:9" x14ac:dyDescent="0.3">
      <c r="A321">
        <v>318</v>
      </c>
      <c r="B321" s="24">
        <v>43783</v>
      </c>
      <c r="C321" t="s">
        <v>80</v>
      </c>
      <c r="D321" t="s">
        <v>22</v>
      </c>
      <c r="E321" t="s">
        <v>23</v>
      </c>
      <c r="F321">
        <v>500</v>
      </c>
      <c r="G321">
        <v>1</v>
      </c>
      <c r="H321">
        <v>500</v>
      </c>
      <c r="I321">
        <v>500</v>
      </c>
    </row>
    <row r="322" spans="1:9" x14ac:dyDescent="0.3">
      <c r="A322">
        <v>319</v>
      </c>
      <c r="B322" s="24">
        <v>43784</v>
      </c>
      <c r="C322" t="s">
        <v>80</v>
      </c>
      <c r="D322" t="s">
        <v>10</v>
      </c>
      <c r="E322" t="s">
        <v>11</v>
      </c>
      <c r="F322">
        <v>1100</v>
      </c>
      <c r="G322">
        <v>2</v>
      </c>
      <c r="H322">
        <v>2200</v>
      </c>
      <c r="I322">
        <v>2200</v>
      </c>
    </row>
    <row r="323" spans="1:9" x14ac:dyDescent="0.3">
      <c r="A323">
        <v>320</v>
      </c>
      <c r="B323" s="24">
        <v>43785</v>
      </c>
      <c r="C323" t="s">
        <v>80</v>
      </c>
      <c r="D323" t="s">
        <v>18</v>
      </c>
      <c r="E323" t="s">
        <v>17</v>
      </c>
      <c r="F323">
        <v>600</v>
      </c>
      <c r="G323">
        <v>1</v>
      </c>
      <c r="H323">
        <v>600</v>
      </c>
      <c r="I323">
        <v>600</v>
      </c>
    </row>
    <row r="324" spans="1:9" x14ac:dyDescent="0.3">
      <c r="A324">
        <v>321</v>
      </c>
      <c r="B324" s="24">
        <v>43786</v>
      </c>
      <c r="C324" t="s">
        <v>80</v>
      </c>
      <c r="D324" t="s">
        <v>16</v>
      </c>
      <c r="E324" t="s">
        <v>17</v>
      </c>
      <c r="F324">
        <v>800</v>
      </c>
      <c r="G324">
        <v>1</v>
      </c>
      <c r="H324">
        <v>800</v>
      </c>
      <c r="I324">
        <v>800</v>
      </c>
    </row>
    <row r="325" spans="1:9" x14ac:dyDescent="0.3">
      <c r="A325">
        <v>322</v>
      </c>
      <c r="B325" s="24">
        <v>43787</v>
      </c>
      <c r="C325" t="s">
        <v>80</v>
      </c>
      <c r="D325" t="s">
        <v>14</v>
      </c>
      <c r="E325" t="s">
        <v>11</v>
      </c>
      <c r="F325">
        <v>900</v>
      </c>
      <c r="G325">
        <v>1</v>
      </c>
      <c r="H325">
        <v>900</v>
      </c>
      <c r="I325">
        <v>900</v>
      </c>
    </row>
    <row r="326" spans="1:9" x14ac:dyDescent="0.3">
      <c r="A326">
        <v>323</v>
      </c>
      <c r="B326" s="24">
        <v>43788</v>
      </c>
      <c r="C326" t="s">
        <v>80</v>
      </c>
      <c r="D326" t="s">
        <v>24</v>
      </c>
      <c r="E326" t="s">
        <v>23</v>
      </c>
      <c r="F326">
        <v>600</v>
      </c>
      <c r="G326">
        <v>1</v>
      </c>
      <c r="H326">
        <v>600</v>
      </c>
      <c r="I326">
        <v>600</v>
      </c>
    </row>
    <row r="327" spans="1:9" x14ac:dyDescent="0.3">
      <c r="A327">
        <v>324</v>
      </c>
      <c r="B327" s="24">
        <v>43789</v>
      </c>
      <c r="C327" t="s">
        <v>80</v>
      </c>
      <c r="D327" t="s">
        <v>10</v>
      </c>
      <c r="E327" t="s">
        <v>11</v>
      </c>
      <c r="F327">
        <v>1100</v>
      </c>
      <c r="G327">
        <v>2</v>
      </c>
      <c r="H327">
        <v>2200</v>
      </c>
      <c r="I327">
        <v>2200</v>
      </c>
    </row>
    <row r="328" spans="1:9" x14ac:dyDescent="0.3">
      <c r="A328">
        <v>325</v>
      </c>
      <c r="B328" s="24">
        <v>43790</v>
      </c>
      <c r="C328" t="s">
        <v>81</v>
      </c>
      <c r="D328" t="s">
        <v>18</v>
      </c>
      <c r="E328" t="s">
        <v>17</v>
      </c>
      <c r="F328">
        <v>600</v>
      </c>
      <c r="G328">
        <v>1</v>
      </c>
      <c r="H328">
        <v>600</v>
      </c>
      <c r="I328">
        <v>600</v>
      </c>
    </row>
    <row r="329" spans="1:9" x14ac:dyDescent="0.3">
      <c r="A329">
        <v>326</v>
      </c>
      <c r="B329" s="24">
        <v>43791</v>
      </c>
      <c r="C329" t="s">
        <v>81</v>
      </c>
      <c r="D329" t="s">
        <v>10</v>
      </c>
      <c r="E329" t="s">
        <v>11</v>
      </c>
      <c r="F329">
        <v>1100</v>
      </c>
      <c r="G329">
        <v>1</v>
      </c>
      <c r="H329">
        <v>1100</v>
      </c>
      <c r="I329">
        <v>1100</v>
      </c>
    </row>
    <row r="330" spans="1:9" x14ac:dyDescent="0.3">
      <c r="A330">
        <v>327</v>
      </c>
      <c r="B330" s="24">
        <v>43792</v>
      </c>
      <c r="C330" t="s">
        <v>81</v>
      </c>
      <c r="D330" t="s">
        <v>15</v>
      </c>
      <c r="E330" t="s">
        <v>11</v>
      </c>
      <c r="F330">
        <v>1000</v>
      </c>
      <c r="G330">
        <v>1</v>
      </c>
      <c r="H330">
        <v>1000</v>
      </c>
      <c r="I330">
        <v>1000</v>
      </c>
    </row>
    <row r="331" spans="1:9" x14ac:dyDescent="0.3">
      <c r="A331">
        <v>328</v>
      </c>
      <c r="B331" s="24">
        <v>43793</v>
      </c>
      <c r="C331" t="s">
        <v>81</v>
      </c>
      <c r="D331" t="s">
        <v>10</v>
      </c>
      <c r="E331" t="s">
        <v>11</v>
      </c>
      <c r="F331">
        <v>1100</v>
      </c>
      <c r="G331">
        <v>1</v>
      </c>
      <c r="H331">
        <v>1100</v>
      </c>
      <c r="I331">
        <v>1100</v>
      </c>
    </row>
    <row r="332" spans="1:9" x14ac:dyDescent="0.3">
      <c r="A332">
        <v>329</v>
      </c>
      <c r="B332" s="24">
        <v>43794</v>
      </c>
      <c r="C332" t="s">
        <v>81</v>
      </c>
      <c r="D332" t="s">
        <v>21</v>
      </c>
      <c r="E332" t="s">
        <v>20</v>
      </c>
      <c r="F332">
        <v>1200</v>
      </c>
      <c r="G332">
        <v>1</v>
      </c>
      <c r="H332">
        <v>1200</v>
      </c>
      <c r="I332">
        <v>1200</v>
      </c>
    </row>
    <row r="333" spans="1:9" x14ac:dyDescent="0.3">
      <c r="A333">
        <v>330</v>
      </c>
      <c r="B333" s="24">
        <v>43795</v>
      </c>
      <c r="C333" t="s">
        <v>81</v>
      </c>
      <c r="D333" t="s">
        <v>14</v>
      </c>
      <c r="E333" t="s">
        <v>11</v>
      </c>
      <c r="F333">
        <v>900</v>
      </c>
      <c r="G333">
        <v>1</v>
      </c>
      <c r="H333">
        <v>900</v>
      </c>
      <c r="I333">
        <v>900</v>
      </c>
    </row>
    <row r="334" spans="1:9" x14ac:dyDescent="0.3">
      <c r="A334">
        <v>331</v>
      </c>
      <c r="B334" s="24">
        <v>43796</v>
      </c>
      <c r="C334" t="s">
        <v>81</v>
      </c>
      <c r="D334" t="s">
        <v>24</v>
      </c>
      <c r="E334" t="s">
        <v>23</v>
      </c>
      <c r="F334">
        <v>600</v>
      </c>
      <c r="G334">
        <v>1</v>
      </c>
      <c r="H334">
        <v>600</v>
      </c>
      <c r="I334">
        <v>600</v>
      </c>
    </row>
    <row r="335" spans="1:9" x14ac:dyDescent="0.3">
      <c r="A335">
        <v>332</v>
      </c>
      <c r="B335" s="24">
        <v>43797</v>
      </c>
      <c r="C335" t="s">
        <v>81</v>
      </c>
      <c r="D335" t="s">
        <v>10</v>
      </c>
      <c r="E335" t="s">
        <v>11</v>
      </c>
      <c r="F335">
        <v>1100</v>
      </c>
      <c r="G335">
        <v>2</v>
      </c>
      <c r="H335">
        <v>2200</v>
      </c>
      <c r="I335">
        <v>2200</v>
      </c>
    </row>
    <row r="336" spans="1:9" x14ac:dyDescent="0.3">
      <c r="A336">
        <v>333</v>
      </c>
      <c r="B336" s="24">
        <v>43798</v>
      </c>
      <c r="C336" t="s">
        <v>81</v>
      </c>
      <c r="D336" t="s">
        <v>15</v>
      </c>
      <c r="E336" t="s">
        <v>11</v>
      </c>
      <c r="F336">
        <v>1000</v>
      </c>
      <c r="G336">
        <v>1</v>
      </c>
      <c r="H336">
        <v>1000</v>
      </c>
      <c r="I336">
        <v>1000</v>
      </c>
    </row>
    <row r="337" spans="1:9" x14ac:dyDescent="0.3">
      <c r="A337">
        <v>334</v>
      </c>
      <c r="B337" s="24">
        <v>43799</v>
      </c>
      <c r="C337" t="s">
        <v>81</v>
      </c>
      <c r="D337" t="s">
        <v>15</v>
      </c>
      <c r="E337" t="s">
        <v>11</v>
      </c>
      <c r="F337">
        <v>1000</v>
      </c>
      <c r="G337">
        <v>1</v>
      </c>
      <c r="H337">
        <v>1000</v>
      </c>
      <c r="I337">
        <v>1000</v>
      </c>
    </row>
    <row r="338" spans="1:9" x14ac:dyDescent="0.3">
      <c r="A338">
        <v>335</v>
      </c>
      <c r="B338" s="24">
        <v>43800</v>
      </c>
      <c r="C338" t="s">
        <v>81</v>
      </c>
      <c r="D338" t="s">
        <v>22</v>
      </c>
      <c r="E338" t="s">
        <v>23</v>
      </c>
      <c r="F338">
        <v>500</v>
      </c>
      <c r="G338">
        <v>1</v>
      </c>
      <c r="H338">
        <v>500</v>
      </c>
      <c r="I338">
        <v>500</v>
      </c>
    </row>
    <row r="339" spans="1:9" x14ac:dyDescent="0.3">
      <c r="A339">
        <v>336</v>
      </c>
      <c r="B339" s="24">
        <v>43801</v>
      </c>
      <c r="C339" t="s">
        <v>81</v>
      </c>
      <c r="D339" t="s">
        <v>15</v>
      </c>
      <c r="E339" t="s">
        <v>11</v>
      </c>
      <c r="F339">
        <v>1000</v>
      </c>
      <c r="G339">
        <v>1</v>
      </c>
      <c r="H339">
        <v>1000</v>
      </c>
      <c r="I339">
        <v>1000</v>
      </c>
    </row>
    <row r="340" spans="1:9" x14ac:dyDescent="0.3">
      <c r="A340">
        <v>337</v>
      </c>
      <c r="B340" s="24">
        <v>43802</v>
      </c>
      <c r="C340" t="s">
        <v>81</v>
      </c>
      <c r="D340" t="s">
        <v>21</v>
      </c>
      <c r="E340" t="s">
        <v>20</v>
      </c>
      <c r="F340">
        <v>1200</v>
      </c>
      <c r="G340">
        <v>1</v>
      </c>
      <c r="H340">
        <v>1200</v>
      </c>
      <c r="I340">
        <v>1200</v>
      </c>
    </row>
    <row r="341" spans="1:9" x14ac:dyDescent="0.3">
      <c r="A341">
        <v>338</v>
      </c>
      <c r="B341" s="24">
        <v>43803</v>
      </c>
      <c r="C341" t="s">
        <v>81</v>
      </c>
      <c r="D341" t="s">
        <v>21</v>
      </c>
      <c r="E341" t="s">
        <v>20</v>
      </c>
      <c r="F341">
        <v>1000</v>
      </c>
      <c r="G341">
        <v>1</v>
      </c>
      <c r="H341">
        <v>1000</v>
      </c>
      <c r="I341">
        <v>1000</v>
      </c>
    </row>
    <row r="342" spans="1:9" x14ac:dyDescent="0.3">
      <c r="A342">
        <v>339</v>
      </c>
      <c r="B342" s="24">
        <v>43804</v>
      </c>
      <c r="C342" t="s">
        <v>81</v>
      </c>
      <c r="D342" t="s">
        <v>12</v>
      </c>
      <c r="E342" t="s">
        <v>11</v>
      </c>
      <c r="F342">
        <v>1000</v>
      </c>
      <c r="G342">
        <v>1</v>
      </c>
      <c r="H342">
        <v>1000</v>
      </c>
      <c r="I342">
        <v>850</v>
      </c>
    </row>
    <row r="343" spans="1:9" x14ac:dyDescent="0.3">
      <c r="A343">
        <v>340</v>
      </c>
      <c r="B343" s="24">
        <v>43805</v>
      </c>
      <c r="C343" t="s">
        <v>81</v>
      </c>
      <c r="D343" t="s">
        <v>15</v>
      </c>
      <c r="E343" t="s">
        <v>11</v>
      </c>
      <c r="F343">
        <v>1000</v>
      </c>
      <c r="G343">
        <v>1</v>
      </c>
      <c r="H343">
        <v>1000</v>
      </c>
      <c r="I343">
        <v>1000</v>
      </c>
    </row>
    <row r="344" spans="1:9" x14ac:dyDescent="0.3">
      <c r="A344">
        <v>341</v>
      </c>
      <c r="B344" s="24">
        <v>43806</v>
      </c>
      <c r="C344" t="s">
        <v>81</v>
      </c>
      <c r="D344" t="s">
        <v>18</v>
      </c>
      <c r="E344" t="s">
        <v>17</v>
      </c>
      <c r="F344">
        <v>650</v>
      </c>
      <c r="G344">
        <v>1</v>
      </c>
      <c r="H344">
        <v>650</v>
      </c>
      <c r="I344">
        <v>650</v>
      </c>
    </row>
    <row r="345" spans="1:9" x14ac:dyDescent="0.3">
      <c r="A345">
        <v>342</v>
      </c>
      <c r="B345" s="24">
        <v>43807</v>
      </c>
      <c r="C345" t="s">
        <v>81</v>
      </c>
      <c r="D345" t="s">
        <v>18</v>
      </c>
      <c r="E345" t="s">
        <v>17</v>
      </c>
      <c r="F345">
        <v>650</v>
      </c>
      <c r="G345">
        <v>1</v>
      </c>
      <c r="H345">
        <v>650</v>
      </c>
      <c r="I345">
        <v>650</v>
      </c>
    </row>
    <row r="346" spans="1:9" x14ac:dyDescent="0.3">
      <c r="A346">
        <v>343</v>
      </c>
      <c r="B346" s="24">
        <v>43808</v>
      </c>
      <c r="C346" t="s">
        <v>81</v>
      </c>
      <c r="D346" t="s">
        <v>15</v>
      </c>
      <c r="E346" t="s">
        <v>11</v>
      </c>
      <c r="F346">
        <v>1000</v>
      </c>
      <c r="G346">
        <v>1</v>
      </c>
      <c r="H346">
        <v>1000</v>
      </c>
      <c r="I346">
        <v>1000</v>
      </c>
    </row>
    <row r="347" spans="1:9" x14ac:dyDescent="0.3">
      <c r="A347">
        <v>344</v>
      </c>
      <c r="B347" s="24">
        <v>43809</v>
      </c>
      <c r="C347" t="s">
        <v>81</v>
      </c>
      <c r="D347" t="s">
        <v>14</v>
      </c>
      <c r="E347" t="s">
        <v>11</v>
      </c>
      <c r="F347">
        <v>900</v>
      </c>
      <c r="G347">
        <v>2</v>
      </c>
      <c r="H347">
        <v>1800</v>
      </c>
      <c r="I347">
        <v>1800</v>
      </c>
    </row>
    <row r="348" spans="1:9" x14ac:dyDescent="0.3">
      <c r="A348">
        <v>345</v>
      </c>
      <c r="B348" s="24">
        <v>43810</v>
      </c>
      <c r="C348" t="s">
        <v>81</v>
      </c>
      <c r="D348" t="s">
        <v>10</v>
      </c>
      <c r="E348" t="s">
        <v>11</v>
      </c>
      <c r="F348">
        <v>1100</v>
      </c>
      <c r="G348">
        <v>2</v>
      </c>
      <c r="H348">
        <v>2200</v>
      </c>
      <c r="I348">
        <v>2200</v>
      </c>
    </row>
    <row r="349" spans="1:9" x14ac:dyDescent="0.3">
      <c r="A349">
        <v>346</v>
      </c>
      <c r="B349" s="24">
        <v>43811</v>
      </c>
      <c r="C349" t="s">
        <v>80</v>
      </c>
      <c r="D349" t="s">
        <v>14</v>
      </c>
      <c r="E349" t="s">
        <v>11</v>
      </c>
      <c r="F349">
        <v>900</v>
      </c>
      <c r="G349">
        <v>2</v>
      </c>
      <c r="H349">
        <v>1800</v>
      </c>
      <c r="I349">
        <v>1800</v>
      </c>
    </row>
    <row r="350" spans="1:9" x14ac:dyDescent="0.3">
      <c r="A350">
        <v>347</v>
      </c>
      <c r="B350" s="24">
        <v>43812</v>
      </c>
      <c r="C350" t="s">
        <v>81</v>
      </c>
      <c r="D350" t="s">
        <v>22</v>
      </c>
      <c r="E350" t="s">
        <v>23</v>
      </c>
      <c r="F350">
        <v>800</v>
      </c>
      <c r="G350">
        <v>1</v>
      </c>
      <c r="H350">
        <v>800</v>
      </c>
      <c r="I350">
        <v>800</v>
      </c>
    </row>
    <row r="351" spans="1:9" x14ac:dyDescent="0.3">
      <c r="A351">
        <v>348</v>
      </c>
      <c r="B351" s="24">
        <v>43813</v>
      </c>
      <c r="C351" t="s">
        <v>81</v>
      </c>
      <c r="D351" t="s">
        <v>10</v>
      </c>
      <c r="E351" t="s">
        <v>11</v>
      </c>
      <c r="F351">
        <v>1100</v>
      </c>
      <c r="G351">
        <v>1</v>
      </c>
      <c r="H351">
        <v>1100</v>
      </c>
      <c r="I351">
        <v>1100</v>
      </c>
    </row>
    <row r="352" spans="1:9" x14ac:dyDescent="0.3">
      <c r="A352">
        <v>349</v>
      </c>
      <c r="B352" s="24">
        <v>43814</v>
      </c>
      <c r="C352" t="s">
        <v>81</v>
      </c>
      <c r="D352" t="s">
        <v>24</v>
      </c>
      <c r="E352" t="s">
        <v>23</v>
      </c>
      <c r="F352">
        <v>600</v>
      </c>
      <c r="G352">
        <v>1</v>
      </c>
      <c r="H352">
        <v>600</v>
      </c>
      <c r="I352">
        <v>600</v>
      </c>
    </row>
    <row r="353" spans="1:9" x14ac:dyDescent="0.3">
      <c r="A353">
        <v>350</v>
      </c>
      <c r="B353" s="24">
        <v>43815</v>
      </c>
      <c r="C353" t="s">
        <v>80</v>
      </c>
      <c r="D353" t="s">
        <v>10</v>
      </c>
      <c r="E353" t="s">
        <v>11</v>
      </c>
      <c r="F353">
        <v>1100</v>
      </c>
      <c r="G353">
        <v>3</v>
      </c>
      <c r="H353">
        <v>3300</v>
      </c>
      <c r="I353">
        <v>3300</v>
      </c>
    </row>
    <row r="354" spans="1:9" x14ac:dyDescent="0.3">
      <c r="A354">
        <v>351</v>
      </c>
      <c r="B354" s="24">
        <v>43816</v>
      </c>
      <c r="C354" t="s">
        <v>80</v>
      </c>
      <c r="D354" t="s">
        <v>19</v>
      </c>
      <c r="E354" t="s">
        <v>20</v>
      </c>
      <c r="F354">
        <v>850</v>
      </c>
      <c r="G354">
        <v>1</v>
      </c>
      <c r="H354">
        <v>850</v>
      </c>
      <c r="I354">
        <v>850</v>
      </c>
    </row>
    <row r="355" spans="1:9" x14ac:dyDescent="0.3">
      <c r="A355">
        <v>352</v>
      </c>
      <c r="B355" s="24">
        <v>43817</v>
      </c>
      <c r="C355" t="s">
        <v>80</v>
      </c>
      <c r="D355" t="s">
        <v>24</v>
      </c>
      <c r="E355" t="s">
        <v>23</v>
      </c>
      <c r="F355">
        <v>600</v>
      </c>
      <c r="G355">
        <v>1</v>
      </c>
      <c r="H355">
        <v>600</v>
      </c>
      <c r="I355">
        <v>600</v>
      </c>
    </row>
    <row r="356" spans="1:9" x14ac:dyDescent="0.3">
      <c r="A356">
        <v>353</v>
      </c>
      <c r="B356" s="24">
        <v>43818</v>
      </c>
      <c r="C356" t="s">
        <v>80</v>
      </c>
      <c r="D356" t="s">
        <v>24</v>
      </c>
      <c r="E356" t="s">
        <v>23</v>
      </c>
      <c r="F356">
        <v>600</v>
      </c>
      <c r="G356">
        <v>1</v>
      </c>
      <c r="H356">
        <v>600</v>
      </c>
      <c r="I356">
        <v>600</v>
      </c>
    </row>
    <row r="357" spans="1:9" x14ac:dyDescent="0.3">
      <c r="A357">
        <v>354</v>
      </c>
      <c r="B357" s="24">
        <v>43819</v>
      </c>
      <c r="C357" t="s">
        <v>81</v>
      </c>
      <c r="D357" t="s">
        <v>10</v>
      </c>
      <c r="E357" t="s">
        <v>11</v>
      </c>
      <c r="F357">
        <v>1100</v>
      </c>
      <c r="G357">
        <v>1</v>
      </c>
      <c r="H357">
        <v>1100</v>
      </c>
      <c r="I357">
        <v>1100</v>
      </c>
    </row>
    <row r="358" spans="1:9" x14ac:dyDescent="0.3">
      <c r="A358">
        <v>355</v>
      </c>
      <c r="B358" s="24">
        <v>43820</v>
      </c>
      <c r="C358" t="s">
        <v>81</v>
      </c>
      <c r="D358" t="s">
        <v>15</v>
      </c>
      <c r="E358" t="s">
        <v>11</v>
      </c>
      <c r="F358">
        <v>1000</v>
      </c>
      <c r="G358">
        <v>1</v>
      </c>
      <c r="H358">
        <v>1000</v>
      </c>
      <c r="I358">
        <v>1000</v>
      </c>
    </row>
    <row r="359" spans="1:9" x14ac:dyDescent="0.3">
      <c r="A359">
        <v>356</v>
      </c>
      <c r="B359" s="24">
        <v>43821</v>
      </c>
      <c r="C359" t="s">
        <v>81</v>
      </c>
      <c r="D359" t="s">
        <v>14</v>
      </c>
      <c r="E359" t="s">
        <v>11</v>
      </c>
      <c r="F359">
        <v>900</v>
      </c>
      <c r="G359">
        <v>1</v>
      </c>
      <c r="H359">
        <v>900</v>
      </c>
      <c r="I359">
        <v>900</v>
      </c>
    </row>
    <row r="360" spans="1:9" x14ac:dyDescent="0.3">
      <c r="A360">
        <v>357</v>
      </c>
      <c r="B360" s="24">
        <v>43822</v>
      </c>
      <c r="C360" t="s">
        <v>81</v>
      </c>
      <c r="D360" t="s">
        <v>24</v>
      </c>
      <c r="E360" t="s">
        <v>23</v>
      </c>
      <c r="F360">
        <v>600</v>
      </c>
      <c r="G360">
        <v>1</v>
      </c>
      <c r="H360">
        <v>600</v>
      </c>
      <c r="I360">
        <v>600</v>
      </c>
    </row>
    <row r="361" spans="1:9" x14ac:dyDescent="0.3">
      <c r="A361">
        <v>358</v>
      </c>
      <c r="B361" s="24">
        <v>43823</v>
      </c>
      <c r="C361" t="s">
        <v>81</v>
      </c>
      <c r="D361" t="s">
        <v>14</v>
      </c>
      <c r="E361" t="s">
        <v>11</v>
      </c>
      <c r="F361">
        <v>900</v>
      </c>
      <c r="G361">
        <v>1</v>
      </c>
      <c r="H361">
        <v>900</v>
      </c>
      <c r="I361">
        <v>900</v>
      </c>
    </row>
    <row r="362" spans="1:9" x14ac:dyDescent="0.3">
      <c r="A362">
        <v>359</v>
      </c>
      <c r="B362" s="24">
        <v>43824</v>
      </c>
      <c r="C362" t="s">
        <v>81</v>
      </c>
      <c r="D362" t="s">
        <v>18</v>
      </c>
      <c r="E362" t="s">
        <v>17</v>
      </c>
      <c r="F362">
        <v>600</v>
      </c>
      <c r="G362">
        <v>1</v>
      </c>
      <c r="H362">
        <v>600</v>
      </c>
      <c r="I362">
        <v>600</v>
      </c>
    </row>
    <row r="363" spans="1:9" x14ac:dyDescent="0.3">
      <c r="A363">
        <v>360</v>
      </c>
      <c r="B363" s="24">
        <v>43825</v>
      </c>
      <c r="C363" t="s">
        <v>81</v>
      </c>
      <c r="D363" t="s">
        <v>12</v>
      </c>
      <c r="E363" t="s">
        <v>11</v>
      </c>
      <c r="F363">
        <v>900</v>
      </c>
      <c r="G363">
        <v>1</v>
      </c>
      <c r="H363">
        <v>900</v>
      </c>
      <c r="I363">
        <v>765</v>
      </c>
    </row>
    <row r="364" spans="1:9" x14ac:dyDescent="0.3">
      <c r="A364">
        <v>361</v>
      </c>
      <c r="B364" s="24">
        <v>43826</v>
      </c>
      <c r="C364" t="s">
        <v>81</v>
      </c>
      <c r="D364" t="s">
        <v>18</v>
      </c>
      <c r="E364" t="s">
        <v>17</v>
      </c>
      <c r="F364">
        <v>600</v>
      </c>
      <c r="G364">
        <v>1</v>
      </c>
      <c r="H364">
        <v>600</v>
      </c>
      <c r="I364">
        <v>600</v>
      </c>
    </row>
    <row r="365" spans="1:9" x14ac:dyDescent="0.3">
      <c r="A365">
        <v>362</v>
      </c>
      <c r="B365" s="24">
        <v>43827</v>
      </c>
      <c r="C365" t="s">
        <v>81</v>
      </c>
      <c r="D365" t="s">
        <v>14</v>
      </c>
      <c r="E365" t="s">
        <v>11</v>
      </c>
      <c r="F365">
        <v>900</v>
      </c>
      <c r="G365">
        <v>1</v>
      </c>
      <c r="H365">
        <v>900</v>
      </c>
      <c r="I365">
        <v>900</v>
      </c>
    </row>
    <row r="366" spans="1:9" x14ac:dyDescent="0.3">
      <c r="A366">
        <v>363</v>
      </c>
      <c r="B366" s="24">
        <v>43828</v>
      </c>
      <c r="C366" t="s">
        <v>81</v>
      </c>
      <c r="D366" t="s">
        <v>24</v>
      </c>
      <c r="E366" t="s">
        <v>23</v>
      </c>
      <c r="F366">
        <v>600</v>
      </c>
      <c r="G366">
        <v>1</v>
      </c>
      <c r="H366">
        <v>600</v>
      </c>
      <c r="I366">
        <v>600</v>
      </c>
    </row>
    <row r="367" spans="1:9" x14ac:dyDescent="0.3">
      <c r="A367">
        <v>364</v>
      </c>
      <c r="B367" s="24">
        <v>43829</v>
      </c>
      <c r="C367" t="s">
        <v>81</v>
      </c>
      <c r="D367" t="s">
        <v>10</v>
      </c>
      <c r="E367" t="s">
        <v>11</v>
      </c>
      <c r="F367">
        <v>1100</v>
      </c>
      <c r="G367">
        <v>2</v>
      </c>
      <c r="H367">
        <v>2200</v>
      </c>
      <c r="I367">
        <v>2200</v>
      </c>
    </row>
    <row r="368" spans="1:9" x14ac:dyDescent="0.3">
      <c r="A368">
        <v>365</v>
      </c>
      <c r="B368" s="24">
        <v>43830</v>
      </c>
      <c r="C368" t="s">
        <v>81</v>
      </c>
      <c r="D368" t="s">
        <v>10</v>
      </c>
      <c r="E368" t="s">
        <v>11</v>
      </c>
      <c r="F368">
        <v>1100</v>
      </c>
      <c r="G368">
        <v>1</v>
      </c>
      <c r="H368">
        <v>1100</v>
      </c>
      <c r="I368">
        <v>1100</v>
      </c>
    </row>
    <row r="369" spans="1:9" x14ac:dyDescent="0.3">
      <c r="A369">
        <v>366</v>
      </c>
      <c r="B369" s="24">
        <v>43831</v>
      </c>
      <c r="C369" t="s">
        <v>81</v>
      </c>
      <c r="D369" t="s">
        <v>10</v>
      </c>
      <c r="E369" t="s">
        <v>11</v>
      </c>
      <c r="F369">
        <v>1100</v>
      </c>
      <c r="G369">
        <v>1</v>
      </c>
      <c r="H369">
        <v>1100</v>
      </c>
      <c r="I369">
        <v>1100</v>
      </c>
    </row>
    <row r="370" spans="1:9" x14ac:dyDescent="0.3">
      <c r="A370">
        <v>367</v>
      </c>
      <c r="B370" s="24">
        <v>43832</v>
      </c>
      <c r="C370" t="s">
        <v>81</v>
      </c>
      <c r="D370" t="s">
        <v>18</v>
      </c>
      <c r="E370" t="s">
        <v>17</v>
      </c>
      <c r="F370">
        <v>600</v>
      </c>
      <c r="G370">
        <v>2</v>
      </c>
      <c r="H370">
        <v>1200</v>
      </c>
      <c r="I370">
        <v>1200</v>
      </c>
    </row>
    <row r="371" spans="1:9" x14ac:dyDescent="0.3">
      <c r="A371">
        <v>368</v>
      </c>
      <c r="B371" s="24">
        <v>43833</v>
      </c>
      <c r="C371" t="s">
        <v>81</v>
      </c>
      <c r="D371" t="s">
        <v>10</v>
      </c>
      <c r="E371" t="s">
        <v>11</v>
      </c>
      <c r="F371">
        <v>1100</v>
      </c>
      <c r="G371">
        <v>1</v>
      </c>
      <c r="H371">
        <v>1100</v>
      </c>
      <c r="I371">
        <v>1100</v>
      </c>
    </row>
    <row r="372" spans="1:9" x14ac:dyDescent="0.3">
      <c r="A372">
        <v>369</v>
      </c>
      <c r="B372" s="24">
        <v>43834</v>
      </c>
      <c r="C372" t="s">
        <v>81</v>
      </c>
      <c r="D372" t="s">
        <v>24</v>
      </c>
      <c r="E372" t="s">
        <v>23</v>
      </c>
      <c r="F372">
        <v>600</v>
      </c>
      <c r="G372">
        <v>1</v>
      </c>
      <c r="H372">
        <v>600</v>
      </c>
      <c r="I372">
        <v>600</v>
      </c>
    </row>
    <row r="373" spans="1:9" x14ac:dyDescent="0.3">
      <c r="A373">
        <v>370</v>
      </c>
      <c r="B373" s="24">
        <v>43835</v>
      </c>
      <c r="C373" t="s">
        <v>81</v>
      </c>
      <c r="D373" t="s">
        <v>10</v>
      </c>
      <c r="E373" t="s">
        <v>11</v>
      </c>
      <c r="F373">
        <v>1100</v>
      </c>
      <c r="G373">
        <v>1</v>
      </c>
      <c r="H373">
        <v>1100</v>
      </c>
      <c r="I373">
        <v>1100</v>
      </c>
    </row>
    <row r="374" spans="1:9" x14ac:dyDescent="0.3">
      <c r="A374">
        <v>371</v>
      </c>
      <c r="B374" s="24">
        <v>43836</v>
      </c>
      <c r="C374" t="s">
        <v>80</v>
      </c>
      <c r="D374" t="s">
        <v>18</v>
      </c>
      <c r="E374" t="s">
        <v>17</v>
      </c>
      <c r="F374">
        <v>600</v>
      </c>
      <c r="G374">
        <v>1</v>
      </c>
      <c r="H374">
        <v>600</v>
      </c>
      <c r="I374">
        <v>600</v>
      </c>
    </row>
    <row r="375" spans="1:9" x14ac:dyDescent="0.3">
      <c r="A375">
        <v>372</v>
      </c>
      <c r="B375" s="24">
        <v>43837</v>
      </c>
      <c r="C375" t="s">
        <v>80</v>
      </c>
      <c r="D375" t="s">
        <v>10</v>
      </c>
      <c r="E375" t="s">
        <v>11</v>
      </c>
      <c r="F375">
        <v>1100</v>
      </c>
      <c r="G375">
        <v>1</v>
      </c>
      <c r="H375">
        <v>1100</v>
      </c>
      <c r="I375">
        <v>1100</v>
      </c>
    </row>
    <row r="376" spans="1:9" x14ac:dyDescent="0.3">
      <c r="A376">
        <v>373</v>
      </c>
      <c r="B376" s="24">
        <v>43838</v>
      </c>
      <c r="C376" t="s">
        <v>80</v>
      </c>
      <c r="D376" t="s">
        <v>14</v>
      </c>
      <c r="E376" t="s">
        <v>11</v>
      </c>
      <c r="F376">
        <v>900</v>
      </c>
      <c r="G376">
        <v>1</v>
      </c>
      <c r="H376">
        <v>900</v>
      </c>
      <c r="I376">
        <v>900</v>
      </c>
    </row>
    <row r="377" spans="1:9" x14ac:dyDescent="0.3">
      <c r="A377">
        <v>374</v>
      </c>
      <c r="B377" s="24">
        <v>43839</v>
      </c>
      <c r="C377" t="s">
        <v>80</v>
      </c>
      <c r="D377" t="s">
        <v>21</v>
      </c>
      <c r="E377" t="s">
        <v>20</v>
      </c>
      <c r="F377">
        <v>1200</v>
      </c>
      <c r="G377">
        <v>1</v>
      </c>
      <c r="H377">
        <v>1200</v>
      </c>
      <c r="I377">
        <v>1200</v>
      </c>
    </row>
    <row r="378" spans="1:9" x14ac:dyDescent="0.3">
      <c r="A378">
        <v>375</v>
      </c>
      <c r="B378" s="24">
        <v>43840</v>
      </c>
      <c r="C378" t="s">
        <v>80</v>
      </c>
      <c r="D378" t="s">
        <v>22</v>
      </c>
      <c r="E378" t="s">
        <v>23</v>
      </c>
      <c r="F378">
        <v>500</v>
      </c>
      <c r="G378">
        <v>1</v>
      </c>
      <c r="H378">
        <v>500</v>
      </c>
      <c r="I378">
        <v>500</v>
      </c>
    </row>
    <row r="379" spans="1:9" x14ac:dyDescent="0.3">
      <c r="A379">
        <v>376</v>
      </c>
      <c r="B379" s="24">
        <v>43841</v>
      </c>
      <c r="C379" t="s">
        <v>80</v>
      </c>
      <c r="D379" t="s">
        <v>18</v>
      </c>
      <c r="E379" t="s">
        <v>17</v>
      </c>
      <c r="F379">
        <v>600</v>
      </c>
      <c r="G379">
        <v>1</v>
      </c>
      <c r="H379">
        <v>600</v>
      </c>
      <c r="I379">
        <v>600</v>
      </c>
    </row>
    <row r="380" spans="1:9" x14ac:dyDescent="0.3">
      <c r="A380">
        <v>377</v>
      </c>
      <c r="B380" s="24">
        <v>43842</v>
      </c>
      <c r="C380" t="s">
        <v>80</v>
      </c>
      <c r="D380" t="s">
        <v>18</v>
      </c>
      <c r="E380" t="s">
        <v>17</v>
      </c>
      <c r="F380">
        <v>600</v>
      </c>
      <c r="G380">
        <v>1</v>
      </c>
      <c r="H380">
        <v>600</v>
      </c>
      <c r="I380">
        <v>600</v>
      </c>
    </row>
    <row r="381" spans="1:9" x14ac:dyDescent="0.3">
      <c r="A381">
        <v>378</v>
      </c>
      <c r="B381" s="24">
        <v>43843</v>
      </c>
      <c r="C381" t="s">
        <v>80</v>
      </c>
      <c r="D381" t="s">
        <v>10</v>
      </c>
      <c r="E381" t="s">
        <v>11</v>
      </c>
      <c r="F381">
        <v>1100</v>
      </c>
      <c r="G381">
        <v>1</v>
      </c>
      <c r="H381">
        <v>1100</v>
      </c>
      <c r="I381">
        <v>1100</v>
      </c>
    </row>
    <row r="382" spans="1:9" x14ac:dyDescent="0.3">
      <c r="A382">
        <v>379</v>
      </c>
      <c r="B382" s="24">
        <v>43844</v>
      </c>
      <c r="C382" t="s">
        <v>80</v>
      </c>
      <c r="D382" t="s">
        <v>10</v>
      </c>
      <c r="E382" t="s">
        <v>11</v>
      </c>
      <c r="F382">
        <v>1100</v>
      </c>
      <c r="G382">
        <v>1</v>
      </c>
      <c r="H382">
        <v>1100</v>
      </c>
      <c r="I382">
        <v>1100</v>
      </c>
    </row>
    <row r="383" spans="1:9" x14ac:dyDescent="0.3">
      <c r="A383">
        <v>380</v>
      </c>
      <c r="B383" s="24">
        <v>43845</v>
      </c>
      <c r="C383" t="s">
        <v>81</v>
      </c>
      <c r="D383" t="s">
        <v>22</v>
      </c>
      <c r="E383" t="s">
        <v>23</v>
      </c>
      <c r="F383">
        <v>900</v>
      </c>
      <c r="G383">
        <v>1</v>
      </c>
      <c r="H383">
        <v>900</v>
      </c>
      <c r="I383">
        <v>900</v>
      </c>
    </row>
    <row r="384" spans="1:9" x14ac:dyDescent="0.3">
      <c r="A384">
        <v>381</v>
      </c>
      <c r="B384" s="24">
        <v>43846</v>
      </c>
      <c r="C384" t="s">
        <v>81</v>
      </c>
      <c r="D384" t="s">
        <v>24</v>
      </c>
      <c r="E384" t="s">
        <v>23</v>
      </c>
      <c r="F384">
        <v>600</v>
      </c>
      <c r="G384">
        <v>1</v>
      </c>
      <c r="H384">
        <v>600</v>
      </c>
      <c r="I384">
        <v>600</v>
      </c>
    </row>
    <row r="385" spans="1:9" x14ac:dyDescent="0.3">
      <c r="A385">
        <v>382</v>
      </c>
      <c r="B385" s="24">
        <v>43847</v>
      </c>
      <c r="C385" t="s">
        <v>80</v>
      </c>
      <c r="D385" t="s">
        <v>10</v>
      </c>
      <c r="E385" t="s">
        <v>11</v>
      </c>
      <c r="F385">
        <v>1100</v>
      </c>
      <c r="G385">
        <v>1</v>
      </c>
      <c r="H385">
        <v>1100</v>
      </c>
      <c r="I385">
        <v>1100</v>
      </c>
    </row>
    <row r="386" spans="1:9" x14ac:dyDescent="0.3">
      <c r="A386">
        <v>383</v>
      </c>
      <c r="B386" s="24">
        <v>43848</v>
      </c>
      <c r="C386" t="s">
        <v>80</v>
      </c>
      <c r="D386" t="s">
        <v>18</v>
      </c>
      <c r="E386" t="s">
        <v>17</v>
      </c>
      <c r="F386">
        <v>600</v>
      </c>
      <c r="G386">
        <v>1</v>
      </c>
      <c r="H386">
        <v>600</v>
      </c>
      <c r="I386">
        <v>600</v>
      </c>
    </row>
    <row r="387" spans="1:9" x14ac:dyDescent="0.3">
      <c r="A387">
        <v>384</v>
      </c>
      <c r="B387" s="24">
        <v>43849</v>
      </c>
      <c r="C387" t="s">
        <v>80</v>
      </c>
      <c r="D387" t="s">
        <v>14</v>
      </c>
      <c r="E387" t="s">
        <v>11</v>
      </c>
      <c r="F387">
        <v>900</v>
      </c>
      <c r="G387">
        <v>1</v>
      </c>
      <c r="H387">
        <v>900</v>
      </c>
      <c r="I387">
        <v>900</v>
      </c>
    </row>
    <row r="388" spans="1:9" x14ac:dyDescent="0.3">
      <c r="A388">
        <v>385</v>
      </c>
      <c r="B388" s="24">
        <v>43850</v>
      </c>
      <c r="C388" t="s">
        <v>80</v>
      </c>
      <c r="D388" t="s">
        <v>18</v>
      </c>
      <c r="E388" t="s">
        <v>17</v>
      </c>
      <c r="F388">
        <v>600</v>
      </c>
      <c r="G388">
        <v>1</v>
      </c>
      <c r="H388">
        <v>600</v>
      </c>
      <c r="I388">
        <v>600</v>
      </c>
    </row>
    <row r="389" spans="1:9" x14ac:dyDescent="0.3">
      <c r="A389">
        <v>386</v>
      </c>
      <c r="B389" s="24">
        <v>43851</v>
      </c>
      <c r="C389" t="s">
        <v>81</v>
      </c>
      <c r="D389" t="s">
        <v>18</v>
      </c>
      <c r="E389" t="s">
        <v>17</v>
      </c>
      <c r="F389">
        <v>600</v>
      </c>
      <c r="G389">
        <v>1</v>
      </c>
      <c r="H389">
        <v>600</v>
      </c>
      <c r="I389">
        <v>600</v>
      </c>
    </row>
    <row r="390" spans="1:9" x14ac:dyDescent="0.3">
      <c r="A390">
        <v>387</v>
      </c>
      <c r="B390" s="24">
        <v>43852</v>
      </c>
      <c r="C390" t="s">
        <v>81</v>
      </c>
      <c r="D390" t="s">
        <v>18</v>
      </c>
      <c r="E390" t="s">
        <v>17</v>
      </c>
      <c r="F390">
        <v>600</v>
      </c>
      <c r="G390">
        <v>1</v>
      </c>
      <c r="H390">
        <v>600</v>
      </c>
      <c r="I390">
        <v>600</v>
      </c>
    </row>
    <row r="391" spans="1:9" x14ac:dyDescent="0.3">
      <c r="A391">
        <v>388</v>
      </c>
      <c r="B391" s="24">
        <v>43853</v>
      </c>
      <c r="C391" t="s">
        <v>81</v>
      </c>
      <c r="D391" t="s">
        <v>22</v>
      </c>
      <c r="E391" t="s">
        <v>23</v>
      </c>
      <c r="F391">
        <v>500</v>
      </c>
      <c r="G391">
        <v>1</v>
      </c>
      <c r="H391">
        <v>500</v>
      </c>
      <c r="I391">
        <v>500</v>
      </c>
    </row>
    <row r="392" spans="1:9" x14ac:dyDescent="0.3">
      <c r="A392">
        <v>389</v>
      </c>
      <c r="B392" s="24">
        <v>43854</v>
      </c>
      <c r="C392" t="s">
        <v>81</v>
      </c>
      <c r="D392" t="s">
        <v>18</v>
      </c>
      <c r="E392" t="s">
        <v>17</v>
      </c>
      <c r="F392">
        <v>600</v>
      </c>
      <c r="G392">
        <v>1</v>
      </c>
      <c r="H392">
        <v>600</v>
      </c>
      <c r="I392">
        <v>600</v>
      </c>
    </row>
    <row r="393" spans="1:9" x14ac:dyDescent="0.3">
      <c r="A393">
        <v>390</v>
      </c>
      <c r="B393" s="24">
        <v>43855</v>
      </c>
      <c r="C393" t="s">
        <v>80</v>
      </c>
      <c r="D393" t="s">
        <v>14</v>
      </c>
      <c r="E393" t="s">
        <v>11</v>
      </c>
      <c r="F393">
        <v>900</v>
      </c>
      <c r="G393">
        <v>1</v>
      </c>
      <c r="H393">
        <v>900</v>
      </c>
      <c r="I393">
        <v>900</v>
      </c>
    </row>
    <row r="394" spans="1:9" x14ac:dyDescent="0.3">
      <c r="A394">
        <v>391</v>
      </c>
      <c r="B394" s="24">
        <v>43856</v>
      </c>
      <c r="C394" t="s">
        <v>81</v>
      </c>
      <c r="D394" t="s">
        <v>21</v>
      </c>
      <c r="E394" t="s">
        <v>20</v>
      </c>
      <c r="F394">
        <v>1200</v>
      </c>
      <c r="G394">
        <v>2</v>
      </c>
      <c r="H394">
        <v>2400</v>
      </c>
      <c r="I394">
        <v>2400</v>
      </c>
    </row>
    <row r="395" spans="1:9" x14ac:dyDescent="0.3">
      <c r="A395">
        <v>392</v>
      </c>
      <c r="B395" s="24">
        <v>43857</v>
      </c>
      <c r="C395" t="s">
        <v>81</v>
      </c>
      <c r="D395" t="s">
        <v>10</v>
      </c>
      <c r="E395" t="s">
        <v>11</v>
      </c>
      <c r="F395">
        <v>1100</v>
      </c>
      <c r="G395">
        <v>1</v>
      </c>
      <c r="H395">
        <v>1100</v>
      </c>
      <c r="I395">
        <v>1100</v>
      </c>
    </row>
    <row r="396" spans="1:9" x14ac:dyDescent="0.3">
      <c r="A396">
        <v>393</v>
      </c>
      <c r="B396" s="24">
        <v>43858</v>
      </c>
      <c r="C396" t="s">
        <v>81</v>
      </c>
      <c r="D396" t="s">
        <v>16</v>
      </c>
      <c r="E396" t="s">
        <v>17</v>
      </c>
      <c r="F396">
        <v>800</v>
      </c>
      <c r="G396">
        <v>1</v>
      </c>
      <c r="H396">
        <v>800</v>
      </c>
      <c r="I396">
        <v>800</v>
      </c>
    </row>
    <row r="397" spans="1:9" x14ac:dyDescent="0.3">
      <c r="A397">
        <v>394</v>
      </c>
      <c r="B397" s="24">
        <v>43859</v>
      </c>
      <c r="C397" t="s">
        <v>81</v>
      </c>
      <c r="D397" t="s">
        <v>16</v>
      </c>
      <c r="E397" t="s">
        <v>17</v>
      </c>
      <c r="F397">
        <v>800</v>
      </c>
      <c r="G397">
        <v>1</v>
      </c>
      <c r="H397">
        <v>800</v>
      </c>
      <c r="I397">
        <v>800</v>
      </c>
    </row>
    <row r="398" spans="1:9" x14ac:dyDescent="0.3">
      <c r="A398">
        <v>395</v>
      </c>
      <c r="B398" s="24">
        <v>43860</v>
      </c>
      <c r="C398" t="s">
        <v>81</v>
      </c>
      <c r="D398" t="s">
        <v>10</v>
      </c>
      <c r="E398" t="s">
        <v>11</v>
      </c>
      <c r="F398">
        <v>1100</v>
      </c>
      <c r="G398">
        <v>1</v>
      </c>
      <c r="H398">
        <v>1100</v>
      </c>
      <c r="I398">
        <v>1100</v>
      </c>
    </row>
    <row r="399" spans="1:9" x14ac:dyDescent="0.3">
      <c r="A399">
        <v>396</v>
      </c>
      <c r="B399" s="24">
        <v>43861</v>
      </c>
      <c r="C399" t="s">
        <v>81</v>
      </c>
      <c r="D399" t="s">
        <v>15</v>
      </c>
      <c r="E399" t="s">
        <v>11</v>
      </c>
      <c r="F399">
        <v>1000</v>
      </c>
      <c r="G399">
        <v>1</v>
      </c>
      <c r="H399">
        <v>1000</v>
      </c>
      <c r="I399">
        <v>1000</v>
      </c>
    </row>
    <row r="400" spans="1:9" x14ac:dyDescent="0.3">
      <c r="A400">
        <v>397</v>
      </c>
      <c r="B400" s="24">
        <v>43862</v>
      </c>
      <c r="C400" t="s">
        <v>81</v>
      </c>
      <c r="D400" t="s">
        <v>22</v>
      </c>
      <c r="E400" t="s">
        <v>23</v>
      </c>
      <c r="F400">
        <v>500</v>
      </c>
      <c r="G400">
        <v>1</v>
      </c>
      <c r="H400">
        <v>500</v>
      </c>
      <c r="I400">
        <v>500</v>
      </c>
    </row>
    <row r="401" spans="1:9" x14ac:dyDescent="0.3">
      <c r="A401">
        <v>398</v>
      </c>
      <c r="B401" s="24">
        <v>43863</v>
      </c>
      <c r="C401" t="s">
        <v>81</v>
      </c>
      <c r="D401" t="s">
        <v>12</v>
      </c>
      <c r="E401" t="s">
        <v>11</v>
      </c>
      <c r="F401">
        <v>900</v>
      </c>
      <c r="G401">
        <v>1</v>
      </c>
      <c r="H401">
        <v>900</v>
      </c>
      <c r="I401">
        <v>765</v>
      </c>
    </row>
    <row r="402" spans="1:9" x14ac:dyDescent="0.3">
      <c r="A402">
        <v>399</v>
      </c>
      <c r="B402" s="24">
        <v>43864</v>
      </c>
      <c r="C402" t="s">
        <v>81</v>
      </c>
      <c r="D402" t="s">
        <v>18</v>
      </c>
      <c r="E402" t="s">
        <v>17</v>
      </c>
      <c r="F402">
        <v>600</v>
      </c>
      <c r="G402">
        <v>1</v>
      </c>
      <c r="H402">
        <v>600</v>
      </c>
      <c r="I402">
        <v>600</v>
      </c>
    </row>
    <row r="403" spans="1:9" x14ac:dyDescent="0.3">
      <c r="A403">
        <v>400</v>
      </c>
      <c r="B403" s="24">
        <v>43865</v>
      </c>
      <c r="C403" t="s">
        <v>81</v>
      </c>
      <c r="D403" t="s">
        <v>12</v>
      </c>
      <c r="E403" t="s">
        <v>11</v>
      </c>
      <c r="F403">
        <v>900</v>
      </c>
      <c r="G403">
        <v>1</v>
      </c>
      <c r="H403">
        <v>900</v>
      </c>
      <c r="I403">
        <v>765</v>
      </c>
    </row>
    <row r="404" spans="1:9" x14ac:dyDescent="0.3">
      <c r="A404">
        <v>401</v>
      </c>
      <c r="B404" s="24">
        <v>43866</v>
      </c>
      <c r="C404" t="s">
        <v>81</v>
      </c>
      <c r="D404" t="s">
        <v>21</v>
      </c>
      <c r="E404" t="s">
        <v>20</v>
      </c>
      <c r="F404">
        <v>1200</v>
      </c>
      <c r="G404">
        <v>1</v>
      </c>
      <c r="H404">
        <v>1200</v>
      </c>
      <c r="I404">
        <v>1200</v>
      </c>
    </row>
    <row r="405" spans="1:9" x14ac:dyDescent="0.3">
      <c r="A405">
        <v>402</v>
      </c>
      <c r="B405" s="24">
        <v>43867</v>
      </c>
      <c r="C405" t="s">
        <v>81</v>
      </c>
      <c r="D405" t="s">
        <v>10</v>
      </c>
      <c r="E405" t="s">
        <v>11</v>
      </c>
      <c r="F405">
        <v>1100</v>
      </c>
      <c r="G405">
        <v>1</v>
      </c>
      <c r="H405">
        <v>1100</v>
      </c>
      <c r="I405">
        <v>1100</v>
      </c>
    </row>
    <row r="406" spans="1:9" x14ac:dyDescent="0.3">
      <c r="A406">
        <v>403</v>
      </c>
      <c r="B406" s="24">
        <v>43868</v>
      </c>
      <c r="C406" t="s">
        <v>81</v>
      </c>
      <c r="D406" t="s">
        <v>16</v>
      </c>
      <c r="E406" t="s">
        <v>17</v>
      </c>
      <c r="F406">
        <v>800</v>
      </c>
      <c r="G406">
        <v>1</v>
      </c>
      <c r="H406">
        <v>800</v>
      </c>
      <c r="I406">
        <v>800</v>
      </c>
    </row>
    <row r="407" spans="1:9" x14ac:dyDescent="0.3">
      <c r="A407">
        <v>404</v>
      </c>
      <c r="B407" s="24">
        <v>43869</v>
      </c>
      <c r="C407" t="s">
        <v>81</v>
      </c>
      <c r="D407" t="s">
        <v>12</v>
      </c>
      <c r="E407" t="s">
        <v>11</v>
      </c>
      <c r="F407">
        <v>900</v>
      </c>
      <c r="G407">
        <v>1</v>
      </c>
      <c r="H407">
        <v>900</v>
      </c>
      <c r="I407">
        <v>765</v>
      </c>
    </row>
    <row r="408" spans="1:9" x14ac:dyDescent="0.3">
      <c r="A408">
        <v>405</v>
      </c>
      <c r="B408" s="24">
        <v>43870</v>
      </c>
      <c r="C408" t="s">
        <v>81</v>
      </c>
      <c r="D408" t="s">
        <v>10</v>
      </c>
      <c r="E408" t="s">
        <v>11</v>
      </c>
      <c r="F408">
        <v>1100</v>
      </c>
      <c r="G408">
        <v>1</v>
      </c>
      <c r="H408">
        <v>1100</v>
      </c>
      <c r="I408">
        <v>1100</v>
      </c>
    </row>
    <row r="409" spans="1:9" x14ac:dyDescent="0.3">
      <c r="A409">
        <v>406</v>
      </c>
      <c r="B409" s="24">
        <v>43871</v>
      </c>
      <c r="C409" t="s">
        <v>80</v>
      </c>
      <c r="D409" t="s">
        <v>16</v>
      </c>
      <c r="E409" t="s">
        <v>17</v>
      </c>
      <c r="F409">
        <v>800</v>
      </c>
      <c r="G409">
        <v>1</v>
      </c>
      <c r="H409">
        <v>800</v>
      </c>
      <c r="I409">
        <v>800</v>
      </c>
    </row>
    <row r="410" spans="1:9" x14ac:dyDescent="0.3">
      <c r="A410">
        <v>407</v>
      </c>
      <c r="B410" s="24">
        <v>43872</v>
      </c>
      <c r="C410" t="s">
        <v>81</v>
      </c>
      <c r="D410" t="s">
        <v>19</v>
      </c>
      <c r="E410" t="s">
        <v>20</v>
      </c>
      <c r="F410">
        <v>1000</v>
      </c>
      <c r="G410">
        <v>1</v>
      </c>
      <c r="H410">
        <v>1000</v>
      </c>
      <c r="I410">
        <v>1000</v>
      </c>
    </row>
    <row r="411" spans="1:9" x14ac:dyDescent="0.3">
      <c r="A411">
        <v>408</v>
      </c>
      <c r="B411" s="24">
        <v>43873</v>
      </c>
      <c r="C411" t="s">
        <v>81</v>
      </c>
      <c r="D411" t="s">
        <v>14</v>
      </c>
      <c r="E411" t="s">
        <v>11</v>
      </c>
      <c r="F411">
        <v>1000</v>
      </c>
      <c r="G411">
        <v>1</v>
      </c>
      <c r="H411">
        <v>1000</v>
      </c>
      <c r="I411">
        <v>1000</v>
      </c>
    </row>
    <row r="412" spans="1:9" x14ac:dyDescent="0.3">
      <c r="A412">
        <v>409</v>
      </c>
      <c r="B412" s="24">
        <v>43874</v>
      </c>
      <c r="C412" t="s">
        <v>81</v>
      </c>
      <c r="D412" t="s">
        <v>10</v>
      </c>
      <c r="E412" t="s">
        <v>11</v>
      </c>
      <c r="F412">
        <v>1000</v>
      </c>
      <c r="G412">
        <v>1</v>
      </c>
      <c r="H412">
        <v>1000</v>
      </c>
      <c r="I412">
        <v>1000</v>
      </c>
    </row>
    <row r="413" spans="1:9" x14ac:dyDescent="0.3">
      <c r="A413">
        <v>410</v>
      </c>
      <c r="B413" s="24">
        <v>43875</v>
      </c>
      <c r="C413" t="s">
        <v>81</v>
      </c>
      <c r="D413" t="s">
        <v>18</v>
      </c>
      <c r="E413" t="s">
        <v>17</v>
      </c>
      <c r="F413">
        <v>600</v>
      </c>
      <c r="G413">
        <v>1</v>
      </c>
      <c r="H413">
        <v>600</v>
      </c>
      <c r="I413">
        <v>600</v>
      </c>
    </row>
    <row r="414" spans="1:9" x14ac:dyDescent="0.3">
      <c r="A414">
        <v>411</v>
      </c>
      <c r="B414" s="24">
        <v>43876</v>
      </c>
      <c r="C414" t="s">
        <v>81</v>
      </c>
      <c r="D414" t="s">
        <v>21</v>
      </c>
      <c r="E414" t="s">
        <v>20</v>
      </c>
      <c r="F414">
        <v>1200</v>
      </c>
      <c r="G414">
        <v>1</v>
      </c>
      <c r="H414">
        <v>1200</v>
      </c>
      <c r="I414">
        <v>1200</v>
      </c>
    </row>
    <row r="415" spans="1:9" x14ac:dyDescent="0.3">
      <c r="A415">
        <v>412</v>
      </c>
      <c r="B415" s="24">
        <v>43877</v>
      </c>
      <c r="C415" t="s">
        <v>81</v>
      </c>
      <c r="D415" t="s">
        <v>18</v>
      </c>
      <c r="E415" t="s">
        <v>17</v>
      </c>
      <c r="F415">
        <v>600</v>
      </c>
      <c r="G415">
        <v>1</v>
      </c>
      <c r="H415">
        <v>600</v>
      </c>
      <c r="I415">
        <v>600</v>
      </c>
    </row>
    <row r="416" spans="1:9" x14ac:dyDescent="0.3">
      <c r="A416">
        <v>413</v>
      </c>
      <c r="B416" s="24">
        <v>43878</v>
      </c>
      <c r="C416" t="s">
        <v>81</v>
      </c>
      <c r="D416" t="s">
        <v>18</v>
      </c>
      <c r="E416" t="s">
        <v>17</v>
      </c>
      <c r="F416">
        <v>600</v>
      </c>
      <c r="G416">
        <v>1</v>
      </c>
      <c r="H416">
        <v>600</v>
      </c>
      <c r="I416">
        <v>600</v>
      </c>
    </row>
    <row r="417" spans="1:9" x14ac:dyDescent="0.3">
      <c r="A417">
        <v>414</v>
      </c>
      <c r="B417" s="24">
        <v>43879</v>
      </c>
      <c r="C417" t="s">
        <v>81</v>
      </c>
      <c r="D417" t="s">
        <v>10</v>
      </c>
      <c r="E417" t="s">
        <v>11</v>
      </c>
      <c r="F417">
        <v>1100</v>
      </c>
      <c r="G417">
        <v>1</v>
      </c>
      <c r="H417">
        <v>1100</v>
      </c>
      <c r="I417">
        <v>1100</v>
      </c>
    </row>
    <row r="418" spans="1:9" x14ac:dyDescent="0.3">
      <c r="A418">
        <v>415</v>
      </c>
      <c r="B418" s="24">
        <v>43880</v>
      </c>
      <c r="C418" t="s">
        <v>81</v>
      </c>
      <c r="D418" t="s">
        <v>12</v>
      </c>
      <c r="E418" t="s">
        <v>11</v>
      </c>
      <c r="F418">
        <v>900</v>
      </c>
      <c r="G418">
        <v>1</v>
      </c>
      <c r="H418">
        <v>900</v>
      </c>
      <c r="I418">
        <v>765</v>
      </c>
    </row>
    <row r="419" spans="1:9" x14ac:dyDescent="0.3">
      <c r="A419">
        <v>416</v>
      </c>
      <c r="B419" s="24">
        <v>43881</v>
      </c>
      <c r="C419" t="s">
        <v>81</v>
      </c>
      <c r="D419" t="s">
        <v>15</v>
      </c>
      <c r="E419" t="s">
        <v>11</v>
      </c>
      <c r="F419">
        <v>1000</v>
      </c>
      <c r="G419">
        <v>1</v>
      </c>
      <c r="H419">
        <v>1000</v>
      </c>
      <c r="I419">
        <v>1000</v>
      </c>
    </row>
    <row r="420" spans="1:9" x14ac:dyDescent="0.3">
      <c r="A420">
        <v>417</v>
      </c>
      <c r="B420" s="24">
        <v>43882</v>
      </c>
      <c r="C420" t="s">
        <v>81</v>
      </c>
      <c r="D420" t="s">
        <v>12</v>
      </c>
      <c r="E420" t="s">
        <v>11</v>
      </c>
      <c r="F420">
        <v>900</v>
      </c>
      <c r="G420">
        <v>1</v>
      </c>
      <c r="H420">
        <v>900</v>
      </c>
      <c r="I420">
        <v>765</v>
      </c>
    </row>
    <row r="421" spans="1:9" x14ac:dyDescent="0.3">
      <c r="A421">
        <v>418</v>
      </c>
      <c r="B421" s="24">
        <v>43883</v>
      </c>
      <c r="C421" t="s">
        <v>81</v>
      </c>
      <c r="D421" t="s">
        <v>18</v>
      </c>
      <c r="E421" t="s">
        <v>17</v>
      </c>
      <c r="F421">
        <v>600</v>
      </c>
      <c r="G421">
        <v>1</v>
      </c>
      <c r="H421">
        <v>600</v>
      </c>
      <c r="I421">
        <v>600</v>
      </c>
    </row>
    <row r="422" spans="1:9" x14ac:dyDescent="0.3">
      <c r="A422">
        <v>419</v>
      </c>
      <c r="B422" s="24">
        <v>43884</v>
      </c>
      <c r="C422" t="s">
        <v>81</v>
      </c>
      <c r="D422" t="s">
        <v>19</v>
      </c>
      <c r="E422" t="s">
        <v>20</v>
      </c>
      <c r="F422">
        <v>850</v>
      </c>
      <c r="G422">
        <v>1</v>
      </c>
      <c r="H422">
        <v>850</v>
      </c>
      <c r="I422">
        <v>850</v>
      </c>
    </row>
    <row r="423" spans="1:9" x14ac:dyDescent="0.3">
      <c r="A423">
        <v>420</v>
      </c>
      <c r="B423" s="24">
        <v>43885</v>
      </c>
      <c r="C423" t="s">
        <v>81</v>
      </c>
      <c r="D423" t="s">
        <v>22</v>
      </c>
      <c r="E423" t="s">
        <v>23</v>
      </c>
      <c r="F423">
        <v>500</v>
      </c>
      <c r="G423">
        <v>1</v>
      </c>
      <c r="H423">
        <v>500</v>
      </c>
      <c r="I423">
        <v>500</v>
      </c>
    </row>
    <row r="424" spans="1:9" x14ac:dyDescent="0.3">
      <c r="A424">
        <v>421</v>
      </c>
      <c r="B424" s="24">
        <v>43886</v>
      </c>
      <c r="C424" t="s">
        <v>81</v>
      </c>
      <c r="D424" t="s">
        <v>15</v>
      </c>
      <c r="E424" t="s">
        <v>11</v>
      </c>
      <c r="F424">
        <v>1000</v>
      </c>
      <c r="G424">
        <v>1</v>
      </c>
      <c r="H424">
        <v>1000</v>
      </c>
      <c r="I424">
        <v>1000</v>
      </c>
    </row>
    <row r="425" spans="1:9" x14ac:dyDescent="0.3">
      <c r="A425">
        <v>422</v>
      </c>
      <c r="B425" s="24">
        <v>43887</v>
      </c>
      <c r="C425" t="s">
        <v>81</v>
      </c>
      <c r="D425" t="s">
        <v>10</v>
      </c>
      <c r="E425" t="s">
        <v>11</v>
      </c>
      <c r="F425">
        <v>1100</v>
      </c>
      <c r="G425">
        <v>1</v>
      </c>
      <c r="H425">
        <v>1100</v>
      </c>
      <c r="I425">
        <v>1100</v>
      </c>
    </row>
    <row r="426" spans="1:9" x14ac:dyDescent="0.3">
      <c r="A426">
        <v>423</v>
      </c>
      <c r="B426" s="24">
        <v>43888</v>
      </c>
      <c r="C426" t="s">
        <v>81</v>
      </c>
      <c r="D426" t="s">
        <v>10</v>
      </c>
      <c r="E426" t="s">
        <v>11</v>
      </c>
      <c r="F426">
        <v>1100</v>
      </c>
      <c r="G426">
        <v>2</v>
      </c>
      <c r="H426">
        <v>2200</v>
      </c>
      <c r="I426">
        <v>2200</v>
      </c>
    </row>
    <row r="427" spans="1:9" x14ac:dyDescent="0.3">
      <c r="A427">
        <v>424</v>
      </c>
      <c r="B427" s="24">
        <v>43889</v>
      </c>
      <c r="C427" t="s">
        <v>81</v>
      </c>
      <c r="D427" t="s">
        <v>14</v>
      </c>
      <c r="E427" t="s">
        <v>11</v>
      </c>
      <c r="F427">
        <v>900</v>
      </c>
      <c r="G427">
        <v>1</v>
      </c>
      <c r="H427">
        <v>900</v>
      </c>
      <c r="I427">
        <v>900</v>
      </c>
    </row>
    <row r="428" spans="1:9" x14ac:dyDescent="0.3">
      <c r="A428">
        <v>425</v>
      </c>
      <c r="B428" s="24">
        <v>43890</v>
      </c>
      <c r="C428" t="s">
        <v>81</v>
      </c>
      <c r="D428" t="s">
        <v>14</v>
      </c>
      <c r="E428" t="s">
        <v>11</v>
      </c>
      <c r="F428">
        <v>900</v>
      </c>
      <c r="G428">
        <v>1</v>
      </c>
      <c r="H428">
        <v>900</v>
      </c>
      <c r="I428">
        <v>900</v>
      </c>
    </row>
    <row r="429" spans="1:9" x14ac:dyDescent="0.3">
      <c r="A429">
        <v>426</v>
      </c>
      <c r="B429" s="24">
        <v>43891</v>
      </c>
      <c r="C429" t="s">
        <v>81</v>
      </c>
      <c r="D429" t="s">
        <v>18</v>
      </c>
      <c r="E429" t="s">
        <v>17</v>
      </c>
      <c r="F429">
        <v>600</v>
      </c>
      <c r="G429">
        <v>1</v>
      </c>
      <c r="H429">
        <v>600</v>
      </c>
      <c r="I429">
        <v>600</v>
      </c>
    </row>
    <row r="430" spans="1:9" x14ac:dyDescent="0.3">
      <c r="A430">
        <v>427</v>
      </c>
      <c r="B430" s="24">
        <v>43892</v>
      </c>
      <c r="C430" t="s">
        <v>81</v>
      </c>
      <c r="D430" t="s">
        <v>22</v>
      </c>
      <c r="E430" t="s">
        <v>23</v>
      </c>
      <c r="F430">
        <v>900</v>
      </c>
      <c r="G430">
        <v>1</v>
      </c>
      <c r="H430">
        <v>900</v>
      </c>
      <c r="I430">
        <v>900</v>
      </c>
    </row>
    <row r="431" spans="1:9" x14ac:dyDescent="0.3">
      <c r="A431">
        <v>428</v>
      </c>
      <c r="B431" s="24">
        <v>43893</v>
      </c>
      <c r="C431" t="s">
        <v>81</v>
      </c>
      <c r="D431" t="s">
        <v>10</v>
      </c>
      <c r="E431" t="s">
        <v>11</v>
      </c>
      <c r="F431">
        <v>1100</v>
      </c>
      <c r="G431">
        <v>1</v>
      </c>
      <c r="H431">
        <v>1100</v>
      </c>
      <c r="I431">
        <v>1100</v>
      </c>
    </row>
    <row r="432" spans="1:9" x14ac:dyDescent="0.3">
      <c r="A432">
        <v>429</v>
      </c>
      <c r="B432" s="24">
        <v>43894</v>
      </c>
      <c r="C432" t="s">
        <v>81</v>
      </c>
      <c r="D432" t="s">
        <v>18</v>
      </c>
      <c r="E432" t="s">
        <v>17</v>
      </c>
      <c r="F432">
        <v>600</v>
      </c>
      <c r="G432">
        <v>1</v>
      </c>
      <c r="H432">
        <v>600</v>
      </c>
      <c r="I432">
        <v>600</v>
      </c>
    </row>
    <row r="433" spans="1:9" x14ac:dyDescent="0.3">
      <c r="A433">
        <v>430</v>
      </c>
      <c r="B433" s="24">
        <v>43895</v>
      </c>
      <c r="C433" t="s">
        <v>81</v>
      </c>
      <c r="D433" t="s">
        <v>18</v>
      </c>
      <c r="E433" t="s">
        <v>17</v>
      </c>
      <c r="F433">
        <v>600</v>
      </c>
      <c r="G433">
        <v>1</v>
      </c>
      <c r="H433">
        <v>600</v>
      </c>
      <c r="I433">
        <v>600</v>
      </c>
    </row>
    <row r="434" spans="1:9" x14ac:dyDescent="0.3">
      <c r="A434">
        <v>431</v>
      </c>
      <c r="B434" s="24">
        <v>43896</v>
      </c>
      <c r="C434" t="s">
        <v>81</v>
      </c>
      <c r="D434" t="s">
        <v>22</v>
      </c>
      <c r="E434" t="s">
        <v>23</v>
      </c>
      <c r="F434">
        <v>500</v>
      </c>
      <c r="G434">
        <v>1</v>
      </c>
      <c r="H434">
        <v>500</v>
      </c>
      <c r="I434">
        <v>500</v>
      </c>
    </row>
    <row r="435" spans="1:9" x14ac:dyDescent="0.3">
      <c r="A435">
        <v>432</v>
      </c>
      <c r="B435" s="24">
        <v>43897</v>
      </c>
      <c r="C435" t="s">
        <v>81</v>
      </c>
      <c r="D435" t="s">
        <v>14</v>
      </c>
      <c r="E435" t="s">
        <v>11</v>
      </c>
      <c r="F435">
        <v>900</v>
      </c>
      <c r="G435">
        <v>1</v>
      </c>
      <c r="H435">
        <v>900</v>
      </c>
      <c r="I435">
        <v>900</v>
      </c>
    </row>
    <row r="436" spans="1:9" x14ac:dyDescent="0.3">
      <c r="A436">
        <v>433</v>
      </c>
      <c r="B436" s="24">
        <v>43898</v>
      </c>
      <c r="C436" t="s">
        <v>81</v>
      </c>
      <c r="D436" t="s">
        <v>21</v>
      </c>
      <c r="E436" t="s">
        <v>20</v>
      </c>
      <c r="F436">
        <v>1200</v>
      </c>
      <c r="G436">
        <v>1</v>
      </c>
      <c r="H436">
        <v>1200</v>
      </c>
      <c r="I436">
        <v>1200</v>
      </c>
    </row>
    <row r="437" spans="1:9" x14ac:dyDescent="0.3">
      <c r="A437">
        <v>434</v>
      </c>
      <c r="B437" s="24">
        <v>43899</v>
      </c>
      <c r="C437" t="s">
        <v>81</v>
      </c>
      <c r="D437" t="s">
        <v>18</v>
      </c>
      <c r="E437" t="s">
        <v>17</v>
      </c>
      <c r="F437">
        <v>600</v>
      </c>
      <c r="G437">
        <v>2</v>
      </c>
      <c r="H437">
        <v>1200</v>
      </c>
      <c r="I437">
        <v>1200</v>
      </c>
    </row>
    <row r="438" spans="1:9" x14ac:dyDescent="0.3">
      <c r="A438">
        <v>435</v>
      </c>
      <c r="B438" s="24">
        <v>43900</v>
      </c>
      <c r="C438" t="s">
        <v>81</v>
      </c>
      <c r="D438" t="s">
        <v>14</v>
      </c>
      <c r="E438" t="s">
        <v>11</v>
      </c>
      <c r="F438">
        <v>900</v>
      </c>
      <c r="G438">
        <v>1</v>
      </c>
      <c r="H438">
        <v>900</v>
      </c>
      <c r="I438">
        <v>900</v>
      </c>
    </row>
    <row r="439" spans="1:9" x14ac:dyDescent="0.3">
      <c r="A439">
        <v>436</v>
      </c>
      <c r="B439" s="24">
        <v>43901</v>
      </c>
      <c r="C439" t="s">
        <v>81</v>
      </c>
      <c r="D439" t="s">
        <v>10</v>
      </c>
      <c r="E439" t="s">
        <v>11</v>
      </c>
      <c r="F439">
        <v>1100</v>
      </c>
      <c r="G439">
        <v>2</v>
      </c>
      <c r="H439">
        <v>2200</v>
      </c>
      <c r="I439">
        <v>2200</v>
      </c>
    </row>
    <row r="440" spans="1:9" x14ac:dyDescent="0.3">
      <c r="A440">
        <v>437</v>
      </c>
      <c r="B440" s="24">
        <v>43902</v>
      </c>
      <c r="C440" t="s">
        <v>81</v>
      </c>
      <c r="D440" t="s">
        <v>24</v>
      </c>
      <c r="E440" t="s">
        <v>23</v>
      </c>
      <c r="F440">
        <v>600</v>
      </c>
      <c r="G440">
        <v>1</v>
      </c>
      <c r="H440">
        <v>600</v>
      </c>
      <c r="I440">
        <v>600</v>
      </c>
    </row>
    <row r="441" spans="1:9" x14ac:dyDescent="0.3">
      <c r="A441">
        <v>438</v>
      </c>
      <c r="B441" s="24">
        <v>43903</v>
      </c>
      <c r="C441" t="s">
        <v>81</v>
      </c>
      <c r="D441" t="s">
        <v>18</v>
      </c>
      <c r="E441" t="s">
        <v>17</v>
      </c>
      <c r="F441">
        <v>600</v>
      </c>
      <c r="G441">
        <v>1</v>
      </c>
      <c r="H441">
        <v>600</v>
      </c>
      <c r="I441">
        <v>600</v>
      </c>
    </row>
    <row r="442" spans="1:9" x14ac:dyDescent="0.3">
      <c r="A442">
        <v>439</v>
      </c>
      <c r="B442" s="24">
        <v>43904</v>
      </c>
      <c r="C442" t="s">
        <v>81</v>
      </c>
      <c r="D442" t="s">
        <v>24</v>
      </c>
      <c r="E442" t="s">
        <v>23</v>
      </c>
      <c r="F442">
        <v>300</v>
      </c>
      <c r="G442">
        <v>2</v>
      </c>
      <c r="H442">
        <v>600</v>
      </c>
      <c r="I442">
        <v>600</v>
      </c>
    </row>
    <row r="443" spans="1:9" x14ac:dyDescent="0.3">
      <c r="A443">
        <v>440</v>
      </c>
      <c r="B443" s="24">
        <v>43905</v>
      </c>
      <c r="C443" t="s">
        <v>81</v>
      </c>
      <c r="D443" t="s">
        <v>10</v>
      </c>
      <c r="E443" t="s">
        <v>11</v>
      </c>
      <c r="F443">
        <v>1100</v>
      </c>
      <c r="G443">
        <v>2</v>
      </c>
      <c r="H443">
        <v>2200</v>
      </c>
      <c r="I443">
        <v>2200</v>
      </c>
    </row>
    <row r="444" spans="1:9" x14ac:dyDescent="0.3">
      <c r="A444">
        <v>441</v>
      </c>
      <c r="B444" s="24">
        <v>43906</v>
      </c>
      <c r="C444" t="s">
        <v>81</v>
      </c>
      <c r="D444" t="s">
        <v>15</v>
      </c>
      <c r="E444" t="s">
        <v>11</v>
      </c>
      <c r="F444">
        <v>1000</v>
      </c>
      <c r="G444">
        <v>1</v>
      </c>
      <c r="H444">
        <v>1000</v>
      </c>
      <c r="I444">
        <v>1000</v>
      </c>
    </row>
    <row r="445" spans="1:9" x14ac:dyDescent="0.3">
      <c r="A445">
        <v>442</v>
      </c>
      <c r="B445" s="24">
        <v>43907</v>
      </c>
      <c r="C445" t="s">
        <v>81</v>
      </c>
      <c r="D445" t="s">
        <v>18</v>
      </c>
      <c r="E445" t="s">
        <v>17</v>
      </c>
      <c r="F445">
        <v>600</v>
      </c>
      <c r="G445">
        <v>1</v>
      </c>
      <c r="H445">
        <v>600</v>
      </c>
      <c r="I445">
        <v>600</v>
      </c>
    </row>
    <row r="446" spans="1:9" x14ac:dyDescent="0.3">
      <c r="A446">
        <v>443</v>
      </c>
      <c r="B446" s="24">
        <v>43908</v>
      </c>
      <c r="C446" t="s">
        <v>81</v>
      </c>
      <c r="D446" t="s">
        <v>14</v>
      </c>
      <c r="E446" t="s">
        <v>11</v>
      </c>
      <c r="F446">
        <v>900</v>
      </c>
      <c r="G446">
        <v>1</v>
      </c>
      <c r="H446">
        <v>900</v>
      </c>
      <c r="I446">
        <v>900</v>
      </c>
    </row>
    <row r="447" spans="1:9" x14ac:dyDescent="0.3">
      <c r="A447">
        <v>444</v>
      </c>
      <c r="B447" s="24">
        <v>43909</v>
      </c>
      <c r="C447" t="s">
        <v>81</v>
      </c>
      <c r="D447" t="s">
        <v>21</v>
      </c>
      <c r="E447" t="s">
        <v>20</v>
      </c>
      <c r="F447">
        <v>1200</v>
      </c>
      <c r="G447">
        <v>1</v>
      </c>
      <c r="H447">
        <v>1200</v>
      </c>
      <c r="I447">
        <v>1200</v>
      </c>
    </row>
    <row r="448" spans="1:9" x14ac:dyDescent="0.3">
      <c r="A448">
        <v>445</v>
      </c>
      <c r="B448" s="24">
        <v>43910</v>
      </c>
      <c r="C448" t="s">
        <v>81</v>
      </c>
      <c r="D448" t="s">
        <v>10</v>
      </c>
      <c r="E448" t="s">
        <v>11</v>
      </c>
      <c r="F448">
        <v>1100</v>
      </c>
      <c r="G448">
        <v>1</v>
      </c>
      <c r="H448">
        <v>1100</v>
      </c>
      <c r="I448">
        <v>1100</v>
      </c>
    </row>
    <row r="449" spans="1:9" x14ac:dyDescent="0.3">
      <c r="A449">
        <v>446</v>
      </c>
      <c r="B449" s="24">
        <v>43911</v>
      </c>
      <c r="C449" t="s">
        <v>81</v>
      </c>
      <c r="D449" t="s">
        <v>19</v>
      </c>
      <c r="E449" t="s">
        <v>20</v>
      </c>
      <c r="F449">
        <v>850</v>
      </c>
      <c r="G449">
        <v>1</v>
      </c>
      <c r="H449">
        <v>850</v>
      </c>
      <c r="I449">
        <v>850</v>
      </c>
    </row>
    <row r="450" spans="1:9" x14ac:dyDescent="0.3">
      <c r="A450">
        <v>447</v>
      </c>
      <c r="B450" s="24">
        <v>43912</v>
      </c>
      <c r="C450" t="s">
        <v>81</v>
      </c>
      <c r="D450" t="s">
        <v>10</v>
      </c>
      <c r="E450" t="s">
        <v>11</v>
      </c>
      <c r="F450">
        <v>1100</v>
      </c>
      <c r="G450">
        <v>1</v>
      </c>
      <c r="H450">
        <v>1100</v>
      </c>
      <c r="I450">
        <v>1100</v>
      </c>
    </row>
    <row r="451" spans="1:9" x14ac:dyDescent="0.3">
      <c r="A451">
        <v>448</v>
      </c>
      <c r="B451" s="24">
        <v>43913</v>
      </c>
      <c r="C451" t="s">
        <v>81</v>
      </c>
      <c r="D451" t="s">
        <v>10</v>
      </c>
      <c r="E451" t="s">
        <v>11</v>
      </c>
      <c r="F451">
        <v>1100</v>
      </c>
      <c r="G451">
        <v>2</v>
      </c>
      <c r="H451">
        <v>2200</v>
      </c>
      <c r="I451">
        <v>2200</v>
      </c>
    </row>
    <row r="452" spans="1:9" x14ac:dyDescent="0.3">
      <c r="A452">
        <v>449</v>
      </c>
      <c r="B452" s="24">
        <v>43914</v>
      </c>
      <c r="C452" t="s">
        <v>81</v>
      </c>
      <c r="D452" t="s">
        <v>14</v>
      </c>
      <c r="E452" t="s">
        <v>11</v>
      </c>
      <c r="F452">
        <v>900</v>
      </c>
      <c r="G452">
        <v>1</v>
      </c>
      <c r="H452">
        <v>900</v>
      </c>
      <c r="I452">
        <v>900</v>
      </c>
    </row>
    <row r="453" spans="1:9" x14ac:dyDescent="0.3">
      <c r="A453">
        <v>450</v>
      </c>
      <c r="B453" s="24">
        <v>43915</v>
      </c>
      <c r="C453" t="s">
        <v>81</v>
      </c>
      <c r="D453" t="s">
        <v>18</v>
      </c>
      <c r="E453" t="s">
        <v>17</v>
      </c>
      <c r="F453">
        <v>600</v>
      </c>
      <c r="G453">
        <v>1</v>
      </c>
      <c r="H453">
        <v>600</v>
      </c>
      <c r="I453">
        <v>600</v>
      </c>
    </row>
    <row r="454" spans="1:9" x14ac:dyDescent="0.3">
      <c r="A454">
        <v>451</v>
      </c>
      <c r="B454" s="24">
        <v>43916</v>
      </c>
      <c r="C454" t="s">
        <v>81</v>
      </c>
      <c r="D454" t="s">
        <v>18</v>
      </c>
      <c r="E454" t="s">
        <v>17</v>
      </c>
      <c r="F454">
        <v>600</v>
      </c>
      <c r="G454">
        <v>1</v>
      </c>
      <c r="H454">
        <v>600</v>
      </c>
      <c r="I454">
        <v>600</v>
      </c>
    </row>
    <row r="455" spans="1:9" x14ac:dyDescent="0.3">
      <c r="A455">
        <v>452</v>
      </c>
      <c r="B455" s="24">
        <v>43917</v>
      </c>
      <c r="C455" t="s">
        <v>81</v>
      </c>
      <c r="D455" t="s">
        <v>21</v>
      </c>
      <c r="E455" t="s">
        <v>20</v>
      </c>
      <c r="F455">
        <v>1200</v>
      </c>
      <c r="G455">
        <v>1</v>
      </c>
      <c r="H455">
        <v>1200</v>
      </c>
      <c r="I455">
        <v>1200</v>
      </c>
    </row>
    <row r="456" spans="1:9" x14ac:dyDescent="0.3">
      <c r="A456">
        <v>453</v>
      </c>
      <c r="B456" s="24">
        <v>43918</v>
      </c>
      <c r="C456" t="s">
        <v>81</v>
      </c>
      <c r="D456" t="s">
        <v>14</v>
      </c>
      <c r="E456" t="s">
        <v>11</v>
      </c>
      <c r="F456">
        <v>900</v>
      </c>
      <c r="G456">
        <v>1</v>
      </c>
      <c r="H456">
        <v>900</v>
      </c>
      <c r="I456">
        <v>900</v>
      </c>
    </row>
    <row r="457" spans="1:9" x14ac:dyDescent="0.3">
      <c r="A457">
        <v>454</v>
      </c>
      <c r="B457" s="24">
        <v>43919</v>
      </c>
      <c r="C457" t="s">
        <v>81</v>
      </c>
      <c r="D457" t="s">
        <v>16</v>
      </c>
      <c r="E457" t="s">
        <v>17</v>
      </c>
      <c r="F457">
        <v>800</v>
      </c>
      <c r="G457">
        <v>1</v>
      </c>
      <c r="H457">
        <v>800</v>
      </c>
      <c r="I457">
        <v>800</v>
      </c>
    </row>
    <row r="458" spans="1:9" x14ac:dyDescent="0.3">
      <c r="A458">
        <v>455</v>
      </c>
      <c r="B458" s="24">
        <v>43920</v>
      </c>
      <c r="C458" t="s">
        <v>81</v>
      </c>
      <c r="D458" t="s">
        <v>14</v>
      </c>
      <c r="E458" t="s">
        <v>11</v>
      </c>
      <c r="F458">
        <v>900</v>
      </c>
      <c r="G458">
        <v>1</v>
      </c>
      <c r="H458">
        <v>900</v>
      </c>
      <c r="I458">
        <v>900</v>
      </c>
    </row>
    <row r="459" spans="1:9" x14ac:dyDescent="0.3">
      <c r="A459">
        <v>456</v>
      </c>
      <c r="B459" s="24">
        <v>43921</v>
      </c>
      <c r="C459" t="s">
        <v>81</v>
      </c>
      <c r="D459" t="s">
        <v>10</v>
      </c>
      <c r="E459" t="s">
        <v>11</v>
      </c>
      <c r="F459">
        <v>1100</v>
      </c>
      <c r="G459">
        <v>1</v>
      </c>
      <c r="H459">
        <v>1100</v>
      </c>
      <c r="I459">
        <v>1100</v>
      </c>
    </row>
    <row r="460" spans="1:9" x14ac:dyDescent="0.3">
      <c r="A460">
        <v>457</v>
      </c>
      <c r="B460" s="24">
        <v>43922</v>
      </c>
      <c r="C460" t="s">
        <v>81</v>
      </c>
      <c r="D460" t="s">
        <v>24</v>
      </c>
      <c r="E460" t="s">
        <v>23</v>
      </c>
      <c r="F460">
        <v>600</v>
      </c>
      <c r="G460">
        <v>1</v>
      </c>
      <c r="H460">
        <v>600</v>
      </c>
      <c r="I460">
        <v>600</v>
      </c>
    </row>
    <row r="461" spans="1:9" x14ac:dyDescent="0.3">
      <c r="A461">
        <v>458</v>
      </c>
      <c r="B461" s="24">
        <v>43923</v>
      </c>
      <c r="C461" t="s">
        <v>81</v>
      </c>
      <c r="D461" t="s">
        <v>10</v>
      </c>
      <c r="E461" t="s">
        <v>11</v>
      </c>
      <c r="F461">
        <v>1100</v>
      </c>
      <c r="G461">
        <v>1</v>
      </c>
      <c r="H461">
        <v>1100</v>
      </c>
      <c r="I461">
        <v>1100</v>
      </c>
    </row>
    <row r="462" spans="1:9" x14ac:dyDescent="0.3">
      <c r="A462">
        <v>459</v>
      </c>
      <c r="B462" s="24">
        <v>43924</v>
      </c>
      <c r="C462" t="s">
        <v>81</v>
      </c>
      <c r="D462" t="s">
        <v>16</v>
      </c>
      <c r="E462" t="s">
        <v>17</v>
      </c>
      <c r="F462">
        <v>800</v>
      </c>
      <c r="G462">
        <v>1</v>
      </c>
      <c r="H462">
        <v>800</v>
      </c>
      <c r="I462">
        <v>800</v>
      </c>
    </row>
    <row r="463" spans="1:9" x14ac:dyDescent="0.3">
      <c r="A463">
        <v>460</v>
      </c>
      <c r="B463" s="24">
        <v>43925</v>
      </c>
      <c r="C463" t="s">
        <v>81</v>
      </c>
      <c r="D463" t="s">
        <v>14</v>
      </c>
      <c r="E463" t="s">
        <v>11</v>
      </c>
      <c r="F463">
        <v>900</v>
      </c>
      <c r="G463">
        <v>1</v>
      </c>
      <c r="H463">
        <v>900</v>
      </c>
      <c r="I463">
        <v>900</v>
      </c>
    </row>
    <row r="464" spans="1:9" x14ac:dyDescent="0.3">
      <c r="A464">
        <v>461</v>
      </c>
      <c r="B464" s="24">
        <v>43926</v>
      </c>
      <c r="C464" t="s">
        <v>81</v>
      </c>
      <c r="D464" t="s">
        <v>10</v>
      </c>
      <c r="E464" t="s">
        <v>11</v>
      </c>
      <c r="F464">
        <v>1100</v>
      </c>
      <c r="G464">
        <v>1</v>
      </c>
      <c r="H464">
        <v>1100</v>
      </c>
      <c r="I464">
        <v>1100</v>
      </c>
    </row>
    <row r="465" spans="1:9" x14ac:dyDescent="0.3">
      <c r="A465">
        <v>462</v>
      </c>
      <c r="B465" s="24">
        <v>43927</v>
      </c>
      <c r="C465" t="s">
        <v>81</v>
      </c>
      <c r="D465" t="s">
        <v>14</v>
      </c>
      <c r="E465" t="s">
        <v>11</v>
      </c>
      <c r="F465">
        <v>900</v>
      </c>
      <c r="G465">
        <v>1</v>
      </c>
      <c r="H465">
        <v>900</v>
      </c>
      <c r="I465">
        <v>900</v>
      </c>
    </row>
    <row r="466" spans="1:9" x14ac:dyDescent="0.3">
      <c r="A466">
        <v>463</v>
      </c>
      <c r="B466" s="24">
        <v>43928</v>
      </c>
      <c r="C466" t="s">
        <v>81</v>
      </c>
      <c r="D466" t="s">
        <v>18</v>
      </c>
      <c r="E466" t="s">
        <v>17</v>
      </c>
      <c r="F466">
        <v>600</v>
      </c>
      <c r="G466">
        <v>1</v>
      </c>
      <c r="H466">
        <v>600</v>
      </c>
      <c r="I466">
        <v>600</v>
      </c>
    </row>
    <row r="467" spans="1:9" x14ac:dyDescent="0.3">
      <c r="A467">
        <v>464</v>
      </c>
      <c r="B467" s="24">
        <v>43929</v>
      </c>
      <c r="C467" t="s">
        <v>81</v>
      </c>
      <c r="D467" t="s">
        <v>10</v>
      </c>
      <c r="E467" t="s">
        <v>11</v>
      </c>
      <c r="F467">
        <v>1100</v>
      </c>
      <c r="G467">
        <v>1</v>
      </c>
      <c r="H467">
        <v>1100</v>
      </c>
      <c r="I467">
        <v>1100</v>
      </c>
    </row>
    <row r="468" spans="1:9" x14ac:dyDescent="0.3">
      <c r="A468">
        <v>465</v>
      </c>
      <c r="B468" s="24">
        <v>43930</v>
      </c>
      <c r="C468" t="s">
        <v>81</v>
      </c>
      <c r="D468" t="s">
        <v>10</v>
      </c>
      <c r="E468" t="s">
        <v>11</v>
      </c>
      <c r="F468">
        <v>1100</v>
      </c>
      <c r="G468">
        <v>2</v>
      </c>
      <c r="H468">
        <v>2200</v>
      </c>
      <c r="I468">
        <v>2200</v>
      </c>
    </row>
    <row r="469" spans="1:9" x14ac:dyDescent="0.3">
      <c r="A469">
        <v>466</v>
      </c>
      <c r="B469" s="24">
        <v>43931</v>
      </c>
      <c r="C469" t="s">
        <v>81</v>
      </c>
      <c r="D469" t="s">
        <v>10</v>
      </c>
      <c r="E469" t="s">
        <v>11</v>
      </c>
      <c r="F469">
        <v>1100</v>
      </c>
      <c r="G469">
        <v>1</v>
      </c>
      <c r="H469">
        <v>1100</v>
      </c>
      <c r="I469">
        <v>1100</v>
      </c>
    </row>
    <row r="470" spans="1:9" x14ac:dyDescent="0.3">
      <c r="A470">
        <v>467</v>
      </c>
      <c r="B470" s="24">
        <v>43932</v>
      </c>
      <c r="C470" t="s">
        <v>81</v>
      </c>
      <c r="D470" t="s">
        <v>10</v>
      </c>
      <c r="E470" t="s">
        <v>11</v>
      </c>
      <c r="F470">
        <v>1100</v>
      </c>
      <c r="G470">
        <v>1</v>
      </c>
      <c r="H470">
        <v>1100</v>
      </c>
      <c r="I470">
        <v>1100</v>
      </c>
    </row>
    <row r="471" spans="1:9" x14ac:dyDescent="0.3">
      <c r="A471">
        <v>468</v>
      </c>
      <c r="B471" s="24">
        <v>43933</v>
      </c>
      <c r="C471" t="s">
        <v>81</v>
      </c>
      <c r="D471" t="s">
        <v>10</v>
      </c>
      <c r="E471" t="s">
        <v>11</v>
      </c>
      <c r="F471">
        <v>1100</v>
      </c>
      <c r="G471">
        <v>1</v>
      </c>
      <c r="H471">
        <v>1100</v>
      </c>
      <c r="I471">
        <v>1100</v>
      </c>
    </row>
    <row r="472" spans="1:9" x14ac:dyDescent="0.3">
      <c r="A472">
        <v>469</v>
      </c>
      <c r="B472" s="24">
        <v>43934</v>
      </c>
      <c r="C472" t="s">
        <v>81</v>
      </c>
      <c r="D472" t="s">
        <v>18</v>
      </c>
      <c r="E472" t="s">
        <v>17</v>
      </c>
      <c r="F472">
        <v>600</v>
      </c>
      <c r="G472">
        <v>1</v>
      </c>
      <c r="H472">
        <v>600</v>
      </c>
      <c r="I472">
        <v>600</v>
      </c>
    </row>
    <row r="473" spans="1:9" x14ac:dyDescent="0.3">
      <c r="A473">
        <v>470</v>
      </c>
      <c r="B473" s="24">
        <v>43935</v>
      </c>
      <c r="C473" t="s">
        <v>81</v>
      </c>
      <c r="D473" t="s">
        <v>10</v>
      </c>
      <c r="E473" t="s">
        <v>11</v>
      </c>
      <c r="F473">
        <v>1100</v>
      </c>
      <c r="G473">
        <v>1</v>
      </c>
      <c r="H473">
        <v>1100</v>
      </c>
      <c r="I473">
        <v>1100</v>
      </c>
    </row>
    <row r="474" spans="1:9" x14ac:dyDescent="0.3">
      <c r="A474">
        <v>471</v>
      </c>
      <c r="B474" s="24">
        <v>43936</v>
      </c>
      <c r="C474" t="s">
        <v>81</v>
      </c>
      <c r="D474" t="s">
        <v>18</v>
      </c>
      <c r="E474" t="s">
        <v>17</v>
      </c>
      <c r="F474">
        <v>600</v>
      </c>
      <c r="G474">
        <v>1</v>
      </c>
      <c r="H474">
        <v>600</v>
      </c>
      <c r="I474">
        <v>600</v>
      </c>
    </row>
    <row r="475" spans="1:9" x14ac:dyDescent="0.3">
      <c r="A475">
        <v>472</v>
      </c>
      <c r="B475" s="24">
        <v>43937</v>
      </c>
      <c r="C475" t="s">
        <v>81</v>
      </c>
      <c r="D475" t="s">
        <v>14</v>
      </c>
      <c r="E475" t="s">
        <v>11</v>
      </c>
      <c r="F475">
        <v>900</v>
      </c>
      <c r="G475">
        <v>1</v>
      </c>
      <c r="H475">
        <v>900</v>
      </c>
      <c r="I475">
        <v>900</v>
      </c>
    </row>
    <row r="476" spans="1:9" x14ac:dyDescent="0.3">
      <c r="A476">
        <v>473</v>
      </c>
      <c r="B476" s="24">
        <v>43938</v>
      </c>
      <c r="C476" t="s">
        <v>81</v>
      </c>
      <c r="D476" t="s">
        <v>10</v>
      </c>
      <c r="E476" t="s">
        <v>11</v>
      </c>
      <c r="F476">
        <v>1100</v>
      </c>
      <c r="G476">
        <v>1</v>
      </c>
      <c r="H476">
        <v>1100</v>
      </c>
      <c r="I476">
        <v>1100</v>
      </c>
    </row>
    <row r="477" spans="1:9" x14ac:dyDescent="0.3">
      <c r="A477">
        <v>474</v>
      </c>
      <c r="B477" s="24">
        <v>43939</v>
      </c>
      <c r="C477" t="s">
        <v>81</v>
      </c>
      <c r="D477" t="s">
        <v>18</v>
      </c>
      <c r="E477" t="s">
        <v>17</v>
      </c>
      <c r="F477">
        <v>600</v>
      </c>
      <c r="G477">
        <v>1</v>
      </c>
      <c r="H477">
        <v>600</v>
      </c>
      <c r="I477">
        <v>600</v>
      </c>
    </row>
    <row r="478" spans="1:9" x14ac:dyDescent="0.3">
      <c r="A478">
        <v>475</v>
      </c>
      <c r="B478" s="24">
        <v>43940</v>
      </c>
      <c r="C478" t="s">
        <v>81</v>
      </c>
      <c r="D478" t="s">
        <v>18</v>
      </c>
      <c r="E478" t="s">
        <v>17</v>
      </c>
      <c r="F478">
        <v>600</v>
      </c>
      <c r="G478">
        <v>1</v>
      </c>
      <c r="H478">
        <v>600</v>
      </c>
      <c r="I478">
        <v>600</v>
      </c>
    </row>
    <row r="479" spans="1:9" x14ac:dyDescent="0.3">
      <c r="A479">
        <v>476</v>
      </c>
      <c r="B479" s="24">
        <v>43941</v>
      </c>
      <c r="C479" t="s">
        <v>81</v>
      </c>
      <c r="D479" t="s">
        <v>19</v>
      </c>
      <c r="E479" t="s">
        <v>20</v>
      </c>
      <c r="F479">
        <v>850</v>
      </c>
      <c r="G479">
        <v>1</v>
      </c>
      <c r="H479">
        <v>850</v>
      </c>
      <c r="I479">
        <v>850</v>
      </c>
    </row>
    <row r="480" spans="1:9" x14ac:dyDescent="0.3">
      <c r="A480">
        <v>477</v>
      </c>
      <c r="B480" s="24">
        <v>43942</v>
      </c>
      <c r="C480" t="s">
        <v>81</v>
      </c>
      <c r="D480" t="s">
        <v>18</v>
      </c>
      <c r="E480" t="s">
        <v>17</v>
      </c>
      <c r="F480">
        <v>600</v>
      </c>
      <c r="G480">
        <v>1</v>
      </c>
      <c r="H480">
        <v>600</v>
      </c>
      <c r="I480">
        <v>600</v>
      </c>
    </row>
    <row r="481" spans="1:9" x14ac:dyDescent="0.3">
      <c r="A481">
        <v>478</v>
      </c>
      <c r="B481" s="24">
        <v>43943</v>
      </c>
      <c r="C481" t="s">
        <v>81</v>
      </c>
      <c r="D481" t="s">
        <v>10</v>
      </c>
      <c r="E481" t="s">
        <v>11</v>
      </c>
      <c r="F481">
        <v>1100</v>
      </c>
      <c r="G481">
        <v>1</v>
      </c>
      <c r="H481">
        <v>1100</v>
      </c>
      <c r="I481">
        <v>1100</v>
      </c>
    </row>
    <row r="482" spans="1:9" x14ac:dyDescent="0.3">
      <c r="A482">
        <v>479</v>
      </c>
      <c r="B482" s="24">
        <v>43944</v>
      </c>
      <c r="C482" t="s">
        <v>81</v>
      </c>
      <c r="D482" t="s">
        <v>24</v>
      </c>
      <c r="E482" t="s">
        <v>23</v>
      </c>
      <c r="F482">
        <v>300</v>
      </c>
      <c r="G482">
        <v>1</v>
      </c>
      <c r="H482">
        <v>300</v>
      </c>
      <c r="I482">
        <v>300</v>
      </c>
    </row>
    <row r="483" spans="1:9" x14ac:dyDescent="0.3">
      <c r="A483">
        <v>480</v>
      </c>
      <c r="B483" s="24">
        <v>43945</v>
      </c>
      <c r="C483" t="s">
        <v>81</v>
      </c>
      <c r="D483" t="s">
        <v>24</v>
      </c>
      <c r="E483" t="s">
        <v>23</v>
      </c>
      <c r="F483">
        <v>300</v>
      </c>
      <c r="G483">
        <v>1</v>
      </c>
      <c r="H483">
        <v>300</v>
      </c>
      <c r="I483">
        <v>300</v>
      </c>
    </row>
    <row r="484" spans="1:9" x14ac:dyDescent="0.3">
      <c r="A484">
        <v>481</v>
      </c>
      <c r="B484" s="24">
        <v>43946</v>
      </c>
      <c r="C484" t="s">
        <v>81</v>
      </c>
      <c r="D484" t="s">
        <v>18</v>
      </c>
      <c r="E484" t="s">
        <v>17</v>
      </c>
      <c r="F484">
        <v>600</v>
      </c>
      <c r="G484">
        <v>1</v>
      </c>
      <c r="H484">
        <v>600</v>
      </c>
      <c r="I484">
        <v>600</v>
      </c>
    </row>
    <row r="485" spans="1:9" x14ac:dyDescent="0.3">
      <c r="A485">
        <v>482</v>
      </c>
      <c r="B485" s="24">
        <v>43947</v>
      </c>
      <c r="C485" t="s">
        <v>81</v>
      </c>
      <c r="D485" t="s">
        <v>22</v>
      </c>
      <c r="E485" t="s">
        <v>23</v>
      </c>
      <c r="F485">
        <v>800</v>
      </c>
      <c r="G485">
        <v>1</v>
      </c>
      <c r="H485">
        <v>800</v>
      </c>
      <c r="I485">
        <v>800</v>
      </c>
    </row>
    <row r="486" spans="1:9" x14ac:dyDescent="0.3">
      <c r="A486">
        <v>483</v>
      </c>
      <c r="B486" s="24">
        <v>43948</v>
      </c>
      <c r="C486" t="s">
        <v>81</v>
      </c>
      <c r="D486" t="s">
        <v>18</v>
      </c>
      <c r="E486" t="s">
        <v>17</v>
      </c>
      <c r="F486">
        <v>600</v>
      </c>
      <c r="G486">
        <v>1</v>
      </c>
      <c r="H486">
        <v>600</v>
      </c>
      <c r="I486">
        <v>600</v>
      </c>
    </row>
    <row r="487" spans="1:9" x14ac:dyDescent="0.3">
      <c r="A487">
        <v>484</v>
      </c>
      <c r="B487" s="24">
        <v>43949</v>
      </c>
      <c r="C487" t="s">
        <v>81</v>
      </c>
      <c r="D487" t="s">
        <v>22</v>
      </c>
      <c r="E487" t="s">
        <v>23</v>
      </c>
      <c r="F487">
        <v>500</v>
      </c>
      <c r="G487">
        <v>1</v>
      </c>
      <c r="H487">
        <v>500</v>
      </c>
      <c r="I487">
        <v>500</v>
      </c>
    </row>
    <row r="488" spans="1:9" x14ac:dyDescent="0.3">
      <c r="A488">
        <v>485</v>
      </c>
      <c r="B488" s="24">
        <v>43950</v>
      </c>
      <c r="C488" t="s">
        <v>81</v>
      </c>
      <c r="D488" t="s">
        <v>10</v>
      </c>
      <c r="E488" t="s">
        <v>11</v>
      </c>
      <c r="F488">
        <v>1100</v>
      </c>
      <c r="G488">
        <v>1</v>
      </c>
      <c r="H488">
        <v>1100</v>
      </c>
      <c r="I488">
        <v>1100</v>
      </c>
    </row>
    <row r="489" spans="1:9" x14ac:dyDescent="0.3">
      <c r="A489">
        <v>486</v>
      </c>
      <c r="B489" s="24">
        <v>43951</v>
      </c>
      <c r="C489" t="s">
        <v>81</v>
      </c>
      <c r="D489" t="s">
        <v>18</v>
      </c>
      <c r="E489" t="s">
        <v>17</v>
      </c>
      <c r="F489">
        <v>600</v>
      </c>
      <c r="G489">
        <v>1</v>
      </c>
      <c r="H489">
        <v>600</v>
      </c>
      <c r="I489">
        <v>600</v>
      </c>
    </row>
    <row r="490" spans="1:9" x14ac:dyDescent="0.3">
      <c r="A490">
        <v>487</v>
      </c>
      <c r="B490" s="24">
        <v>43952</v>
      </c>
      <c r="C490" t="s">
        <v>81</v>
      </c>
      <c r="D490" t="s">
        <v>12</v>
      </c>
      <c r="E490" t="s">
        <v>11</v>
      </c>
      <c r="F490">
        <v>900</v>
      </c>
      <c r="G490">
        <v>1</v>
      </c>
      <c r="H490">
        <v>900</v>
      </c>
      <c r="I490">
        <v>765</v>
      </c>
    </row>
    <row r="491" spans="1:9" x14ac:dyDescent="0.3">
      <c r="A491">
        <v>488</v>
      </c>
      <c r="B491" s="24">
        <v>43953</v>
      </c>
      <c r="C491" t="s">
        <v>81</v>
      </c>
      <c r="D491" t="s">
        <v>10</v>
      </c>
      <c r="E491" t="s">
        <v>11</v>
      </c>
      <c r="F491">
        <v>1100</v>
      </c>
      <c r="G491">
        <v>1</v>
      </c>
      <c r="H491">
        <v>1100</v>
      </c>
      <c r="I491">
        <v>1100</v>
      </c>
    </row>
    <row r="492" spans="1:9" x14ac:dyDescent="0.3">
      <c r="A492">
        <v>489</v>
      </c>
      <c r="B492" s="24">
        <v>43954</v>
      </c>
      <c r="C492" t="s">
        <v>81</v>
      </c>
      <c r="D492" t="s">
        <v>21</v>
      </c>
      <c r="E492" t="s">
        <v>20</v>
      </c>
      <c r="F492">
        <v>1200</v>
      </c>
      <c r="G492">
        <v>1</v>
      </c>
      <c r="H492">
        <v>1200</v>
      </c>
      <c r="I492">
        <v>1200</v>
      </c>
    </row>
    <row r="493" spans="1:9" x14ac:dyDescent="0.3">
      <c r="A493">
        <v>490</v>
      </c>
      <c r="B493" s="24">
        <v>43955</v>
      </c>
      <c r="C493" t="s">
        <v>81</v>
      </c>
      <c r="D493" t="s">
        <v>10</v>
      </c>
      <c r="E493" t="s">
        <v>11</v>
      </c>
      <c r="F493">
        <v>1100</v>
      </c>
      <c r="G493">
        <v>1</v>
      </c>
      <c r="H493">
        <v>1100</v>
      </c>
      <c r="I493">
        <v>1100</v>
      </c>
    </row>
    <row r="494" spans="1:9" x14ac:dyDescent="0.3">
      <c r="A494">
        <v>491</v>
      </c>
      <c r="B494" s="24">
        <v>43956</v>
      </c>
      <c r="C494" t="s">
        <v>81</v>
      </c>
      <c r="D494" t="s">
        <v>12</v>
      </c>
      <c r="E494" t="s">
        <v>11</v>
      </c>
      <c r="F494">
        <v>900</v>
      </c>
      <c r="G494">
        <v>1</v>
      </c>
      <c r="H494">
        <v>900</v>
      </c>
      <c r="I494">
        <v>765</v>
      </c>
    </row>
    <row r="495" spans="1:9" x14ac:dyDescent="0.3">
      <c r="A495">
        <v>492</v>
      </c>
      <c r="B495" s="24">
        <v>43957</v>
      </c>
      <c r="C495" t="s">
        <v>81</v>
      </c>
      <c r="D495" t="s">
        <v>22</v>
      </c>
      <c r="E495" t="s">
        <v>23</v>
      </c>
      <c r="F495">
        <v>900</v>
      </c>
      <c r="G495">
        <v>1</v>
      </c>
      <c r="H495">
        <v>900</v>
      </c>
      <c r="I495">
        <v>900</v>
      </c>
    </row>
    <row r="496" spans="1:9" x14ac:dyDescent="0.3">
      <c r="A496">
        <v>493</v>
      </c>
      <c r="B496" s="24">
        <v>43958</v>
      </c>
      <c r="C496" t="s">
        <v>81</v>
      </c>
      <c r="D496" t="s">
        <v>24</v>
      </c>
      <c r="E496" t="s">
        <v>23</v>
      </c>
      <c r="F496">
        <v>600</v>
      </c>
      <c r="G496">
        <v>1</v>
      </c>
      <c r="H496">
        <v>600</v>
      </c>
      <c r="I496">
        <v>600</v>
      </c>
    </row>
    <row r="497" spans="1:9" x14ac:dyDescent="0.3">
      <c r="A497">
        <v>494</v>
      </c>
      <c r="B497" s="24">
        <v>43959</v>
      </c>
      <c r="C497" t="s">
        <v>81</v>
      </c>
      <c r="D497" t="s">
        <v>10</v>
      </c>
      <c r="E497" t="s">
        <v>11</v>
      </c>
      <c r="F497">
        <v>1100</v>
      </c>
      <c r="G497">
        <v>1</v>
      </c>
      <c r="H497">
        <v>1100</v>
      </c>
      <c r="I497">
        <v>1100</v>
      </c>
    </row>
    <row r="498" spans="1:9" x14ac:dyDescent="0.3">
      <c r="A498">
        <v>495</v>
      </c>
      <c r="B498" s="24">
        <v>43960</v>
      </c>
      <c r="C498" t="s">
        <v>81</v>
      </c>
      <c r="D498" t="s">
        <v>10</v>
      </c>
      <c r="E498" t="s">
        <v>11</v>
      </c>
      <c r="F498">
        <v>1100</v>
      </c>
      <c r="G498">
        <v>1</v>
      </c>
      <c r="H498">
        <v>1100</v>
      </c>
      <c r="I498">
        <v>1100</v>
      </c>
    </row>
    <row r="499" spans="1:9" x14ac:dyDescent="0.3">
      <c r="A499">
        <v>496</v>
      </c>
      <c r="B499" s="24">
        <v>43961</v>
      </c>
      <c r="C499" t="s">
        <v>81</v>
      </c>
      <c r="D499" t="s">
        <v>22</v>
      </c>
      <c r="E499" t="s">
        <v>23</v>
      </c>
      <c r="F499">
        <v>500</v>
      </c>
      <c r="G499">
        <v>1</v>
      </c>
      <c r="H499">
        <v>500</v>
      </c>
      <c r="I499">
        <v>500</v>
      </c>
    </row>
    <row r="500" spans="1:9" x14ac:dyDescent="0.3">
      <c r="A500">
        <v>497</v>
      </c>
      <c r="B500" s="24">
        <v>43962</v>
      </c>
      <c r="C500" t="s">
        <v>81</v>
      </c>
      <c r="D500" t="s">
        <v>19</v>
      </c>
      <c r="E500" t="s">
        <v>20</v>
      </c>
      <c r="F500">
        <v>850</v>
      </c>
      <c r="G500">
        <v>1</v>
      </c>
      <c r="H500">
        <v>850</v>
      </c>
      <c r="I500">
        <v>850</v>
      </c>
    </row>
    <row r="501" spans="1:9" x14ac:dyDescent="0.3">
      <c r="A501">
        <v>498</v>
      </c>
      <c r="B501" s="24">
        <v>43963</v>
      </c>
      <c r="C501" t="s">
        <v>81</v>
      </c>
      <c r="D501" t="s">
        <v>10</v>
      </c>
      <c r="E501" t="s">
        <v>11</v>
      </c>
      <c r="F501">
        <v>1100</v>
      </c>
      <c r="G501">
        <v>1</v>
      </c>
      <c r="H501">
        <v>1100</v>
      </c>
      <c r="I501">
        <v>1100</v>
      </c>
    </row>
    <row r="502" spans="1:9" x14ac:dyDescent="0.3">
      <c r="A502">
        <v>499</v>
      </c>
      <c r="B502" s="24">
        <v>43964</v>
      </c>
      <c r="C502" t="s">
        <v>81</v>
      </c>
      <c r="D502" t="s">
        <v>24</v>
      </c>
      <c r="E502" t="s">
        <v>23</v>
      </c>
      <c r="F502">
        <v>300</v>
      </c>
      <c r="G502">
        <v>1</v>
      </c>
      <c r="H502">
        <v>300</v>
      </c>
      <c r="I502">
        <v>300</v>
      </c>
    </row>
    <row r="503" spans="1:9" x14ac:dyDescent="0.3">
      <c r="A503">
        <v>500</v>
      </c>
      <c r="B503" s="24">
        <v>43965</v>
      </c>
      <c r="C503" t="s">
        <v>81</v>
      </c>
      <c r="D503" t="s">
        <v>16</v>
      </c>
      <c r="E503" t="s">
        <v>17</v>
      </c>
      <c r="F503">
        <v>800</v>
      </c>
      <c r="G503">
        <v>1</v>
      </c>
      <c r="H503">
        <v>800</v>
      </c>
      <c r="I503">
        <v>800</v>
      </c>
    </row>
    <row r="504" spans="1:9" x14ac:dyDescent="0.3">
      <c r="A504">
        <v>501</v>
      </c>
      <c r="B504" s="24">
        <v>43966</v>
      </c>
      <c r="C504" t="s">
        <v>81</v>
      </c>
      <c r="D504" t="s">
        <v>12</v>
      </c>
      <c r="E504" t="s">
        <v>11</v>
      </c>
      <c r="F504">
        <v>900</v>
      </c>
      <c r="G504">
        <v>1</v>
      </c>
      <c r="H504">
        <v>900</v>
      </c>
      <c r="I504">
        <v>765</v>
      </c>
    </row>
    <row r="505" spans="1:9" x14ac:dyDescent="0.3">
      <c r="A505">
        <v>502</v>
      </c>
      <c r="B505" s="24">
        <v>43967</v>
      </c>
      <c r="C505" t="s">
        <v>81</v>
      </c>
      <c r="D505" t="s">
        <v>10</v>
      </c>
      <c r="E505" t="s">
        <v>11</v>
      </c>
      <c r="F505">
        <v>1100</v>
      </c>
      <c r="G505">
        <v>1</v>
      </c>
      <c r="H505">
        <v>1100</v>
      </c>
      <c r="I505">
        <v>1100</v>
      </c>
    </row>
    <row r="506" spans="1:9" x14ac:dyDescent="0.3">
      <c r="A506">
        <v>503</v>
      </c>
      <c r="B506" s="24">
        <v>43968</v>
      </c>
      <c r="C506" t="s">
        <v>81</v>
      </c>
      <c r="D506" t="s">
        <v>22</v>
      </c>
      <c r="E506" t="s">
        <v>23</v>
      </c>
      <c r="F506">
        <v>500</v>
      </c>
      <c r="G506">
        <v>1</v>
      </c>
      <c r="H506">
        <v>500</v>
      </c>
      <c r="I506">
        <v>500</v>
      </c>
    </row>
    <row r="507" spans="1:9" x14ac:dyDescent="0.3">
      <c r="A507">
        <v>504</v>
      </c>
      <c r="B507" s="24">
        <v>43969</v>
      </c>
      <c r="C507" t="s">
        <v>81</v>
      </c>
      <c r="D507" t="s">
        <v>18</v>
      </c>
      <c r="E507" t="s">
        <v>17</v>
      </c>
      <c r="F507">
        <v>600</v>
      </c>
      <c r="G507">
        <v>1</v>
      </c>
      <c r="H507">
        <v>600</v>
      </c>
      <c r="I507">
        <v>600</v>
      </c>
    </row>
    <row r="508" spans="1:9" x14ac:dyDescent="0.3">
      <c r="A508">
        <v>505</v>
      </c>
      <c r="B508" s="24">
        <v>43970</v>
      </c>
      <c r="C508" t="s">
        <v>81</v>
      </c>
      <c r="D508" t="s">
        <v>14</v>
      </c>
      <c r="E508" t="s">
        <v>11</v>
      </c>
      <c r="F508">
        <v>900</v>
      </c>
      <c r="G508">
        <v>1</v>
      </c>
      <c r="H508">
        <v>900</v>
      </c>
      <c r="I508">
        <v>900</v>
      </c>
    </row>
    <row r="509" spans="1:9" x14ac:dyDescent="0.3">
      <c r="A509">
        <v>506</v>
      </c>
      <c r="B509" s="24">
        <v>43971</v>
      </c>
      <c r="C509" t="s">
        <v>81</v>
      </c>
      <c r="D509" t="s">
        <v>24</v>
      </c>
      <c r="E509" t="s">
        <v>23</v>
      </c>
      <c r="F509">
        <v>600</v>
      </c>
      <c r="G509">
        <v>1</v>
      </c>
      <c r="H509">
        <v>600</v>
      </c>
      <c r="I509">
        <v>600</v>
      </c>
    </row>
    <row r="510" spans="1:9" x14ac:dyDescent="0.3">
      <c r="A510">
        <v>507</v>
      </c>
      <c r="B510" s="24">
        <v>43972</v>
      </c>
      <c r="C510" t="s">
        <v>81</v>
      </c>
      <c r="D510" t="s">
        <v>18</v>
      </c>
      <c r="E510" t="s">
        <v>17</v>
      </c>
      <c r="F510">
        <v>600</v>
      </c>
      <c r="G510">
        <v>1</v>
      </c>
      <c r="H510">
        <v>600</v>
      </c>
      <c r="I510">
        <v>600</v>
      </c>
    </row>
    <row r="511" spans="1:9" x14ac:dyDescent="0.3">
      <c r="A511">
        <v>508</v>
      </c>
      <c r="B511" s="24">
        <v>43973</v>
      </c>
      <c r="C511" t="s">
        <v>81</v>
      </c>
      <c r="D511" t="s">
        <v>10</v>
      </c>
      <c r="E511" t="s">
        <v>11</v>
      </c>
      <c r="F511">
        <v>1100</v>
      </c>
      <c r="G511">
        <v>1</v>
      </c>
      <c r="H511">
        <v>1100</v>
      </c>
      <c r="I511">
        <v>1100</v>
      </c>
    </row>
    <row r="512" spans="1:9" x14ac:dyDescent="0.3">
      <c r="A512">
        <v>509</v>
      </c>
      <c r="B512" s="24">
        <v>43974</v>
      </c>
      <c r="C512" t="s">
        <v>81</v>
      </c>
      <c r="D512" t="s">
        <v>10</v>
      </c>
      <c r="E512" t="s">
        <v>11</v>
      </c>
      <c r="F512">
        <v>1100</v>
      </c>
      <c r="G512">
        <v>2</v>
      </c>
      <c r="H512">
        <v>2200</v>
      </c>
      <c r="I512">
        <v>2200</v>
      </c>
    </row>
    <row r="513" spans="1:9" x14ac:dyDescent="0.3">
      <c r="A513">
        <v>510</v>
      </c>
      <c r="B513" s="24">
        <v>43975</v>
      </c>
      <c r="C513" t="s">
        <v>81</v>
      </c>
      <c r="D513" t="s">
        <v>10</v>
      </c>
      <c r="E513" t="s">
        <v>11</v>
      </c>
      <c r="F513">
        <v>1100</v>
      </c>
      <c r="G513">
        <v>1</v>
      </c>
      <c r="H513">
        <v>1100</v>
      </c>
      <c r="I513">
        <v>1100</v>
      </c>
    </row>
    <row r="514" spans="1:9" x14ac:dyDescent="0.3">
      <c r="A514">
        <v>511</v>
      </c>
      <c r="B514" s="24">
        <v>43976</v>
      </c>
      <c r="C514" t="s">
        <v>81</v>
      </c>
      <c r="D514" t="s">
        <v>19</v>
      </c>
      <c r="E514" t="s">
        <v>20</v>
      </c>
      <c r="F514">
        <v>850</v>
      </c>
      <c r="G514">
        <v>1</v>
      </c>
      <c r="H514">
        <v>850</v>
      </c>
      <c r="I514">
        <v>850</v>
      </c>
    </row>
    <row r="515" spans="1:9" x14ac:dyDescent="0.3">
      <c r="A515">
        <v>512</v>
      </c>
      <c r="B515" s="24">
        <v>43977</v>
      </c>
      <c r="C515" t="s">
        <v>81</v>
      </c>
      <c r="D515" t="s">
        <v>10</v>
      </c>
      <c r="E515" t="s">
        <v>11</v>
      </c>
      <c r="F515">
        <v>1100</v>
      </c>
      <c r="G515">
        <v>1</v>
      </c>
      <c r="H515">
        <v>1100</v>
      </c>
      <c r="I515">
        <v>1100</v>
      </c>
    </row>
    <row r="516" spans="1:9" x14ac:dyDescent="0.3">
      <c r="A516">
        <v>513</v>
      </c>
      <c r="B516" s="24">
        <v>43978</v>
      </c>
      <c r="C516" t="s">
        <v>81</v>
      </c>
      <c r="D516" t="s">
        <v>12</v>
      </c>
      <c r="E516" t="s">
        <v>11</v>
      </c>
      <c r="F516">
        <v>900</v>
      </c>
      <c r="G516">
        <v>1</v>
      </c>
      <c r="H516">
        <v>900</v>
      </c>
      <c r="I516">
        <v>765</v>
      </c>
    </row>
    <row r="517" spans="1:9" x14ac:dyDescent="0.3">
      <c r="A517">
        <v>514</v>
      </c>
      <c r="B517" s="24">
        <v>43979</v>
      </c>
      <c r="C517" t="s">
        <v>81</v>
      </c>
      <c r="D517" t="s">
        <v>14</v>
      </c>
      <c r="E517" t="s">
        <v>11</v>
      </c>
      <c r="F517">
        <v>900</v>
      </c>
      <c r="G517">
        <v>1</v>
      </c>
      <c r="H517">
        <v>900</v>
      </c>
      <c r="I517">
        <v>900</v>
      </c>
    </row>
    <row r="518" spans="1:9" x14ac:dyDescent="0.3">
      <c r="A518">
        <v>515</v>
      </c>
      <c r="B518" s="24">
        <v>43980</v>
      </c>
      <c r="C518" t="s">
        <v>81</v>
      </c>
      <c r="D518" t="s">
        <v>12</v>
      </c>
      <c r="E518" t="s">
        <v>11</v>
      </c>
      <c r="F518">
        <v>900</v>
      </c>
      <c r="G518">
        <v>1</v>
      </c>
      <c r="H518">
        <v>900</v>
      </c>
      <c r="I518">
        <v>765</v>
      </c>
    </row>
    <row r="519" spans="1:9" x14ac:dyDescent="0.3">
      <c r="A519">
        <v>516</v>
      </c>
      <c r="B519" s="24">
        <v>43981</v>
      </c>
      <c r="C519" t="s">
        <v>81</v>
      </c>
      <c r="D519" t="s">
        <v>15</v>
      </c>
      <c r="E519" t="s">
        <v>11</v>
      </c>
      <c r="F519">
        <v>1000</v>
      </c>
      <c r="G519">
        <v>1</v>
      </c>
      <c r="H519">
        <v>1000</v>
      </c>
      <c r="I519">
        <v>1000</v>
      </c>
    </row>
    <row r="520" spans="1:9" x14ac:dyDescent="0.3">
      <c r="A520">
        <v>517</v>
      </c>
      <c r="B520" s="24">
        <v>43982</v>
      </c>
      <c r="C520" t="s">
        <v>81</v>
      </c>
      <c r="D520" t="s">
        <v>21</v>
      </c>
      <c r="E520" t="s">
        <v>20</v>
      </c>
      <c r="F520">
        <v>1200</v>
      </c>
      <c r="G520">
        <v>1</v>
      </c>
      <c r="H520">
        <v>1200</v>
      </c>
      <c r="I520">
        <v>1200</v>
      </c>
    </row>
    <row r="521" spans="1:9" x14ac:dyDescent="0.3">
      <c r="A521">
        <v>518</v>
      </c>
      <c r="B521" s="24">
        <v>43983</v>
      </c>
      <c r="C521" t="s">
        <v>81</v>
      </c>
      <c r="D521" t="s">
        <v>14</v>
      </c>
      <c r="E521" t="s">
        <v>11</v>
      </c>
      <c r="F521">
        <v>900</v>
      </c>
      <c r="G521">
        <v>1</v>
      </c>
      <c r="H521">
        <v>900</v>
      </c>
      <c r="I521">
        <v>900</v>
      </c>
    </row>
    <row r="522" spans="1:9" x14ac:dyDescent="0.3">
      <c r="A522">
        <v>519</v>
      </c>
      <c r="B522" s="24">
        <v>43984</v>
      </c>
      <c r="C522" t="s">
        <v>81</v>
      </c>
      <c r="D522" t="s">
        <v>18</v>
      </c>
      <c r="E522" t="s">
        <v>17</v>
      </c>
      <c r="F522">
        <v>600</v>
      </c>
      <c r="G522">
        <v>1</v>
      </c>
      <c r="H522">
        <v>600</v>
      </c>
      <c r="I522">
        <v>600</v>
      </c>
    </row>
    <row r="523" spans="1:9" x14ac:dyDescent="0.3">
      <c r="A523">
        <v>520</v>
      </c>
      <c r="B523" s="24">
        <v>43985</v>
      </c>
      <c r="C523" t="s">
        <v>81</v>
      </c>
      <c r="D523" t="s">
        <v>24</v>
      </c>
      <c r="E523" t="s">
        <v>23</v>
      </c>
      <c r="F523">
        <v>600</v>
      </c>
      <c r="G523">
        <v>1</v>
      </c>
      <c r="H523">
        <v>600</v>
      </c>
      <c r="I523">
        <v>600</v>
      </c>
    </row>
    <row r="524" spans="1:9" x14ac:dyDescent="0.3">
      <c r="A524">
        <v>521</v>
      </c>
      <c r="B524" s="24">
        <v>43986</v>
      </c>
      <c r="C524" t="s">
        <v>81</v>
      </c>
      <c r="D524" t="s">
        <v>16</v>
      </c>
      <c r="E524" t="s">
        <v>17</v>
      </c>
      <c r="F524">
        <v>800</v>
      </c>
      <c r="G524">
        <v>1</v>
      </c>
      <c r="H524">
        <v>800</v>
      </c>
      <c r="I524">
        <v>800</v>
      </c>
    </row>
    <row r="525" spans="1:9" x14ac:dyDescent="0.3">
      <c r="A525">
        <v>522</v>
      </c>
      <c r="B525" s="24">
        <v>43987</v>
      </c>
      <c r="C525" t="s">
        <v>81</v>
      </c>
      <c r="D525" t="s">
        <v>24</v>
      </c>
      <c r="E525" t="s">
        <v>23</v>
      </c>
      <c r="F525">
        <v>600</v>
      </c>
      <c r="G525">
        <v>1</v>
      </c>
      <c r="H525">
        <v>600</v>
      </c>
      <c r="I525">
        <v>600</v>
      </c>
    </row>
    <row r="526" spans="1:9" x14ac:dyDescent="0.3">
      <c r="A526">
        <v>523</v>
      </c>
      <c r="B526" s="24">
        <v>43988</v>
      </c>
      <c r="C526" t="s">
        <v>81</v>
      </c>
      <c r="D526" t="s">
        <v>10</v>
      </c>
      <c r="E526" t="s">
        <v>11</v>
      </c>
      <c r="F526">
        <v>1100</v>
      </c>
      <c r="G526">
        <v>1</v>
      </c>
      <c r="H526">
        <v>1100</v>
      </c>
      <c r="I526">
        <v>1100</v>
      </c>
    </row>
    <row r="527" spans="1:9" x14ac:dyDescent="0.3">
      <c r="A527">
        <v>524</v>
      </c>
      <c r="B527" s="24">
        <v>43989</v>
      </c>
      <c r="C527" t="s">
        <v>81</v>
      </c>
      <c r="D527" t="s">
        <v>10</v>
      </c>
      <c r="E527" t="s">
        <v>11</v>
      </c>
      <c r="F527">
        <v>1100</v>
      </c>
      <c r="G527">
        <v>1</v>
      </c>
      <c r="H527">
        <v>1100</v>
      </c>
      <c r="I527">
        <v>1100</v>
      </c>
    </row>
    <row r="528" spans="1:9" x14ac:dyDescent="0.3">
      <c r="A528">
        <v>525</v>
      </c>
      <c r="B528" s="24">
        <v>43990</v>
      </c>
      <c r="C528" t="s">
        <v>81</v>
      </c>
      <c r="D528" t="s">
        <v>19</v>
      </c>
      <c r="E528" t="s">
        <v>20</v>
      </c>
      <c r="F528">
        <v>850</v>
      </c>
      <c r="G528">
        <v>1</v>
      </c>
      <c r="H528">
        <v>850</v>
      </c>
      <c r="I528">
        <v>850</v>
      </c>
    </row>
    <row r="529" spans="1:9" x14ac:dyDescent="0.3">
      <c r="A529">
        <v>526</v>
      </c>
      <c r="B529" s="24">
        <v>43991</v>
      </c>
      <c r="C529" t="s">
        <v>81</v>
      </c>
      <c r="D529" t="s">
        <v>10</v>
      </c>
      <c r="E529" t="s">
        <v>11</v>
      </c>
      <c r="F529">
        <v>1100</v>
      </c>
      <c r="G529">
        <v>1</v>
      </c>
      <c r="H529">
        <v>1100</v>
      </c>
      <c r="I529">
        <v>1100</v>
      </c>
    </row>
    <row r="530" spans="1:9" x14ac:dyDescent="0.3">
      <c r="A530">
        <v>527</v>
      </c>
      <c r="B530" s="24">
        <v>43992</v>
      </c>
      <c r="C530" t="s">
        <v>81</v>
      </c>
      <c r="D530" t="s">
        <v>10</v>
      </c>
      <c r="E530" t="s">
        <v>11</v>
      </c>
      <c r="F530">
        <v>1100</v>
      </c>
      <c r="G530">
        <v>2</v>
      </c>
      <c r="H530">
        <v>2200</v>
      </c>
      <c r="I530">
        <v>2200</v>
      </c>
    </row>
    <row r="531" spans="1:9" x14ac:dyDescent="0.3">
      <c r="A531">
        <v>528</v>
      </c>
      <c r="B531" s="24">
        <v>43993</v>
      </c>
      <c r="C531" t="s">
        <v>81</v>
      </c>
      <c r="D531" t="s">
        <v>24</v>
      </c>
      <c r="E531" t="s">
        <v>23</v>
      </c>
      <c r="F531">
        <v>300</v>
      </c>
      <c r="G531">
        <v>1</v>
      </c>
      <c r="H531">
        <v>300</v>
      </c>
      <c r="I531">
        <v>300</v>
      </c>
    </row>
    <row r="532" spans="1:9" x14ac:dyDescent="0.3">
      <c r="A532">
        <v>529</v>
      </c>
      <c r="B532" s="24">
        <v>43994</v>
      </c>
      <c r="C532" t="s">
        <v>81</v>
      </c>
      <c r="D532" t="s">
        <v>18</v>
      </c>
      <c r="E532" t="s">
        <v>17</v>
      </c>
      <c r="F532">
        <v>600</v>
      </c>
      <c r="G532">
        <v>1</v>
      </c>
      <c r="H532">
        <v>600</v>
      </c>
      <c r="I532">
        <v>600</v>
      </c>
    </row>
    <row r="533" spans="1:9" x14ac:dyDescent="0.3">
      <c r="A533">
        <v>530</v>
      </c>
      <c r="B533" s="24">
        <v>43995</v>
      </c>
      <c r="C533" t="s">
        <v>81</v>
      </c>
      <c r="D533" t="s">
        <v>18</v>
      </c>
      <c r="E533" t="s">
        <v>17</v>
      </c>
      <c r="F533">
        <v>600</v>
      </c>
      <c r="G533">
        <v>1</v>
      </c>
      <c r="H533">
        <v>600</v>
      </c>
      <c r="I533">
        <v>600</v>
      </c>
    </row>
    <row r="534" spans="1:9" x14ac:dyDescent="0.3">
      <c r="A534">
        <v>531</v>
      </c>
      <c r="B534" s="24">
        <v>43996</v>
      </c>
      <c r="C534" t="s">
        <v>81</v>
      </c>
      <c r="D534" t="s">
        <v>10</v>
      </c>
      <c r="E534" t="s">
        <v>11</v>
      </c>
      <c r="F534">
        <v>1100</v>
      </c>
      <c r="G534">
        <v>1</v>
      </c>
      <c r="H534">
        <v>1100</v>
      </c>
      <c r="I534">
        <v>1100</v>
      </c>
    </row>
    <row r="535" spans="1:9" x14ac:dyDescent="0.3">
      <c r="A535">
        <v>532</v>
      </c>
      <c r="B535" s="24">
        <v>43997</v>
      </c>
      <c r="C535" t="s">
        <v>81</v>
      </c>
      <c r="D535" t="s">
        <v>14</v>
      </c>
      <c r="E535" t="s">
        <v>11</v>
      </c>
      <c r="F535">
        <v>900</v>
      </c>
      <c r="G535">
        <v>1</v>
      </c>
      <c r="H535">
        <v>900</v>
      </c>
      <c r="I535">
        <v>900</v>
      </c>
    </row>
    <row r="536" spans="1:9" x14ac:dyDescent="0.3">
      <c r="A536">
        <v>533</v>
      </c>
      <c r="B536" s="24">
        <v>43998</v>
      </c>
      <c r="C536" t="s">
        <v>81</v>
      </c>
      <c r="D536" t="s">
        <v>12</v>
      </c>
      <c r="E536" t="s">
        <v>11</v>
      </c>
      <c r="F536">
        <v>900</v>
      </c>
      <c r="G536">
        <v>1</v>
      </c>
      <c r="H536">
        <v>900</v>
      </c>
      <c r="I536">
        <v>765</v>
      </c>
    </row>
    <row r="537" spans="1:9" x14ac:dyDescent="0.3">
      <c r="A537">
        <v>534</v>
      </c>
      <c r="B537" s="24">
        <v>43999</v>
      </c>
      <c r="C537" t="s">
        <v>81</v>
      </c>
      <c r="D537" t="s">
        <v>12</v>
      </c>
      <c r="E537" t="s">
        <v>11</v>
      </c>
      <c r="F537">
        <v>900</v>
      </c>
      <c r="G537">
        <v>1</v>
      </c>
      <c r="H537">
        <v>900</v>
      </c>
      <c r="I537">
        <v>765</v>
      </c>
    </row>
    <row r="538" spans="1:9" x14ac:dyDescent="0.3">
      <c r="A538">
        <v>535</v>
      </c>
      <c r="B538" s="24">
        <v>44000</v>
      </c>
      <c r="C538" t="s">
        <v>81</v>
      </c>
      <c r="D538" t="s">
        <v>10</v>
      </c>
      <c r="E538" t="s">
        <v>11</v>
      </c>
      <c r="F538">
        <v>1100</v>
      </c>
      <c r="G538">
        <v>1</v>
      </c>
      <c r="H538">
        <v>1100</v>
      </c>
      <c r="I538">
        <v>1100</v>
      </c>
    </row>
    <row r="539" spans="1:9" x14ac:dyDescent="0.3">
      <c r="A539">
        <v>536</v>
      </c>
      <c r="B539" s="24">
        <v>44001</v>
      </c>
      <c r="C539" t="s">
        <v>81</v>
      </c>
      <c r="D539" t="s">
        <v>24</v>
      </c>
      <c r="E539" t="s">
        <v>23</v>
      </c>
      <c r="F539">
        <v>600</v>
      </c>
      <c r="G539">
        <v>2</v>
      </c>
      <c r="H539">
        <v>1200</v>
      </c>
      <c r="I539">
        <v>1200</v>
      </c>
    </row>
    <row r="540" spans="1:9" x14ac:dyDescent="0.3">
      <c r="A540">
        <v>537</v>
      </c>
      <c r="B540" s="24">
        <v>44002</v>
      </c>
      <c r="C540" t="s">
        <v>81</v>
      </c>
      <c r="D540" t="s">
        <v>19</v>
      </c>
      <c r="E540" t="s">
        <v>20</v>
      </c>
      <c r="F540">
        <v>850</v>
      </c>
      <c r="G540">
        <v>1</v>
      </c>
      <c r="H540">
        <v>850</v>
      </c>
      <c r="I540">
        <v>850</v>
      </c>
    </row>
    <row r="541" spans="1:9" x14ac:dyDescent="0.3">
      <c r="A541">
        <v>538</v>
      </c>
      <c r="B541" s="24">
        <v>44003</v>
      </c>
      <c r="C541" t="s">
        <v>81</v>
      </c>
      <c r="D541" t="s">
        <v>12</v>
      </c>
      <c r="E541" t="s">
        <v>11</v>
      </c>
      <c r="F541">
        <v>900</v>
      </c>
      <c r="G541">
        <v>1</v>
      </c>
      <c r="H541">
        <v>900</v>
      </c>
      <c r="I541">
        <v>765</v>
      </c>
    </row>
    <row r="542" spans="1:9" x14ac:dyDescent="0.3">
      <c r="A542">
        <v>539</v>
      </c>
      <c r="B542" s="24">
        <v>44004</v>
      </c>
      <c r="C542" t="s">
        <v>81</v>
      </c>
      <c r="D542" t="s">
        <v>18</v>
      </c>
      <c r="E542" t="s">
        <v>17</v>
      </c>
      <c r="F542">
        <v>600</v>
      </c>
      <c r="G542">
        <v>1</v>
      </c>
      <c r="H542">
        <v>600</v>
      </c>
      <c r="I542">
        <v>600</v>
      </c>
    </row>
    <row r="543" spans="1:9" x14ac:dyDescent="0.3">
      <c r="A543">
        <v>540</v>
      </c>
      <c r="B543" s="24">
        <v>44005</v>
      </c>
      <c r="C543" t="s">
        <v>81</v>
      </c>
      <c r="D543" t="s">
        <v>18</v>
      </c>
      <c r="E543" t="s">
        <v>17</v>
      </c>
      <c r="F543">
        <v>600</v>
      </c>
      <c r="G543">
        <v>1</v>
      </c>
      <c r="H543">
        <v>600</v>
      </c>
      <c r="I543">
        <v>600</v>
      </c>
    </row>
    <row r="544" spans="1:9" x14ac:dyDescent="0.3">
      <c r="A544">
        <v>541</v>
      </c>
      <c r="B544" s="24">
        <v>44006</v>
      </c>
      <c r="C544" t="s">
        <v>81</v>
      </c>
      <c r="D544" t="s">
        <v>10</v>
      </c>
      <c r="E544" t="s">
        <v>11</v>
      </c>
      <c r="F544">
        <v>1100</v>
      </c>
      <c r="G544">
        <v>1</v>
      </c>
      <c r="H544">
        <v>1100</v>
      </c>
      <c r="I544">
        <v>1100</v>
      </c>
    </row>
    <row r="545" spans="1:9" x14ac:dyDescent="0.3">
      <c r="A545">
        <v>542</v>
      </c>
      <c r="B545" s="24">
        <v>44007</v>
      </c>
      <c r="C545" t="s">
        <v>81</v>
      </c>
      <c r="D545" t="s">
        <v>10</v>
      </c>
      <c r="E545" t="s">
        <v>11</v>
      </c>
      <c r="F545">
        <v>1100</v>
      </c>
      <c r="G545">
        <v>1</v>
      </c>
      <c r="H545">
        <v>1100</v>
      </c>
      <c r="I545">
        <v>1100</v>
      </c>
    </row>
    <row r="546" spans="1:9" x14ac:dyDescent="0.3">
      <c r="A546">
        <v>543</v>
      </c>
      <c r="B546" s="24">
        <v>44008</v>
      </c>
      <c r="C546" t="s">
        <v>81</v>
      </c>
      <c r="D546" t="s">
        <v>10</v>
      </c>
      <c r="E546" t="s">
        <v>11</v>
      </c>
      <c r="F546">
        <v>1100</v>
      </c>
      <c r="G546">
        <v>1</v>
      </c>
      <c r="H546">
        <v>1100</v>
      </c>
      <c r="I546">
        <v>1100</v>
      </c>
    </row>
    <row r="547" spans="1:9" x14ac:dyDescent="0.3">
      <c r="A547">
        <v>544</v>
      </c>
      <c r="B547" s="24">
        <v>44009</v>
      </c>
      <c r="C547" t="s">
        <v>81</v>
      </c>
      <c r="D547" t="s">
        <v>10</v>
      </c>
      <c r="E547" t="s">
        <v>11</v>
      </c>
      <c r="F547">
        <v>1100</v>
      </c>
      <c r="G547">
        <v>1</v>
      </c>
      <c r="H547">
        <v>1100</v>
      </c>
      <c r="I547">
        <v>1100</v>
      </c>
    </row>
    <row r="548" spans="1:9" x14ac:dyDescent="0.3">
      <c r="A548">
        <v>545</v>
      </c>
      <c r="B548" s="24">
        <v>44010</v>
      </c>
      <c r="C548" t="s">
        <v>81</v>
      </c>
      <c r="D548" t="s">
        <v>12</v>
      </c>
      <c r="E548" t="s">
        <v>11</v>
      </c>
      <c r="F548">
        <v>1100</v>
      </c>
      <c r="G548">
        <v>1</v>
      </c>
      <c r="H548">
        <v>1100</v>
      </c>
      <c r="I548">
        <v>935</v>
      </c>
    </row>
    <row r="549" spans="1:9" x14ac:dyDescent="0.3">
      <c r="A549">
        <v>546</v>
      </c>
      <c r="B549" s="24">
        <v>44011</v>
      </c>
      <c r="C549" t="s">
        <v>81</v>
      </c>
      <c r="D549" t="s">
        <v>12</v>
      </c>
      <c r="E549" t="s">
        <v>11</v>
      </c>
      <c r="F549">
        <v>1100</v>
      </c>
      <c r="G549">
        <v>1</v>
      </c>
      <c r="H549">
        <v>1100</v>
      </c>
      <c r="I549">
        <v>935</v>
      </c>
    </row>
    <row r="550" spans="1:9" x14ac:dyDescent="0.3">
      <c r="A550">
        <v>547</v>
      </c>
      <c r="B550" s="24">
        <v>44012</v>
      </c>
      <c r="C550" t="s">
        <v>81</v>
      </c>
      <c r="D550" t="s">
        <v>12</v>
      </c>
      <c r="E550" t="s">
        <v>11</v>
      </c>
      <c r="F550">
        <v>1100</v>
      </c>
      <c r="G550">
        <v>1</v>
      </c>
      <c r="H550">
        <v>1100</v>
      </c>
      <c r="I550">
        <v>935</v>
      </c>
    </row>
    <row r="551" spans="1:9" x14ac:dyDescent="0.3">
      <c r="A551">
        <v>548</v>
      </c>
      <c r="B551" s="24">
        <v>44013</v>
      </c>
      <c r="C551" t="s">
        <v>81</v>
      </c>
      <c r="D551" t="s">
        <v>12</v>
      </c>
      <c r="E551" t="s">
        <v>11</v>
      </c>
      <c r="F551">
        <v>1100</v>
      </c>
      <c r="G551">
        <v>2</v>
      </c>
      <c r="H551">
        <v>2200</v>
      </c>
      <c r="I551">
        <v>1870</v>
      </c>
    </row>
    <row r="552" spans="1:9" x14ac:dyDescent="0.3">
      <c r="A552">
        <v>549</v>
      </c>
      <c r="B552" s="24">
        <v>44014</v>
      </c>
      <c r="C552" t="s">
        <v>81</v>
      </c>
      <c r="D552" t="s">
        <v>12</v>
      </c>
      <c r="E552" t="s">
        <v>11</v>
      </c>
      <c r="F552">
        <v>1100</v>
      </c>
      <c r="G552">
        <v>1</v>
      </c>
      <c r="H552">
        <v>1100</v>
      </c>
      <c r="I552">
        <v>935</v>
      </c>
    </row>
    <row r="553" spans="1:9" x14ac:dyDescent="0.3">
      <c r="A553">
        <v>550</v>
      </c>
      <c r="B553" s="24">
        <v>44015</v>
      </c>
      <c r="C553" t="s">
        <v>81</v>
      </c>
      <c r="D553" t="s">
        <v>12</v>
      </c>
      <c r="E553" t="s">
        <v>11</v>
      </c>
      <c r="F553">
        <v>1100</v>
      </c>
      <c r="G553">
        <v>1</v>
      </c>
      <c r="H553">
        <v>1100</v>
      </c>
      <c r="I553">
        <v>935</v>
      </c>
    </row>
    <row r="554" spans="1:9" x14ac:dyDescent="0.3">
      <c r="A554">
        <v>551</v>
      </c>
      <c r="B554" s="24">
        <v>44016</v>
      </c>
      <c r="C554" t="s">
        <v>81</v>
      </c>
      <c r="D554" t="s">
        <v>12</v>
      </c>
      <c r="E554" t="s">
        <v>11</v>
      </c>
      <c r="F554">
        <v>900</v>
      </c>
      <c r="G554">
        <v>1</v>
      </c>
      <c r="H554">
        <v>900</v>
      </c>
      <c r="I554">
        <v>765</v>
      </c>
    </row>
    <row r="555" spans="1:9" x14ac:dyDescent="0.3">
      <c r="A555">
        <v>552</v>
      </c>
      <c r="B555" s="24">
        <v>44017</v>
      </c>
      <c r="C555" t="s">
        <v>81</v>
      </c>
      <c r="D555" t="s">
        <v>12</v>
      </c>
      <c r="E555" t="s">
        <v>11</v>
      </c>
      <c r="F555">
        <v>900</v>
      </c>
      <c r="G555">
        <v>1</v>
      </c>
      <c r="H555">
        <v>900</v>
      </c>
      <c r="I555">
        <v>765</v>
      </c>
    </row>
    <row r="556" spans="1:9" x14ac:dyDescent="0.3">
      <c r="A556">
        <v>553</v>
      </c>
      <c r="B556" s="24">
        <v>44018</v>
      </c>
      <c r="C556" t="s">
        <v>81</v>
      </c>
      <c r="D556" t="s">
        <v>12</v>
      </c>
      <c r="E556" t="s">
        <v>11</v>
      </c>
      <c r="F556">
        <v>900</v>
      </c>
      <c r="G556">
        <v>1</v>
      </c>
      <c r="H556">
        <v>900</v>
      </c>
      <c r="I556">
        <v>765</v>
      </c>
    </row>
    <row r="557" spans="1:9" x14ac:dyDescent="0.3">
      <c r="A557">
        <v>554</v>
      </c>
      <c r="B557" s="24">
        <v>44019</v>
      </c>
      <c r="C557" t="s">
        <v>81</v>
      </c>
      <c r="D557" t="s">
        <v>12</v>
      </c>
      <c r="E557" t="s">
        <v>11</v>
      </c>
      <c r="F557">
        <v>900</v>
      </c>
      <c r="G557">
        <v>2</v>
      </c>
      <c r="H557">
        <v>1800</v>
      </c>
      <c r="I557">
        <v>1530</v>
      </c>
    </row>
    <row r="558" spans="1:9" x14ac:dyDescent="0.3">
      <c r="A558">
        <v>555</v>
      </c>
      <c r="B558" s="24">
        <v>44020</v>
      </c>
      <c r="C558" t="s">
        <v>81</v>
      </c>
      <c r="D558" t="s">
        <v>12</v>
      </c>
      <c r="E558" t="s">
        <v>11</v>
      </c>
      <c r="F558">
        <v>900</v>
      </c>
      <c r="G558">
        <v>1</v>
      </c>
      <c r="H558">
        <v>900</v>
      </c>
      <c r="I558">
        <v>765</v>
      </c>
    </row>
    <row r="559" spans="1:9" x14ac:dyDescent="0.3">
      <c r="A559">
        <v>556</v>
      </c>
      <c r="B559" s="24">
        <v>44021</v>
      </c>
      <c r="C559" t="s">
        <v>81</v>
      </c>
      <c r="D559" t="s">
        <v>12</v>
      </c>
      <c r="E559" t="s">
        <v>11</v>
      </c>
      <c r="F559">
        <v>900</v>
      </c>
      <c r="G559">
        <v>1</v>
      </c>
      <c r="H559">
        <v>900</v>
      </c>
      <c r="I559">
        <v>765</v>
      </c>
    </row>
    <row r="560" spans="1:9" x14ac:dyDescent="0.3">
      <c r="A560">
        <v>557</v>
      </c>
      <c r="B560" s="24">
        <v>44022</v>
      </c>
      <c r="C560" t="s">
        <v>81</v>
      </c>
      <c r="D560" t="s">
        <v>12</v>
      </c>
      <c r="E560" t="s">
        <v>11</v>
      </c>
      <c r="F560">
        <v>1100</v>
      </c>
      <c r="G560">
        <v>1</v>
      </c>
      <c r="H560">
        <v>1100</v>
      </c>
      <c r="I560">
        <v>935</v>
      </c>
    </row>
    <row r="561" spans="1:9" x14ac:dyDescent="0.3">
      <c r="A561">
        <v>558</v>
      </c>
      <c r="B561" s="24">
        <v>44023</v>
      </c>
      <c r="C561" t="s">
        <v>80</v>
      </c>
      <c r="D561" t="s">
        <v>12</v>
      </c>
      <c r="E561" t="s">
        <v>11</v>
      </c>
      <c r="F561">
        <v>900</v>
      </c>
      <c r="G561">
        <v>1</v>
      </c>
      <c r="H561">
        <v>900</v>
      </c>
      <c r="I561">
        <v>765</v>
      </c>
    </row>
    <row r="562" spans="1:9" x14ac:dyDescent="0.3">
      <c r="A562">
        <v>559</v>
      </c>
      <c r="B562" s="24">
        <v>44024</v>
      </c>
      <c r="C562" t="s">
        <v>80</v>
      </c>
      <c r="D562" t="s">
        <v>12</v>
      </c>
      <c r="E562" t="s">
        <v>11</v>
      </c>
      <c r="F562">
        <v>1100</v>
      </c>
      <c r="G562">
        <v>2</v>
      </c>
      <c r="H562">
        <v>2200</v>
      </c>
      <c r="I562">
        <v>1870</v>
      </c>
    </row>
    <row r="563" spans="1:9" x14ac:dyDescent="0.3">
      <c r="A563">
        <v>560</v>
      </c>
      <c r="B563" s="24">
        <v>44025</v>
      </c>
      <c r="C563" t="s">
        <v>80</v>
      </c>
      <c r="D563" t="s">
        <v>12</v>
      </c>
      <c r="E563" t="s">
        <v>11</v>
      </c>
      <c r="F563">
        <v>1100</v>
      </c>
      <c r="G563">
        <v>1</v>
      </c>
      <c r="H563">
        <v>1100</v>
      </c>
      <c r="I563">
        <v>935</v>
      </c>
    </row>
    <row r="564" spans="1:9" x14ac:dyDescent="0.3">
      <c r="A564">
        <v>561</v>
      </c>
      <c r="B564" s="24">
        <v>44026</v>
      </c>
      <c r="C564" t="s">
        <v>80</v>
      </c>
      <c r="D564" t="s">
        <v>12</v>
      </c>
      <c r="E564" t="s">
        <v>11</v>
      </c>
      <c r="F564">
        <v>900</v>
      </c>
      <c r="G564">
        <v>1</v>
      </c>
      <c r="H564">
        <v>900</v>
      </c>
      <c r="I564">
        <v>765</v>
      </c>
    </row>
    <row r="565" spans="1:9" x14ac:dyDescent="0.3">
      <c r="A565">
        <v>562</v>
      </c>
      <c r="B565" s="24">
        <v>44027</v>
      </c>
      <c r="C565" t="s">
        <v>80</v>
      </c>
      <c r="D565" t="s">
        <v>12</v>
      </c>
      <c r="E565" t="s">
        <v>11</v>
      </c>
      <c r="F565">
        <v>900</v>
      </c>
      <c r="G565">
        <v>1</v>
      </c>
      <c r="H565">
        <v>900</v>
      </c>
      <c r="I565">
        <v>765</v>
      </c>
    </row>
    <row r="566" spans="1:9" x14ac:dyDescent="0.3">
      <c r="A566">
        <v>563</v>
      </c>
      <c r="B566" s="24">
        <v>44028</v>
      </c>
      <c r="C566" t="s">
        <v>80</v>
      </c>
      <c r="D566" t="s">
        <v>14</v>
      </c>
      <c r="E566" t="s">
        <v>11</v>
      </c>
      <c r="F566">
        <v>900</v>
      </c>
      <c r="G566">
        <v>1</v>
      </c>
      <c r="H566">
        <v>900</v>
      </c>
      <c r="I566">
        <v>900</v>
      </c>
    </row>
    <row r="567" spans="1:9" x14ac:dyDescent="0.3">
      <c r="A567">
        <v>564</v>
      </c>
      <c r="B567" s="24">
        <v>44029</v>
      </c>
      <c r="C567" t="s">
        <v>80</v>
      </c>
      <c r="D567" t="s">
        <v>12</v>
      </c>
      <c r="E567" t="s">
        <v>11</v>
      </c>
      <c r="F567">
        <v>1100</v>
      </c>
      <c r="G567">
        <v>1</v>
      </c>
      <c r="H567">
        <v>1100</v>
      </c>
      <c r="I567">
        <v>935</v>
      </c>
    </row>
    <row r="568" spans="1:9" x14ac:dyDescent="0.3">
      <c r="A568">
        <v>565</v>
      </c>
      <c r="B568" s="24">
        <v>44030</v>
      </c>
      <c r="C568" t="s">
        <v>80</v>
      </c>
      <c r="D568" t="s">
        <v>12</v>
      </c>
      <c r="E568" t="s">
        <v>11</v>
      </c>
      <c r="F568">
        <v>1100</v>
      </c>
      <c r="G568">
        <v>1</v>
      </c>
      <c r="H568">
        <v>1100</v>
      </c>
      <c r="I568">
        <v>935</v>
      </c>
    </row>
    <row r="569" spans="1:9" x14ac:dyDescent="0.3">
      <c r="A569">
        <v>566</v>
      </c>
      <c r="B569" s="24">
        <v>44031</v>
      </c>
      <c r="C569" t="s">
        <v>80</v>
      </c>
      <c r="D569" t="s">
        <v>14</v>
      </c>
      <c r="E569" t="s">
        <v>11</v>
      </c>
      <c r="F569">
        <v>900</v>
      </c>
      <c r="G569">
        <v>1</v>
      </c>
      <c r="H569">
        <v>900</v>
      </c>
      <c r="I569">
        <v>900</v>
      </c>
    </row>
    <row r="570" spans="1:9" x14ac:dyDescent="0.3">
      <c r="A570">
        <v>567</v>
      </c>
      <c r="B570" s="24">
        <v>44032</v>
      </c>
      <c r="C570" t="s">
        <v>81</v>
      </c>
      <c r="D570" t="s">
        <v>12</v>
      </c>
      <c r="E570" t="s">
        <v>11</v>
      </c>
      <c r="F570">
        <v>900</v>
      </c>
      <c r="G570">
        <v>1</v>
      </c>
      <c r="H570">
        <v>900</v>
      </c>
      <c r="I570">
        <v>765</v>
      </c>
    </row>
    <row r="571" spans="1:9" x14ac:dyDescent="0.3">
      <c r="A571">
        <v>568</v>
      </c>
      <c r="B571" s="24">
        <v>44033</v>
      </c>
      <c r="C571" t="s">
        <v>81</v>
      </c>
      <c r="D571" t="s">
        <v>14</v>
      </c>
      <c r="E571" t="s">
        <v>11</v>
      </c>
      <c r="F571">
        <v>900</v>
      </c>
      <c r="G571">
        <v>1</v>
      </c>
      <c r="H571">
        <v>900</v>
      </c>
      <c r="I571">
        <v>900</v>
      </c>
    </row>
    <row r="572" spans="1:9" x14ac:dyDescent="0.3">
      <c r="A572">
        <v>569</v>
      </c>
      <c r="B572" s="24">
        <v>44034</v>
      </c>
      <c r="C572" t="s">
        <v>81</v>
      </c>
      <c r="D572" t="s">
        <v>12</v>
      </c>
      <c r="E572" t="s">
        <v>11</v>
      </c>
      <c r="F572">
        <v>1100</v>
      </c>
      <c r="G572">
        <v>1</v>
      </c>
      <c r="H572">
        <v>1100</v>
      </c>
      <c r="I572">
        <v>935</v>
      </c>
    </row>
    <row r="573" spans="1:9" x14ac:dyDescent="0.3">
      <c r="A573">
        <v>570</v>
      </c>
      <c r="B573" s="24">
        <v>44035</v>
      </c>
      <c r="C573" t="s">
        <v>81</v>
      </c>
      <c r="D573" t="s">
        <v>12</v>
      </c>
      <c r="E573" t="s">
        <v>11</v>
      </c>
      <c r="F573">
        <v>1100</v>
      </c>
      <c r="G573">
        <v>1</v>
      </c>
      <c r="H573">
        <v>1100</v>
      </c>
      <c r="I573">
        <v>935</v>
      </c>
    </row>
    <row r="574" spans="1:9" x14ac:dyDescent="0.3">
      <c r="A574">
        <v>571</v>
      </c>
      <c r="B574" s="24">
        <v>44036</v>
      </c>
      <c r="C574" t="s">
        <v>81</v>
      </c>
      <c r="D574" t="s">
        <v>14</v>
      </c>
      <c r="E574" t="s">
        <v>11</v>
      </c>
      <c r="F574">
        <v>900</v>
      </c>
      <c r="G574">
        <v>1</v>
      </c>
      <c r="H574">
        <v>900</v>
      </c>
      <c r="I574">
        <v>900</v>
      </c>
    </row>
    <row r="575" spans="1:9" x14ac:dyDescent="0.3">
      <c r="A575">
        <v>572</v>
      </c>
      <c r="B575" s="24">
        <v>44037</v>
      </c>
      <c r="C575" t="s">
        <v>81</v>
      </c>
      <c r="D575" t="s">
        <v>14</v>
      </c>
      <c r="E575" t="s">
        <v>11</v>
      </c>
      <c r="F575">
        <v>900</v>
      </c>
      <c r="G575">
        <v>1</v>
      </c>
      <c r="H575">
        <v>900</v>
      </c>
      <c r="I575">
        <v>900</v>
      </c>
    </row>
    <row r="576" spans="1:9" x14ac:dyDescent="0.3">
      <c r="A576">
        <v>573</v>
      </c>
      <c r="B576" s="24">
        <v>44038</v>
      </c>
      <c r="C576" t="s">
        <v>81</v>
      </c>
      <c r="D576" t="s">
        <v>14</v>
      </c>
      <c r="E576" t="s">
        <v>11</v>
      </c>
      <c r="F576">
        <v>900</v>
      </c>
      <c r="G576">
        <v>1</v>
      </c>
      <c r="H576">
        <v>900</v>
      </c>
      <c r="I576">
        <v>900</v>
      </c>
    </row>
    <row r="577" spans="1:9" x14ac:dyDescent="0.3">
      <c r="A577">
        <v>574</v>
      </c>
      <c r="B577" s="24">
        <v>44039</v>
      </c>
      <c r="C577" t="s">
        <v>81</v>
      </c>
      <c r="D577" t="s">
        <v>14</v>
      </c>
      <c r="E577" t="s">
        <v>11</v>
      </c>
      <c r="F577">
        <v>900</v>
      </c>
      <c r="G577">
        <v>1</v>
      </c>
      <c r="H577">
        <v>900</v>
      </c>
      <c r="I577">
        <v>900</v>
      </c>
    </row>
    <row r="578" spans="1:9" x14ac:dyDescent="0.3">
      <c r="A578">
        <v>575</v>
      </c>
      <c r="B578" s="24">
        <v>44040</v>
      </c>
      <c r="C578" t="s">
        <v>81</v>
      </c>
      <c r="D578" t="s">
        <v>14</v>
      </c>
      <c r="E578" t="s">
        <v>11</v>
      </c>
      <c r="F578">
        <v>900</v>
      </c>
      <c r="G578">
        <v>1</v>
      </c>
      <c r="H578">
        <v>900</v>
      </c>
      <c r="I578">
        <v>900</v>
      </c>
    </row>
    <row r="579" spans="1:9" x14ac:dyDescent="0.3">
      <c r="A579">
        <v>576</v>
      </c>
      <c r="B579" s="24">
        <v>44041</v>
      </c>
      <c r="C579" t="s">
        <v>81</v>
      </c>
      <c r="D579" t="s">
        <v>12</v>
      </c>
      <c r="E579" t="s">
        <v>11</v>
      </c>
      <c r="F579">
        <v>900</v>
      </c>
      <c r="G579">
        <v>1</v>
      </c>
      <c r="H579">
        <v>900</v>
      </c>
      <c r="I579">
        <v>765</v>
      </c>
    </row>
    <row r="580" spans="1:9" x14ac:dyDescent="0.3">
      <c r="A580">
        <v>577</v>
      </c>
      <c r="B580" s="24">
        <v>44042</v>
      </c>
      <c r="C580" t="s">
        <v>81</v>
      </c>
      <c r="D580" t="s">
        <v>12</v>
      </c>
      <c r="E580" t="s">
        <v>11</v>
      </c>
      <c r="F580">
        <v>900</v>
      </c>
      <c r="G580">
        <v>1</v>
      </c>
      <c r="H580">
        <v>900</v>
      </c>
      <c r="I580">
        <v>765</v>
      </c>
    </row>
    <row r="581" spans="1:9" x14ac:dyDescent="0.3">
      <c r="A581">
        <v>578</v>
      </c>
      <c r="B581" s="24">
        <v>44043</v>
      </c>
      <c r="C581" t="s">
        <v>81</v>
      </c>
      <c r="D581" t="s">
        <v>12</v>
      </c>
      <c r="E581" t="s">
        <v>11</v>
      </c>
      <c r="F581">
        <v>900</v>
      </c>
      <c r="G581">
        <v>1</v>
      </c>
      <c r="H581">
        <v>900</v>
      </c>
      <c r="I581">
        <v>765</v>
      </c>
    </row>
    <row r="582" spans="1:9" x14ac:dyDescent="0.3">
      <c r="A582">
        <v>579</v>
      </c>
      <c r="B582" s="24">
        <v>44044</v>
      </c>
      <c r="C582" t="s">
        <v>81</v>
      </c>
      <c r="D582" t="s">
        <v>12</v>
      </c>
      <c r="E582" t="s">
        <v>11</v>
      </c>
      <c r="F582">
        <v>1100</v>
      </c>
      <c r="G582">
        <v>1</v>
      </c>
      <c r="H582">
        <v>1100</v>
      </c>
      <c r="I582">
        <v>935</v>
      </c>
    </row>
    <row r="583" spans="1:9" x14ac:dyDescent="0.3">
      <c r="A583">
        <v>580</v>
      </c>
      <c r="B583" s="24">
        <v>44045</v>
      </c>
      <c r="C583" t="s">
        <v>81</v>
      </c>
      <c r="D583" t="s">
        <v>12</v>
      </c>
      <c r="E583" t="s">
        <v>11</v>
      </c>
      <c r="F583">
        <v>1100</v>
      </c>
      <c r="G583">
        <v>1</v>
      </c>
      <c r="H583">
        <v>1100</v>
      </c>
      <c r="I583">
        <v>935</v>
      </c>
    </row>
    <row r="584" spans="1:9" x14ac:dyDescent="0.3">
      <c r="A584">
        <v>581</v>
      </c>
      <c r="B584" s="24">
        <v>44046</v>
      </c>
      <c r="C584" t="s">
        <v>81</v>
      </c>
      <c r="D584" t="s">
        <v>15</v>
      </c>
      <c r="E584" t="s">
        <v>11</v>
      </c>
      <c r="F584">
        <v>1000</v>
      </c>
      <c r="G584">
        <v>1</v>
      </c>
      <c r="H584">
        <v>1000</v>
      </c>
      <c r="I584">
        <v>1000</v>
      </c>
    </row>
    <row r="585" spans="1:9" x14ac:dyDescent="0.3">
      <c r="A585">
        <v>582</v>
      </c>
      <c r="B585" s="24">
        <v>44047</v>
      </c>
      <c r="C585" t="s">
        <v>81</v>
      </c>
      <c r="D585" t="s">
        <v>15</v>
      </c>
      <c r="E585" t="s">
        <v>11</v>
      </c>
      <c r="F585">
        <v>1000</v>
      </c>
      <c r="G585">
        <v>1</v>
      </c>
      <c r="H585">
        <v>1000</v>
      </c>
      <c r="I585">
        <v>1000</v>
      </c>
    </row>
    <row r="586" spans="1:9" x14ac:dyDescent="0.3">
      <c r="A586">
        <v>583</v>
      </c>
      <c r="B586" s="24">
        <v>44048</v>
      </c>
      <c r="C586" t="s">
        <v>81</v>
      </c>
      <c r="D586" t="s">
        <v>12</v>
      </c>
      <c r="E586" t="s">
        <v>11</v>
      </c>
      <c r="F586">
        <v>1100</v>
      </c>
      <c r="G586">
        <v>1</v>
      </c>
      <c r="H586">
        <v>1100</v>
      </c>
      <c r="I586">
        <v>935</v>
      </c>
    </row>
    <row r="587" spans="1:9" x14ac:dyDescent="0.3">
      <c r="A587">
        <v>584</v>
      </c>
      <c r="B587" s="24">
        <v>44049</v>
      </c>
      <c r="C587" t="s">
        <v>81</v>
      </c>
      <c r="D587" t="s">
        <v>15</v>
      </c>
      <c r="E587" t="s">
        <v>11</v>
      </c>
      <c r="F587">
        <v>1000</v>
      </c>
      <c r="G587">
        <v>1</v>
      </c>
      <c r="H587">
        <v>1000</v>
      </c>
      <c r="I587">
        <v>1000</v>
      </c>
    </row>
    <row r="588" spans="1:9" x14ac:dyDescent="0.3">
      <c r="A588">
        <v>585</v>
      </c>
      <c r="B588" s="24">
        <v>44050</v>
      </c>
      <c r="C588" t="s">
        <v>81</v>
      </c>
      <c r="D588" t="s">
        <v>12</v>
      </c>
      <c r="E588" t="s">
        <v>11</v>
      </c>
      <c r="F588">
        <v>900</v>
      </c>
      <c r="G588">
        <v>1</v>
      </c>
      <c r="H588">
        <v>900</v>
      </c>
      <c r="I588">
        <v>765</v>
      </c>
    </row>
    <row r="589" spans="1:9" x14ac:dyDescent="0.3">
      <c r="A589">
        <v>586</v>
      </c>
      <c r="B589" s="24">
        <v>44051</v>
      </c>
      <c r="C589" t="s">
        <v>81</v>
      </c>
      <c r="D589" t="s">
        <v>12</v>
      </c>
      <c r="E589" t="s">
        <v>11</v>
      </c>
      <c r="F589">
        <v>900</v>
      </c>
      <c r="G589">
        <v>2</v>
      </c>
      <c r="H589">
        <v>1800</v>
      </c>
      <c r="I589">
        <v>1530</v>
      </c>
    </row>
    <row r="590" spans="1:9" x14ac:dyDescent="0.3">
      <c r="A590">
        <v>587</v>
      </c>
      <c r="B590" s="24">
        <v>44052</v>
      </c>
      <c r="C590" t="s">
        <v>81</v>
      </c>
      <c r="D590" t="s">
        <v>12</v>
      </c>
      <c r="E590" t="s">
        <v>11</v>
      </c>
      <c r="F590">
        <v>1100</v>
      </c>
      <c r="G590">
        <v>1</v>
      </c>
      <c r="H590">
        <v>1100</v>
      </c>
      <c r="I590">
        <v>935</v>
      </c>
    </row>
    <row r="591" spans="1:9" x14ac:dyDescent="0.3">
      <c r="A591">
        <v>588</v>
      </c>
      <c r="B591" s="24">
        <v>44053</v>
      </c>
      <c r="C591" t="s">
        <v>81</v>
      </c>
      <c r="D591" t="s">
        <v>12</v>
      </c>
      <c r="E591" t="s">
        <v>11</v>
      </c>
      <c r="F591">
        <v>900</v>
      </c>
      <c r="G591">
        <v>1</v>
      </c>
      <c r="H591">
        <v>900</v>
      </c>
      <c r="I591">
        <v>765</v>
      </c>
    </row>
    <row r="592" spans="1:9" x14ac:dyDescent="0.3">
      <c r="A592">
        <v>589</v>
      </c>
      <c r="B592" s="24">
        <v>44054</v>
      </c>
      <c r="C592" t="s">
        <v>81</v>
      </c>
      <c r="D592" t="s">
        <v>12</v>
      </c>
      <c r="E592" t="s">
        <v>11</v>
      </c>
      <c r="F592">
        <v>1100</v>
      </c>
      <c r="G592">
        <v>1</v>
      </c>
      <c r="H592">
        <v>1100</v>
      </c>
      <c r="I592">
        <v>935</v>
      </c>
    </row>
    <row r="593" spans="1:9" x14ac:dyDescent="0.3">
      <c r="A593">
        <v>590</v>
      </c>
      <c r="B593" s="24">
        <v>44055</v>
      </c>
      <c r="C593" t="s">
        <v>81</v>
      </c>
      <c r="D593" t="s">
        <v>16</v>
      </c>
      <c r="E593" t="s">
        <v>17</v>
      </c>
      <c r="F593">
        <v>800</v>
      </c>
      <c r="G593">
        <v>1</v>
      </c>
      <c r="H593">
        <v>800</v>
      </c>
      <c r="I593">
        <v>800</v>
      </c>
    </row>
    <row r="594" spans="1:9" x14ac:dyDescent="0.3">
      <c r="A594">
        <v>591</v>
      </c>
      <c r="B594" s="24">
        <v>44056</v>
      </c>
      <c r="C594" t="s">
        <v>81</v>
      </c>
      <c r="D594" t="s">
        <v>16</v>
      </c>
      <c r="E594" t="s">
        <v>17</v>
      </c>
      <c r="F594">
        <v>800</v>
      </c>
      <c r="G594">
        <v>2</v>
      </c>
      <c r="H594">
        <v>1600</v>
      </c>
      <c r="I594">
        <v>1600</v>
      </c>
    </row>
    <row r="595" spans="1:9" x14ac:dyDescent="0.3">
      <c r="A595">
        <v>592</v>
      </c>
      <c r="B595" s="24">
        <v>44057</v>
      </c>
      <c r="C595" t="s">
        <v>81</v>
      </c>
      <c r="D595" t="s">
        <v>14</v>
      </c>
      <c r="E595" t="s">
        <v>11</v>
      </c>
      <c r="F595">
        <v>900</v>
      </c>
      <c r="G595">
        <v>1</v>
      </c>
      <c r="H595">
        <v>900</v>
      </c>
      <c r="I595">
        <v>900</v>
      </c>
    </row>
    <row r="596" spans="1:9" x14ac:dyDescent="0.3">
      <c r="A596">
        <v>593</v>
      </c>
      <c r="B596" s="24">
        <v>44058</v>
      </c>
      <c r="C596" t="s">
        <v>81</v>
      </c>
      <c r="D596" t="s">
        <v>12</v>
      </c>
      <c r="E596" t="s">
        <v>11</v>
      </c>
      <c r="F596">
        <v>1100</v>
      </c>
      <c r="G596">
        <v>1</v>
      </c>
      <c r="H596">
        <v>1100</v>
      </c>
      <c r="I596">
        <v>935</v>
      </c>
    </row>
    <row r="597" spans="1:9" x14ac:dyDescent="0.3">
      <c r="A597">
        <v>594</v>
      </c>
      <c r="B597" s="24">
        <v>44059</v>
      </c>
      <c r="C597" t="s">
        <v>81</v>
      </c>
      <c r="D597" t="s">
        <v>16</v>
      </c>
      <c r="E597" t="s">
        <v>17</v>
      </c>
      <c r="F597">
        <v>800</v>
      </c>
      <c r="G597">
        <v>1</v>
      </c>
      <c r="H597">
        <v>800</v>
      </c>
      <c r="I597">
        <v>800</v>
      </c>
    </row>
    <row r="598" spans="1:9" x14ac:dyDescent="0.3">
      <c r="A598">
        <v>595</v>
      </c>
      <c r="B598" s="24">
        <v>44060</v>
      </c>
      <c r="C598" t="s">
        <v>81</v>
      </c>
      <c r="D598" t="s">
        <v>15</v>
      </c>
      <c r="E598" t="s">
        <v>11</v>
      </c>
      <c r="F598">
        <v>1000</v>
      </c>
      <c r="G598">
        <v>1</v>
      </c>
      <c r="H598">
        <v>1000</v>
      </c>
      <c r="I598">
        <v>1000</v>
      </c>
    </row>
    <row r="599" spans="1:9" x14ac:dyDescent="0.3">
      <c r="A599">
        <v>596</v>
      </c>
      <c r="B599" s="24">
        <v>44061</v>
      </c>
      <c r="C599" t="s">
        <v>81</v>
      </c>
      <c r="D599" t="s">
        <v>16</v>
      </c>
      <c r="E599" t="s">
        <v>17</v>
      </c>
      <c r="F599">
        <v>800</v>
      </c>
      <c r="G599">
        <v>1</v>
      </c>
      <c r="H599">
        <v>800</v>
      </c>
      <c r="I599">
        <v>800</v>
      </c>
    </row>
    <row r="600" spans="1:9" x14ac:dyDescent="0.3">
      <c r="A600">
        <v>597</v>
      </c>
      <c r="B600" s="24">
        <v>44062</v>
      </c>
      <c r="C600" t="s">
        <v>81</v>
      </c>
      <c r="D600" t="s">
        <v>18</v>
      </c>
      <c r="E600" t="s">
        <v>17</v>
      </c>
      <c r="F600">
        <v>600</v>
      </c>
      <c r="G600">
        <v>1</v>
      </c>
      <c r="H600">
        <v>600</v>
      </c>
      <c r="I600">
        <v>600</v>
      </c>
    </row>
    <row r="601" spans="1:9" x14ac:dyDescent="0.3">
      <c r="A601">
        <v>598</v>
      </c>
      <c r="B601" s="24">
        <v>44063</v>
      </c>
      <c r="C601" t="s">
        <v>81</v>
      </c>
      <c r="D601" t="s">
        <v>12</v>
      </c>
      <c r="E601" t="s">
        <v>11</v>
      </c>
      <c r="F601">
        <v>900</v>
      </c>
      <c r="G601">
        <v>1</v>
      </c>
      <c r="H601">
        <v>900</v>
      </c>
      <c r="I601">
        <v>765</v>
      </c>
    </row>
    <row r="602" spans="1:9" x14ac:dyDescent="0.3">
      <c r="A602">
        <v>599</v>
      </c>
      <c r="B602" s="24">
        <v>44064</v>
      </c>
      <c r="C602" t="s">
        <v>81</v>
      </c>
      <c r="D602" t="s">
        <v>12</v>
      </c>
      <c r="E602" t="s">
        <v>11</v>
      </c>
      <c r="F602">
        <v>1100</v>
      </c>
      <c r="G602">
        <v>1</v>
      </c>
      <c r="H602">
        <v>1100</v>
      </c>
      <c r="I602">
        <v>935</v>
      </c>
    </row>
    <row r="603" spans="1:9" x14ac:dyDescent="0.3">
      <c r="A603">
        <v>600</v>
      </c>
      <c r="B603" s="24">
        <v>44065</v>
      </c>
      <c r="C603" t="s">
        <v>81</v>
      </c>
      <c r="D603" t="s">
        <v>15</v>
      </c>
      <c r="E603" t="s">
        <v>11</v>
      </c>
      <c r="F603">
        <v>1000</v>
      </c>
      <c r="G603">
        <v>1</v>
      </c>
      <c r="H603">
        <v>1000</v>
      </c>
      <c r="I603">
        <v>1000</v>
      </c>
    </row>
    <row r="604" spans="1:9" x14ac:dyDescent="0.3">
      <c r="A604">
        <v>601</v>
      </c>
      <c r="B604" s="24">
        <v>44066</v>
      </c>
      <c r="C604" t="s">
        <v>81</v>
      </c>
      <c r="D604" t="s">
        <v>12</v>
      </c>
      <c r="E604" t="s">
        <v>11</v>
      </c>
      <c r="F604">
        <v>900</v>
      </c>
      <c r="G604">
        <v>1</v>
      </c>
      <c r="H604">
        <v>900</v>
      </c>
      <c r="I604">
        <v>765</v>
      </c>
    </row>
    <row r="605" spans="1:9" x14ac:dyDescent="0.3">
      <c r="A605">
        <v>602</v>
      </c>
      <c r="B605" s="24">
        <v>44067</v>
      </c>
      <c r="C605" t="s">
        <v>81</v>
      </c>
      <c r="D605" t="s">
        <v>12</v>
      </c>
      <c r="E605" t="s">
        <v>11</v>
      </c>
      <c r="F605">
        <v>1100</v>
      </c>
      <c r="G605">
        <v>2</v>
      </c>
      <c r="H605">
        <v>2200</v>
      </c>
      <c r="I605">
        <v>1870</v>
      </c>
    </row>
    <row r="606" spans="1:9" x14ac:dyDescent="0.3">
      <c r="A606">
        <v>603</v>
      </c>
      <c r="B606" s="24">
        <v>44068</v>
      </c>
      <c r="C606" t="s">
        <v>81</v>
      </c>
      <c r="D606" t="s">
        <v>18</v>
      </c>
      <c r="E606" t="s">
        <v>17</v>
      </c>
      <c r="F606">
        <v>600</v>
      </c>
      <c r="G606">
        <v>1</v>
      </c>
      <c r="H606">
        <v>600</v>
      </c>
      <c r="I606">
        <v>600</v>
      </c>
    </row>
    <row r="607" spans="1:9" x14ac:dyDescent="0.3">
      <c r="A607">
        <v>604</v>
      </c>
      <c r="B607" s="24">
        <v>44069</v>
      </c>
      <c r="C607" t="s">
        <v>81</v>
      </c>
      <c r="D607" t="s">
        <v>18</v>
      </c>
      <c r="E607" t="s">
        <v>17</v>
      </c>
      <c r="F607">
        <v>600</v>
      </c>
      <c r="G607">
        <v>1</v>
      </c>
      <c r="H607">
        <v>600</v>
      </c>
      <c r="I607">
        <v>600</v>
      </c>
    </row>
    <row r="608" spans="1:9" x14ac:dyDescent="0.3">
      <c r="A608">
        <v>605</v>
      </c>
      <c r="B608" s="24">
        <v>44070</v>
      </c>
      <c r="C608" t="s">
        <v>81</v>
      </c>
      <c r="D608" t="s">
        <v>18</v>
      </c>
      <c r="E608" t="s">
        <v>17</v>
      </c>
      <c r="F608">
        <v>600</v>
      </c>
      <c r="G608">
        <v>1</v>
      </c>
      <c r="H608">
        <v>600</v>
      </c>
      <c r="I608">
        <v>600</v>
      </c>
    </row>
    <row r="609" spans="1:9" x14ac:dyDescent="0.3">
      <c r="A609">
        <v>606</v>
      </c>
      <c r="B609" s="24">
        <v>44071</v>
      </c>
      <c r="C609" t="s">
        <v>81</v>
      </c>
      <c r="D609" t="s">
        <v>12</v>
      </c>
      <c r="E609" t="s">
        <v>11</v>
      </c>
      <c r="F609">
        <v>900</v>
      </c>
      <c r="G609">
        <v>1</v>
      </c>
      <c r="H609">
        <v>900</v>
      </c>
      <c r="I609">
        <v>765</v>
      </c>
    </row>
    <row r="610" spans="1:9" x14ac:dyDescent="0.3">
      <c r="A610">
        <v>607</v>
      </c>
      <c r="B610" s="24">
        <v>44072</v>
      </c>
      <c r="C610" t="s">
        <v>81</v>
      </c>
      <c r="D610" t="s">
        <v>18</v>
      </c>
      <c r="E610" t="s">
        <v>17</v>
      </c>
      <c r="F610">
        <v>600</v>
      </c>
      <c r="G610">
        <v>1</v>
      </c>
      <c r="H610">
        <v>600</v>
      </c>
      <c r="I610">
        <v>600</v>
      </c>
    </row>
    <row r="611" spans="1:9" x14ac:dyDescent="0.3">
      <c r="A611">
        <v>608</v>
      </c>
      <c r="B611" s="24">
        <v>44073</v>
      </c>
      <c r="C611" t="s">
        <v>81</v>
      </c>
      <c r="D611" t="s">
        <v>18</v>
      </c>
      <c r="E611" t="s">
        <v>17</v>
      </c>
      <c r="F611">
        <v>600</v>
      </c>
      <c r="G611">
        <v>1</v>
      </c>
      <c r="H611">
        <v>600</v>
      </c>
      <c r="I611">
        <v>600</v>
      </c>
    </row>
    <row r="612" spans="1:9" x14ac:dyDescent="0.3">
      <c r="A612">
        <v>609</v>
      </c>
      <c r="B612" s="24">
        <v>44074</v>
      </c>
      <c r="C612" t="s">
        <v>81</v>
      </c>
      <c r="D612" t="s">
        <v>12</v>
      </c>
      <c r="E612" t="s">
        <v>11</v>
      </c>
      <c r="F612">
        <v>1100</v>
      </c>
      <c r="G612">
        <v>1</v>
      </c>
      <c r="H612">
        <v>1100</v>
      </c>
      <c r="I612">
        <v>935</v>
      </c>
    </row>
    <row r="613" spans="1:9" x14ac:dyDescent="0.3">
      <c r="A613">
        <v>610</v>
      </c>
      <c r="B613" s="24">
        <v>44075</v>
      </c>
      <c r="C613" t="s">
        <v>81</v>
      </c>
      <c r="D613" t="s">
        <v>14</v>
      </c>
      <c r="E613" t="s">
        <v>11</v>
      </c>
      <c r="F613">
        <v>900</v>
      </c>
      <c r="G613">
        <v>3</v>
      </c>
      <c r="H613">
        <v>2700</v>
      </c>
      <c r="I613">
        <v>2700</v>
      </c>
    </row>
    <row r="614" spans="1:9" x14ac:dyDescent="0.3">
      <c r="A614">
        <v>611</v>
      </c>
      <c r="B614" s="24">
        <v>44076</v>
      </c>
      <c r="C614" t="s">
        <v>81</v>
      </c>
      <c r="D614" t="s">
        <v>12</v>
      </c>
      <c r="E614" t="s">
        <v>11</v>
      </c>
      <c r="F614">
        <v>1100</v>
      </c>
      <c r="G614">
        <v>2</v>
      </c>
      <c r="H614">
        <v>2200</v>
      </c>
      <c r="I614">
        <v>1870</v>
      </c>
    </row>
    <row r="615" spans="1:9" x14ac:dyDescent="0.3">
      <c r="A615">
        <v>612</v>
      </c>
      <c r="B615" s="24">
        <v>44077</v>
      </c>
      <c r="C615" t="s">
        <v>81</v>
      </c>
      <c r="D615" t="s">
        <v>12</v>
      </c>
      <c r="E615" t="s">
        <v>11</v>
      </c>
      <c r="F615">
        <v>1100</v>
      </c>
      <c r="G615">
        <v>1</v>
      </c>
      <c r="H615">
        <v>1100</v>
      </c>
      <c r="I615">
        <v>935</v>
      </c>
    </row>
    <row r="616" spans="1:9" x14ac:dyDescent="0.3">
      <c r="A616">
        <v>613</v>
      </c>
      <c r="B616" s="24">
        <v>44078</v>
      </c>
      <c r="C616" t="s">
        <v>81</v>
      </c>
      <c r="D616" t="s">
        <v>18</v>
      </c>
      <c r="E616" t="s">
        <v>17</v>
      </c>
      <c r="F616">
        <v>600</v>
      </c>
      <c r="G616">
        <v>1</v>
      </c>
      <c r="H616">
        <v>600</v>
      </c>
      <c r="I616">
        <v>600</v>
      </c>
    </row>
    <row r="617" spans="1:9" x14ac:dyDescent="0.3">
      <c r="A617">
        <v>614</v>
      </c>
      <c r="B617" s="24">
        <v>44079</v>
      </c>
      <c r="C617" t="s">
        <v>81</v>
      </c>
      <c r="D617" t="s">
        <v>12</v>
      </c>
      <c r="E617" t="s">
        <v>11</v>
      </c>
      <c r="F617">
        <v>900</v>
      </c>
      <c r="G617">
        <v>1</v>
      </c>
      <c r="H617">
        <v>900</v>
      </c>
      <c r="I617">
        <v>765</v>
      </c>
    </row>
    <row r="618" spans="1:9" x14ac:dyDescent="0.3">
      <c r="A618">
        <v>615</v>
      </c>
      <c r="B618" s="24">
        <v>44080</v>
      </c>
      <c r="C618" t="s">
        <v>81</v>
      </c>
      <c r="D618" t="s">
        <v>18</v>
      </c>
      <c r="E618" t="s">
        <v>17</v>
      </c>
      <c r="F618">
        <v>600</v>
      </c>
      <c r="G618">
        <v>1</v>
      </c>
      <c r="H618">
        <v>600</v>
      </c>
      <c r="I618">
        <v>600</v>
      </c>
    </row>
    <row r="619" spans="1:9" x14ac:dyDescent="0.3">
      <c r="A619">
        <v>616</v>
      </c>
      <c r="B619" s="24">
        <v>44081</v>
      </c>
      <c r="C619" t="s">
        <v>81</v>
      </c>
      <c r="D619" t="s">
        <v>18</v>
      </c>
      <c r="E619" t="s">
        <v>17</v>
      </c>
      <c r="F619">
        <v>600</v>
      </c>
      <c r="G619">
        <v>1</v>
      </c>
      <c r="H619">
        <v>600</v>
      </c>
      <c r="I619">
        <v>600</v>
      </c>
    </row>
    <row r="620" spans="1:9" x14ac:dyDescent="0.3">
      <c r="A620">
        <v>617</v>
      </c>
      <c r="B620" s="24">
        <v>44082</v>
      </c>
      <c r="C620" t="s">
        <v>81</v>
      </c>
      <c r="D620" t="s">
        <v>12</v>
      </c>
      <c r="E620" t="s">
        <v>11</v>
      </c>
      <c r="F620">
        <v>900</v>
      </c>
      <c r="G620">
        <v>3</v>
      </c>
      <c r="H620">
        <v>2700</v>
      </c>
      <c r="I620">
        <v>2295</v>
      </c>
    </row>
    <row r="621" spans="1:9" x14ac:dyDescent="0.3">
      <c r="A621">
        <v>618</v>
      </c>
      <c r="B621" s="24">
        <v>44083</v>
      </c>
      <c r="C621" t="s">
        <v>81</v>
      </c>
      <c r="D621" t="s">
        <v>18</v>
      </c>
      <c r="E621" t="s">
        <v>17</v>
      </c>
      <c r="F621">
        <v>600</v>
      </c>
      <c r="G621">
        <v>1</v>
      </c>
      <c r="H621">
        <v>600</v>
      </c>
      <c r="I621">
        <v>600</v>
      </c>
    </row>
    <row r="622" spans="1:9" x14ac:dyDescent="0.3">
      <c r="A622">
        <v>619</v>
      </c>
      <c r="B622" s="24">
        <v>44084</v>
      </c>
      <c r="C622" t="s">
        <v>81</v>
      </c>
      <c r="D622" t="s">
        <v>16</v>
      </c>
      <c r="E622" t="s">
        <v>17</v>
      </c>
      <c r="F622">
        <v>800</v>
      </c>
      <c r="G622">
        <v>1</v>
      </c>
      <c r="H622">
        <v>800</v>
      </c>
      <c r="I622">
        <v>800</v>
      </c>
    </row>
    <row r="623" spans="1:9" x14ac:dyDescent="0.3">
      <c r="A623">
        <v>620</v>
      </c>
      <c r="B623" s="24">
        <v>44085</v>
      </c>
      <c r="C623" t="s">
        <v>81</v>
      </c>
      <c r="D623" t="s">
        <v>18</v>
      </c>
      <c r="E623" t="s">
        <v>17</v>
      </c>
      <c r="F623">
        <v>600</v>
      </c>
      <c r="G623">
        <v>1</v>
      </c>
      <c r="H623">
        <v>600</v>
      </c>
      <c r="I623">
        <v>600</v>
      </c>
    </row>
    <row r="624" spans="1:9" x14ac:dyDescent="0.3">
      <c r="A624">
        <v>621</v>
      </c>
      <c r="B624" s="24">
        <v>44086</v>
      </c>
      <c r="C624" t="s">
        <v>81</v>
      </c>
      <c r="D624" t="s">
        <v>12</v>
      </c>
      <c r="E624" t="s">
        <v>11</v>
      </c>
      <c r="F624">
        <v>1100</v>
      </c>
      <c r="G624">
        <v>1</v>
      </c>
      <c r="H624">
        <v>1100</v>
      </c>
      <c r="I624">
        <v>935</v>
      </c>
    </row>
    <row r="625" spans="1:9" x14ac:dyDescent="0.3">
      <c r="A625">
        <v>622</v>
      </c>
      <c r="B625" s="24">
        <v>44087</v>
      </c>
      <c r="C625" t="s">
        <v>81</v>
      </c>
      <c r="D625" t="s">
        <v>14</v>
      </c>
      <c r="E625" t="s">
        <v>11</v>
      </c>
      <c r="F625">
        <v>900</v>
      </c>
      <c r="G625">
        <v>1</v>
      </c>
      <c r="H625">
        <v>900</v>
      </c>
      <c r="I625">
        <v>900</v>
      </c>
    </row>
    <row r="626" spans="1:9" x14ac:dyDescent="0.3">
      <c r="A626">
        <v>623</v>
      </c>
      <c r="B626" s="24">
        <v>44088</v>
      </c>
      <c r="C626" t="s">
        <v>81</v>
      </c>
      <c r="D626" t="s">
        <v>12</v>
      </c>
      <c r="E626" t="s">
        <v>11</v>
      </c>
      <c r="F626">
        <v>1100</v>
      </c>
      <c r="G626">
        <v>1</v>
      </c>
      <c r="H626">
        <v>1100</v>
      </c>
      <c r="I626">
        <v>935</v>
      </c>
    </row>
    <row r="627" spans="1:9" x14ac:dyDescent="0.3">
      <c r="A627">
        <v>624</v>
      </c>
      <c r="B627" s="24">
        <v>44089</v>
      </c>
      <c r="C627" t="s">
        <v>81</v>
      </c>
      <c r="D627" t="s">
        <v>12</v>
      </c>
      <c r="E627" t="s">
        <v>11</v>
      </c>
      <c r="F627">
        <v>1100</v>
      </c>
      <c r="G627">
        <v>1</v>
      </c>
      <c r="H627">
        <v>1100</v>
      </c>
      <c r="I627">
        <v>935</v>
      </c>
    </row>
    <row r="628" spans="1:9" x14ac:dyDescent="0.3">
      <c r="A628">
        <v>625</v>
      </c>
      <c r="B628" s="24">
        <v>44090</v>
      </c>
      <c r="C628" t="s">
        <v>81</v>
      </c>
      <c r="D628" t="s">
        <v>12</v>
      </c>
      <c r="E628" t="s">
        <v>11</v>
      </c>
      <c r="F628">
        <v>1100</v>
      </c>
      <c r="G628">
        <v>1</v>
      </c>
      <c r="H628">
        <v>1100</v>
      </c>
      <c r="I628">
        <v>935</v>
      </c>
    </row>
    <row r="629" spans="1:9" x14ac:dyDescent="0.3">
      <c r="A629">
        <v>626</v>
      </c>
      <c r="B629" s="24">
        <v>44091</v>
      </c>
      <c r="C629" t="s">
        <v>81</v>
      </c>
      <c r="D629" t="s">
        <v>15</v>
      </c>
      <c r="E629" t="s">
        <v>11</v>
      </c>
      <c r="F629">
        <v>1000</v>
      </c>
      <c r="G629">
        <v>1</v>
      </c>
      <c r="H629">
        <v>1000</v>
      </c>
      <c r="I629">
        <v>1000</v>
      </c>
    </row>
    <row r="630" spans="1:9" x14ac:dyDescent="0.3">
      <c r="A630">
        <v>627</v>
      </c>
      <c r="B630" s="24">
        <v>44092</v>
      </c>
      <c r="C630" t="s">
        <v>81</v>
      </c>
      <c r="D630" t="s">
        <v>18</v>
      </c>
      <c r="E630" t="s">
        <v>17</v>
      </c>
      <c r="F630">
        <v>600</v>
      </c>
      <c r="G630">
        <v>1</v>
      </c>
      <c r="H630">
        <v>600</v>
      </c>
      <c r="I630">
        <v>600</v>
      </c>
    </row>
    <row r="631" spans="1:9" x14ac:dyDescent="0.3">
      <c r="A631">
        <v>628</v>
      </c>
      <c r="B631" s="24">
        <v>44093</v>
      </c>
      <c r="C631" t="s">
        <v>81</v>
      </c>
      <c r="D631" t="s">
        <v>16</v>
      </c>
      <c r="E631" t="s">
        <v>17</v>
      </c>
      <c r="F631">
        <v>800</v>
      </c>
      <c r="G631">
        <v>1</v>
      </c>
      <c r="H631">
        <v>800</v>
      </c>
      <c r="I631">
        <v>800</v>
      </c>
    </row>
    <row r="632" spans="1:9" x14ac:dyDescent="0.3">
      <c r="A632">
        <v>629</v>
      </c>
      <c r="B632" s="24">
        <v>44094</v>
      </c>
      <c r="C632" t="s">
        <v>81</v>
      </c>
      <c r="D632" t="s">
        <v>12</v>
      </c>
      <c r="E632" t="s">
        <v>11</v>
      </c>
      <c r="F632">
        <v>1100</v>
      </c>
      <c r="G632">
        <v>1</v>
      </c>
      <c r="H632">
        <v>1100</v>
      </c>
      <c r="I632">
        <v>935</v>
      </c>
    </row>
    <row r="633" spans="1:9" x14ac:dyDescent="0.3">
      <c r="A633">
        <v>630</v>
      </c>
      <c r="B633" s="24">
        <v>44095</v>
      </c>
      <c r="C633" t="s">
        <v>81</v>
      </c>
      <c r="D633" t="s">
        <v>18</v>
      </c>
      <c r="E633" t="s">
        <v>17</v>
      </c>
      <c r="F633">
        <v>600</v>
      </c>
      <c r="G633">
        <v>1</v>
      </c>
      <c r="H633">
        <v>600</v>
      </c>
      <c r="I633">
        <v>600</v>
      </c>
    </row>
    <row r="634" spans="1:9" x14ac:dyDescent="0.3">
      <c r="A634">
        <v>631</v>
      </c>
      <c r="B634" s="24">
        <v>44096</v>
      </c>
      <c r="C634" t="s">
        <v>81</v>
      </c>
      <c r="D634" t="s">
        <v>19</v>
      </c>
      <c r="E634" t="s">
        <v>20</v>
      </c>
      <c r="F634">
        <v>850</v>
      </c>
      <c r="G634">
        <v>1</v>
      </c>
      <c r="H634">
        <v>850</v>
      </c>
      <c r="I634">
        <v>850</v>
      </c>
    </row>
    <row r="635" spans="1:9" x14ac:dyDescent="0.3">
      <c r="A635">
        <v>632</v>
      </c>
      <c r="B635" s="24">
        <v>44097</v>
      </c>
      <c r="C635" t="s">
        <v>81</v>
      </c>
      <c r="D635" t="s">
        <v>14</v>
      </c>
      <c r="E635" t="s">
        <v>11</v>
      </c>
      <c r="F635">
        <v>900</v>
      </c>
      <c r="G635">
        <v>1</v>
      </c>
      <c r="H635">
        <v>900</v>
      </c>
      <c r="I635">
        <v>900</v>
      </c>
    </row>
    <row r="636" spans="1:9" x14ac:dyDescent="0.3">
      <c r="A636">
        <v>633</v>
      </c>
      <c r="B636" s="24">
        <v>44098</v>
      </c>
      <c r="C636" t="s">
        <v>81</v>
      </c>
      <c r="D636" t="s">
        <v>15</v>
      </c>
      <c r="E636" t="s">
        <v>11</v>
      </c>
      <c r="F636">
        <v>1000</v>
      </c>
      <c r="G636">
        <v>1</v>
      </c>
      <c r="H636">
        <v>1000</v>
      </c>
      <c r="I636">
        <v>1000</v>
      </c>
    </row>
    <row r="637" spans="1:9" x14ac:dyDescent="0.3">
      <c r="A637">
        <v>634</v>
      </c>
      <c r="B637" s="24">
        <v>44099</v>
      </c>
      <c r="C637" t="s">
        <v>81</v>
      </c>
      <c r="D637" t="s">
        <v>19</v>
      </c>
      <c r="E637" t="s">
        <v>20</v>
      </c>
      <c r="F637">
        <v>850</v>
      </c>
      <c r="G637">
        <v>1</v>
      </c>
      <c r="H637">
        <v>850</v>
      </c>
      <c r="I637">
        <v>850</v>
      </c>
    </row>
    <row r="638" spans="1:9" x14ac:dyDescent="0.3">
      <c r="A638">
        <v>635</v>
      </c>
      <c r="B638" s="24">
        <v>44100</v>
      </c>
      <c r="C638" t="s">
        <v>81</v>
      </c>
      <c r="D638" t="s">
        <v>19</v>
      </c>
      <c r="E638" t="s">
        <v>20</v>
      </c>
      <c r="F638">
        <v>850</v>
      </c>
      <c r="G638">
        <v>1</v>
      </c>
      <c r="H638">
        <v>850</v>
      </c>
      <c r="I638">
        <v>850</v>
      </c>
    </row>
    <row r="639" spans="1:9" x14ac:dyDescent="0.3">
      <c r="A639">
        <v>636</v>
      </c>
      <c r="B639" s="24">
        <v>44101</v>
      </c>
      <c r="C639" t="s">
        <v>81</v>
      </c>
      <c r="D639" t="s">
        <v>15</v>
      </c>
      <c r="E639" t="s">
        <v>11</v>
      </c>
      <c r="F639">
        <v>1000</v>
      </c>
      <c r="G639">
        <v>1</v>
      </c>
      <c r="H639">
        <v>1000</v>
      </c>
      <c r="I639">
        <v>1000</v>
      </c>
    </row>
    <row r="640" spans="1:9" x14ac:dyDescent="0.3">
      <c r="A640">
        <v>637</v>
      </c>
      <c r="B640" s="24">
        <v>44102</v>
      </c>
      <c r="C640" t="s">
        <v>81</v>
      </c>
      <c r="D640" t="s">
        <v>16</v>
      </c>
      <c r="E640" t="s">
        <v>17</v>
      </c>
      <c r="F640">
        <v>800</v>
      </c>
      <c r="G640">
        <v>1</v>
      </c>
      <c r="H640">
        <v>800</v>
      </c>
      <c r="I640">
        <v>800</v>
      </c>
    </row>
    <row r="641" spans="1:9" x14ac:dyDescent="0.3">
      <c r="A641">
        <v>638</v>
      </c>
      <c r="B641" s="24">
        <v>44103</v>
      </c>
      <c r="C641" t="s">
        <v>81</v>
      </c>
      <c r="D641" t="s">
        <v>12</v>
      </c>
      <c r="E641" t="s">
        <v>11</v>
      </c>
      <c r="F641">
        <v>1100</v>
      </c>
      <c r="G641">
        <v>1</v>
      </c>
      <c r="H641">
        <v>1100</v>
      </c>
      <c r="I641">
        <v>935</v>
      </c>
    </row>
    <row r="642" spans="1:9" x14ac:dyDescent="0.3">
      <c r="A642">
        <v>639</v>
      </c>
      <c r="B642" s="24">
        <v>44104</v>
      </c>
      <c r="C642" t="s">
        <v>81</v>
      </c>
      <c r="D642" t="s">
        <v>12</v>
      </c>
      <c r="E642" t="s">
        <v>11</v>
      </c>
      <c r="F642">
        <v>1100</v>
      </c>
      <c r="G642">
        <v>1</v>
      </c>
      <c r="H642">
        <v>1100</v>
      </c>
      <c r="I642">
        <v>935</v>
      </c>
    </row>
    <row r="643" spans="1:9" x14ac:dyDescent="0.3">
      <c r="A643">
        <v>640</v>
      </c>
      <c r="B643" s="24">
        <v>44105</v>
      </c>
      <c r="C643" t="s">
        <v>81</v>
      </c>
      <c r="D643" t="s">
        <v>12</v>
      </c>
      <c r="E643" t="s">
        <v>11</v>
      </c>
      <c r="F643">
        <v>1100</v>
      </c>
      <c r="G643">
        <v>1</v>
      </c>
      <c r="H643">
        <v>1100</v>
      </c>
      <c r="I643">
        <v>935</v>
      </c>
    </row>
    <row r="644" spans="1:9" x14ac:dyDescent="0.3">
      <c r="A644">
        <v>641</v>
      </c>
      <c r="B644" s="24">
        <v>44106</v>
      </c>
      <c r="C644" t="s">
        <v>81</v>
      </c>
      <c r="D644" t="s">
        <v>12</v>
      </c>
      <c r="E644" t="s">
        <v>11</v>
      </c>
      <c r="F644">
        <v>1100</v>
      </c>
      <c r="G644">
        <v>1</v>
      </c>
      <c r="H644">
        <v>1100</v>
      </c>
      <c r="I644">
        <v>935</v>
      </c>
    </row>
    <row r="645" spans="1:9" x14ac:dyDescent="0.3">
      <c r="A645">
        <v>642</v>
      </c>
      <c r="B645" s="24">
        <v>44107</v>
      </c>
      <c r="C645" t="s">
        <v>81</v>
      </c>
      <c r="D645" t="s">
        <v>12</v>
      </c>
      <c r="E645" t="s">
        <v>11</v>
      </c>
      <c r="F645">
        <v>1100</v>
      </c>
      <c r="G645">
        <v>1</v>
      </c>
      <c r="H645">
        <v>1100</v>
      </c>
      <c r="I645">
        <v>935</v>
      </c>
    </row>
    <row r="646" spans="1:9" x14ac:dyDescent="0.3">
      <c r="A646">
        <v>643</v>
      </c>
      <c r="B646" s="24">
        <v>44108</v>
      </c>
      <c r="C646" t="s">
        <v>81</v>
      </c>
      <c r="D646" t="s">
        <v>12</v>
      </c>
      <c r="E646" t="s">
        <v>11</v>
      </c>
      <c r="F646">
        <v>1100</v>
      </c>
      <c r="G646">
        <v>1</v>
      </c>
      <c r="H646">
        <v>1100</v>
      </c>
      <c r="I646">
        <v>935</v>
      </c>
    </row>
    <row r="647" spans="1:9" x14ac:dyDescent="0.3">
      <c r="A647">
        <v>644</v>
      </c>
      <c r="B647" s="24">
        <v>44109</v>
      </c>
      <c r="C647" t="s">
        <v>81</v>
      </c>
      <c r="D647" t="s">
        <v>12</v>
      </c>
      <c r="E647" t="s">
        <v>11</v>
      </c>
      <c r="F647">
        <v>1100</v>
      </c>
      <c r="G647">
        <v>2</v>
      </c>
      <c r="H647">
        <v>2200</v>
      </c>
      <c r="I647">
        <v>1870</v>
      </c>
    </row>
    <row r="648" spans="1:9" x14ac:dyDescent="0.3">
      <c r="A648">
        <v>645</v>
      </c>
      <c r="B648" s="24">
        <v>44110</v>
      </c>
      <c r="C648" t="s">
        <v>81</v>
      </c>
      <c r="D648" t="s">
        <v>12</v>
      </c>
      <c r="E648" t="s">
        <v>11</v>
      </c>
      <c r="F648">
        <v>1100</v>
      </c>
      <c r="G648">
        <v>1</v>
      </c>
      <c r="H648">
        <v>1100</v>
      </c>
      <c r="I648">
        <v>935</v>
      </c>
    </row>
    <row r="649" spans="1:9" x14ac:dyDescent="0.3">
      <c r="A649">
        <v>646</v>
      </c>
      <c r="B649" s="24">
        <v>44111</v>
      </c>
      <c r="C649" t="s">
        <v>81</v>
      </c>
      <c r="D649" t="s">
        <v>12</v>
      </c>
      <c r="E649" t="s">
        <v>11</v>
      </c>
      <c r="F649">
        <v>1100</v>
      </c>
      <c r="G649">
        <v>1</v>
      </c>
      <c r="H649">
        <v>1100</v>
      </c>
      <c r="I649">
        <v>935</v>
      </c>
    </row>
    <row r="650" spans="1:9" x14ac:dyDescent="0.3">
      <c r="A650">
        <v>647</v>
      </c>
      <c r="B650" s="24">
        <v>44112</v>
      </c>
      <c r="C650" t="s">
        <v>81</v>
      </c>
      <c r="D650" t="s">
        <v>12</v>
      </c>
      <c r="E650" t="s">
        <v>11</v>
      </c>
      <c r="F650">
        <v>900</v>
      </c>
      <c r="G650">
        <v>1</v>
      </c>
      <c r="H650">
        <v>900</v>
      </c>
      <c r="I650">
        <v>765</v>
      </c>
    </row>
    <row r="651" spans="1:9" x14ac:dyDescent="0.3">
      <c r="A651">
        <v>648</v>
      </c>
      <c r="B651" s="24">
        <v>44113</v>
      </c>
      <c r="C651" t="s">
        <v>81</v>
      </c>
      <c r="D651" t="s">
        <v>12</v>
      </c>
      <c r="E651" t="s">
        <v>11</v>
      </c>
      <c r="F651">
        <v>900</v>
      </c>
      <c r="G651">
        <v>1</v>
      </c>
      <c r="H651">
        <v>900</v>
      </c>
      <c r="I651">
        <v>765</v>
      </c>
    </row>
    <row r="652" spans="1:9" x14ac:dyDescent="0.3">
      <c r="A652">
        <v>649</v>
      </c>
      <c r="B652" s="24">
        <v>44114</v>
      </c>
      <c r="C652" t="s">
        <v>81</v>
      </c>
      <c r="D652" t="s">
        <v>12</v>
      </c>
      <c r="E652" t="s">
        <v>11</v>
      </c>
      <c r="F652">
        <v>900</v>
      </c>
      <c r="G652">
        <v>1</v>
      </c>
      <c r="H652">
        <v>900</v>
      </c>
      <c r="I652">
        <v>765</v>
      </c>
    </row>
    <row r="653" spans="1:9" x14ac:dyDescent="0.3">
      <c r="A653">
        <v>650</v>
      </c>
      <c r="B653" s="24">
        <v>44115</v>
      </c>
      <c r="C653" t="s">
        <v>81</v>
      </c>
      <c r="D653" t="s">
        <v>12</v>
      </c>
      <c r="E653" t="s">
        <v>11</v>
      </c>
      <c r="F653">
        <v>900</v>
      </c>
      <c r="G653">
        <v>2</v>
      </c>
      <c r="H653">
        <v>1800</v>
      </c>
      <c r="I653">
        <v>1530</v>
      </c>
    </row>
    <row r="654" spans="1:9" x14ac:dyDescent="0.3">
      <c r="A654">
        <v>651</v>
      </c>
      <c r="B654" s="24">
        <v>44116</v>
      </c>
      <c r="C654" t="s">
        <v>81</v>
      </c>
      <c r="D654" t="s">
        <v>12</v>
      </c>
      <c r="E654" t="s">
        <v>11</v>
      </c>
      <c r="F654">
        <v>900</v>
      </c>
      <c r="G654">
        <v>1</v>
      </c>
      <c r="H654">
        <v>900</v>
      </c>
      <c r="I654">
        <v>765</v>
      </c>
    </row>
    <row r="655" spans="1:9" x14ac:dyDescent="0.3">
      <c r="A655">
        <v>652</v>
      </c>
      <c r="B655" s="24">
        <v>44117</v>
      </c>
      <c r="C655" t="s">
        <v>81</v>
      </c>
      <c r="D655" t="s">
        <v>12</v>
      </c>
      <c r="E655" t="s">
        <v>11</v>
      </c>
      <c r="F655">
        <v>900</v>
      </c>
      <c r="G655">
        <v>1</v>
      </c>
      <c r="H655">
        <v>900</v>
      </c>
      <c r="I655">
        <v>765</v>
      </c>
    </row>
    <row r="656" spans="1:9" x14ac:dyDescent="0.3">
      <c r="A656">
        <v>653</v>
      </c>
      <c r="B656" s="24">
        <v>44118</v>
      </c>
      <c r="C656" t="s">
        <v>81</v>
      </c>
      <c r="D656" t="s">
        <v>12</v>
      </c>
      <c r="E656" t="s">
        <v>11</v>
      </c>
      <c r="F656">
        <v>1100</v>
      </c>
      <c r="G656">
        <v>1</v>
      </c>
      <c r="H656">
        <v>1100</v>
      </c>
      <c r="I656">
        <v>935</v>
      </c>
    </row>
    <row r="657" spans="1:9" x14ac:dyDescent="0.3">
      <c r="A657">
        <v>654</v>
      </c>
      <c r="B657" s="24">
        <v>44119</v>
      </c>
      <c r="C657" t="s">
        <v>81</v>
      </c>
      <c r="D657" t="s">
        <v>12</v>
      </c>
      <c r="E657" t="s">
        <v>11</v>
      </c>
      <c r="F657">
        <v>900</v>
      </c>
      <c r="G657">
        <v>1</v>
      </c>
      <c r="H657">
        <v>900</v>
      </c>
      <c r="I657">
        <v>765</v>
      </c>
    </row>
    <row r="658" spans="1:9" x14ac:dyDescent="0.3">
      <c r="A658">
        <v>655</v>
      </c>
      <c r="B658" s="24">
        <v>44120</v>
      </c>
      <c r="C658" t="s">
        <v>81</v>
      </c>
      <c r="D658" t="s">
        <v>12</v>
      </c>
      <c r="E658" t="s">
        <v>11</v>
      </c>
      <c r="F658">
        <v>1100</v>
      </c>
      <c r="G658">
        <v>2</v>
      </c>
      <c r="H658">
        <v>2200</v>
      </c>
      <c r="I658">
        <v>1870</v>
      </c>
    </row>
    <row r="659" spans="1:9" x14ac:dyDescent="0.3">
      <c r="A659">
        <v>656</v>
      </c>
      <c r="B659" s="24">
        <v>44121</v>
      </c>
      <c r="C659" t="s">
        <v>81</v>
      </c>
      <c r="D659" t="s">
        <v>12</v>
      </c>
      <c r="E659" t="s">
        <v>11</v>
      </c>
      <c r="F659">
        <v>1100</v>
      </c>
      <c r="G659">
        <v>1</v>
      </c>
      <c r="H659">
        <v>1100</v>
      </c>
      <c r="I659">
        <v>935</v>
      </c>
    </row>
    <row r="660" spans="1:9" x14ac:dyDescent="0.3">
      <c r="A660">
        <v>657</v>
      </c>
      <c r="B660" s="24">
        <v>44122</v>
      </c>
      <c r="C660" t="s">
        <v>81</v>
      </c>
      <c r="D660" t="s">
        <v>12</v>
      </c>
      <c r="E660" t="s">
        <v>11</v>
      </c>
      <c r="F660">
        <v>900</v>
      </c>
      <c r="G660">
        <v>1</v>
      </c>
      <c r="H660">
        <v>900</v>
      </c>
      <c r="I660">
        <v>765</v>
      </c>
    </row>
    <row r="661" spans="1:9" x14ac:dyDescent="0.3">
      <c r="A661">
        <v>658</v>
      </c>
      <c r="B661" s="24">
        <v>44123</v>
      </c>
      <c r="C661" t="s">
        <v>81</v>
      </c>
      <c r="D661" t="s">
        <v>12</v>
      </c>
      <c r="E661" t="s">
        <v>11</v>
      </c>
      <c r="F661">
        <v>900</v>
      </c>
      <c r="G661">
        <v>1</v>
      </c>
      <c r="H661">
        <v>900</v>
      </c>
      <c r="I661">
        <v>765</v>
      </c>
    </row>
    <row r="662" spans="1:9" x14ac:dyDescent="0.3">
      <c r="A662">
        <v>659</v>
      </c>
      <c r="B662" s="24">
        <v>44124</v>
      </c>
      <c r="C662" t="s">
        <v>81</v>
      </c>
      <c r="D662" t="s">
        <v>14</v>
      </c>
      <c r="E662" t="s">
        <v>11</v>
      </c>
      <c r="F662">
        <v>900</v>
      </c>
      <c r="G662">
        <v>1</v>
      </c>
      <c r="H662">
        <v>900</v>
      </c>
      <c r="I662">
        <v>900</v>
      </c>
    </row>
    <row r="663" spans="1:9" x14ac:dyDescent="0.3">
      <c r="A663">
        <v>660</v>
      </c>
      <c r="B663" s="24">
        <v>44125</v>
      </c>
      <c r="C663" t="s">
        <v>81</v>
      </c>
      <c r="D663" t="s">
        <v>12</v>
      </c>
      <c r="E663" t="s">
        <v>11</v>
      </c>
      <c r="F663">
        <v>1100</v>
      </c>
      <c r="G663">
        <v>1</v>
      </c>
      <c r="H663">
        <v>1100</v>
      </c>
      <c r="I663">
        <v>935</v>
      </c>
    </row>
    <row r="664" spans="1:9" x14ac:dyDescent="0.3">
      <c r="A664">
        <v>661</v>
      </c>
      <c r="B664" s="24">
        <v>44126</v>
      </c>
      <c r="C664" t="s">
        <v>81</v>
      </c>
      <c r="D664" t="s">
        <v>12</v>
      </c>
      <c r="E664" t="s">
        <v>11</v>
      </c>
      <c r="F664">
        <v>1100</v>
      </c>
      <c r="G664">
        <v>1</v>
      </c>
      <c r="H664">
        <v>1100</v>
      </c>
      <c r="I664">
        <v>935</v>
      </c>
    </row>
    <row r="665" spans="1:9" x14ac:dyDescent="0.3">
      <c r="A665">
        <v>662</v>
      </c>
      <c r="B665" s="24">
        <v>44127</v>
      </c>
      <c r="C665" t="s">
        <v>81</v>
      </c>
      <c r="D665" t="s">
        <v>14</v>
      </c>
      <c r="E665" t="s">
        <v>11</v>
      </c>
      <c r="F665">
        <v>900</v>
      </c>
      <c r="G665">
        <v>1</v>
      </c>
      <c r="H665">
        <v>900</v>
      </c>
      <c r="I665">
        <v>900</v>
      </c>
    </row>
    <row r="666" spans="1:9" x14ac:dyDescent="0.3">
      <c r="A666">
        <v>663</v>
      </c>
      <c r="B666" s="24">
        <v>44128</v>
      </c>
      <c r="C666" t="s">
        <v>81</v>
      </c>
      <c r="D666" t="s">
        <v>12</v>
      </c>
      <c r="E666" t="s">
        <v>11</v>
      </c>
      <c r="F666">
        <v>900</v>
      </c>
      <c r="G666">
        <v>1</v>
      </c>
      <c r="H666">
        <v>900</v>
      </c>
      <c r="I666">
        <v>765</v>
      </c>
    </row>
    <row r="667" spans="1:9" x14ac:dyDescent="0.3">
      <c r="A667">
        <v>664</v>
      </c>
      <c r="B667" s="24">
        <v>44129</v>
      </c>
      <c r="C667" t="s">
        <v>81</v>
      </c>
      <c r="D667" t="s">
        <v>14</v>
      </c>
      <c r="E667" t="s">
        <v>11</v>
      </c>
      <c r="F667">
        <v>900</v>
      </c>
      <c r="G667">
        <v>1</v>
      </c>
      <c r="H667">
        <v>900</v>
      </c>
      <c r="I667">
        <v>900</v>
      </c>
    </row>
    <row r="668" spans="1:9" x14ac:dyDescent="0.3">
      <c r="A668">
        <v>665</v>
      </c>
      <c r="B668" s="24">
        <v>44130</v>
      </c>
      <c r="C668" t="s">
        <v>81</v>
      </c>
      <c r="D668" t="s">
        <v>12</v>
      </c>
      <c r="E668" t="s">
        <v>11</v>
      </c>
      <c r="F668">
        <v>1100</v>
      </c>
      <c r="G668">
        <v>1</v>
      </c>
      <c r="H668">
        <v>1100</v>
      </c>
      <c r="I668">
        <v>935</v>
      </c>
    </row>
    <row r="669" spans="1:9" x14ac:dyDescent="0.3">
      <c r="A669">
        <v>666</v>
      </c>
      <c r="B669" s="24">
        <v>44131</v>
      </c>
      <c r="C669" t="s">
        <v>81</v>
      </c>
      <c r="D669" t="s">
        <v>12</v>
      </c>
      <c r="E669" t="s">
        <v>11</v>
      </c>
      <c r="F669">
        <v>1100</v>
      </c>
      <c r="G669">
        <v>1</v>
      </c>
      <c r="H669">
        <v>1100</v>
      </c>
      <c r="I669">
        <v>935</v>
      </c>
    </row>
    <row r="670" spans="1:9" x14ac:dyDescent="0.3">
      <c r="A670">
        <v>667</v>
      </c>
      <c r="B670" s="24">
        <v>44132</v>
      </c>
      <c r="C670" t="s">
        <v>81</v>
      </c>
      <c r="D670" t="s">
        <v>14</v>
      </c>
      <c r="E670" t="s">
        <v>11</v>
      </c>
      <c r="F670">
        <v>900</v>
      </c>
      <c r="G670">
        <v>1</v>
      </c>
      <c r="H670">
        <v>900</v>
      </c>
      <c r="I670">
        <v>900</v>
      </c>
    </row>
    <row r="671" spans="1:9" x14ac:dyDescent="0.3">
      <c r="A671">
        <v>668</v>
      </c>
      <c r="B671" s="24">
        <v>44133</v>
      </c>
      <c r="C671" t="s">
        <v>81</v>
      </c>
      <c r="D671" t="s">
        <v>14</v>
      </c>
      <c r="E671" t="s">
        <v>11</v>
      </c>
      <c r="F671">
        <v>900</v>
      </c>
      <c r="G671">
        <v>1</v>
      </c>
      <c r="H671">
        <v>900</v>
      </c>
      <c r="I671">
        <v>900</v>
      </c>
    </row>
    <row r="672" spans="1:9" x14ac:dyDescent="0.3">
      <c r="A672">
        <v>669</v>
      </c>
      <c r="B672" s="24">
        <v>44134</v>
      </c>
      <c r="C672" t="s">
        <v>81</v>
      </c>
      <c r="D672" t="s">
        <v>14</v>
      </c>
      <c r="E672" t="s">
        <v>11</v>
      </c>
      <c r="F672">
        <v>900</v>
      </c>
      <c r="G672">
        <v>1</v>
      </c>
      <c r="H672">
        <v>900</v>
      </c>
      <c r="I672">
        <v>900</v>
      </c>
    </row>
    <row r="673" spans="1:9" x14ac:dyDescent="0.3">
      <c r="A673">
        <v>670</v>
      </c>
      <c r="B673" s="24">
        <v>44135</v>
      </c>
      <c r="C673" t="s">
        <v>81</v>
      </c>
      <c r="D673" t="s">
        <v>14</v>
      </c>
      <c r="E673" t="s">
        <v>11</v>
      </c>
      <c r="F673">
        <v>900</v>
      </c>
      <c r="G673">
        <v>1</v>
      </c>
      <c r="H673">
        <v>900</v>
      </c>
      <c r="I673">
        <v>900</v>
      </c>
    </row>
    <row r="674" spans="1:9" x14ac:dyDescent="0.3">
      <c r="A674">
        <v>671</v>
      </c>
      <c r="B674" s="24">
        <v>44136</v>
      </c>
      <c r="C674" t="s">
        <v>81</v>
      </c>
      <c r="D674" t="s">
        <v>14</v>
      </c>
      <c r="E674" t="s">
        <v>11</v>
      </c>
      <c r="F674">
        <v>900</v>
      </c>
      <c r="G674">
        <v>1</v>
      </c>
      <c r="H674">
        <v>900</v>
      </c>
      <c r="I674">
        <v>900</v>
      </c>
    </row>
    <row r="675" spans="1:9" x14ac:dyDescent="0.3">
      <c r="A675">
        <v>672</v>
      </c>
      <c r="B675" s="24">
        <v>44137</v>
      </c>
      <c r="C675" t="s">
        <v>81</v>
      </c>
      <c r="D675" t="s">
        <v>12</v>
      </c>
      <c r="E675" t="s">
        <v>11</v>
      </c>
      <c r="F675">
        <v>900</v>
      </c>
      <c r="G675">
        <v>1</v>
      </c>
      <c r="H675">
        <v>900</v>
      </c>
      <c r="I675">
        <v>765</v>
      </c>
    </row>
    <row r="676" spans="1:9" x14ac:dyDescent="0.3">
      <c r="A676">
        <v>673</v>
      </c>
      <c r="B676" s="24">
        <v>44138</v>
      </c>
      <c r="C676" t="s">
        <v>81</v>
      </c>
      <c r="D676" t="s">
        <v>12</v>
      </c>
      <c r="E676" t="s">
        <v>11</v>
      </c>
      <c r="F676">
        <v>900</v>
      </c>
      <c r="G676">
        <v>1</v>
      </c>
      <c r="H676">
        <v>900</v>
      </c>
      <c r="I676">
        <v>765</v>
      </c>
    </row>
    <row r="677" spans="1:9" x14ac:dyDescent="0.3">
      <c r="A677">
        <v>674</v>
      </c>
      <c r="B677" s="24">
        <v>44139</v>
      </c>
      <c r="C677" t="s">
        <v>81</v>
      </c>
      <c r="D677" t="s">
        <v>12</v>
      </c>
      <c r="E677" t="s">
        <v>11</v>
      </c>
      <c r="F677">
        <v>900</v>
      </c>
      <c r="G677">
        <v>1</v>
      </c>
      <c r="H677">
        <v>900</v>
      </c>
      <c r="I677">
        <v>765</v>
      </c>
    </row>
    <row r="678" spans="1:9" x14ac:dyDescent="0.3">
      <c r="A678">
        <v>675</v>
      </c>
      <c r="B678" s="24">
        <v>44140</v>
      </c>
      <c r="C678" t="s">
        <v>81</v>
      </c>
      <c r="D678" t="s">
        <v>12</v>
      </c>
      <c r="E678" t="s">
        <v>11</v>
      </c>
      <c r="F678">
        <v>1100</v>
      </c>
      <c r="G678">
        <v>1</v>
      </c>
      <c r="H678">
        <v>1100</v>
      </c>
      <c r="I678">
        <v>935</v>
      </c>
    </row>
    <row r="679" spans="1:9" x14ac:dyDescent="0.3">
      <c r="A679">
        <v>676</v>
      </c>
      <c r="B679" s="24">
        <v>44141</v>
      </c>
      <c r="C679" t="s">
        <v>81</v>
      </c>
      <c r="D679" t="s">
        <v>12</v>
      </c>
      <c r="E679" t="s">
        <v>11</v>
      </c>
      <c r="F679">
        <v>1100</v>
      </c>
      <c r="G679">
        <v>1</v>
      </c>
      <c r="H679">
        <v>1100</v>
      </c>
      <c r="I679">
        <v>935</v>
      </c>
    </row>
    <row r="680" spans="1:9" x14ac:dyDescent="0.3">
      <c r="A680">
        <v>677</v>
      </c>
      <c r="B680" s="24">
        <v>44142</v>
      </c>
      <c r="C680" t="s">
        <v>81</v>
      </c>
      <c r="D680" t="s">
        <v>15</v>
      </c>
      <c r="E680" t="s">
        <v>11</v>
      </c>
      <c r="F680">
        <v>1000</v>
      </c>
      <c r="G680">
        <v>1</v>
      </c>
      <c r="H680">
        <v>1000</v>
      </c>
      <c r="I680">
        <v>1000</v>
      </c>
    </row>
    <row r="681" spans="1:9" x14ac:dyDescent="0.3">
      <c r="A681">
        <v>678</v>
      </c>
      <c r="B681" s="24">
        <v>44143</v>
      </c>
      <c r="C681" t="s">
        <v>81</v>
      </c>
      <c r="D681" t="s">
        <v>15</v>
      </c>
      <c r="E681" t="s">
        <v>11</v>
      </c>
      <c r="F681">
        <v>1000</v>
      </c>
      <c r="G681">
        <v>1</v>
      </c>
      <c r="H681">
        <v>1000</v>
      </c>
      <c r="I681">
        <v>1000</v>
      </c>
    </row>
    <row r="682" spans="1:9" x14ac:dyDescent="0.3">
      <c r="A682">
        <v>679</v>
      </c>
      <c r="B682" s="24">
        <v>44144</v>
      </c>
      <c r="C682" t="s">
        <v>81</v>
      </c>
      <c r="D682" t="s">
        <v>12</v>
      </c>
      <c r="E682" t="s">
        <v>11</v>
      </c>
      <c r="F682">
        <v>1100</v>
      </c>
      <c r="G682">
        <v>1</v>
      </c>
      <c r="H682">
        <v>1100</v>
      </c>
      <c r="I682">
        <v>935</v>
      </c>
    </row>
    <row r="683" spans="1:9" x14ac:dyDescent="0.3">
      <c r="A683">
        <v>680</v>
      </c>
      <c r="B683" s="24">
        <v>44145</v>
      </c>
      <c r="C683" t="s">
        <v>81</v>
      </c>
      <c r="D683" t="s">
        <v>15</v>
      </c>
      <c r="E683" t="s">
        <v>11</v>
      </c>
      <c r="F683">
        <v>1000</v>
      </c>
      <c r="G683">
        <v>1</v>
      </c>
      <c r="H683">
        <v>1000</v>
      </c>
      <c r="I683">
        <v>1000</v>
      </c>
    </row>
    <row r="684" spans="1:9" x14ac:dyDescent="0.3">
      <c r="A684">
        <v>681</v>
      </c>
      <c r="B684" s="24">
        <v>44146</v>
      </c>
      <c r="C684" t="s">
        <v>81</v>
      </c>
      <c r="D684" t="s">
        <v>12</v>
      </c>
      <c r="E684" t="s">
        <v>11</v>
      </c>
      <c r="F684">
        <v>900</v>
      </c>
      <c r="G684">
        <v>1</v>
      </c>
      <c r="H684">
        <v>900</v>
      </c>
      <c r="I684">
        <v>765</v>
      </c>
    </row>
    <row r="685" spans="1:9" x14ac:dyDescent="0.3">
      <c r="A685">
        <v>682</v>
      </c>
      <c r="B685" s="24">
        <v>44147</v>
      </c>
      <c r="C685" t="s">
        <v>81</v>
      </c>
      <c r="D685" t="s">
        <v>12</v>
      </c>
      <c r="E685" t="s">
        <v>11</v>
      </c>
      <c r="F685">
        <v>900</v>
      </c>
      <c r="G685">
        <v>2</v>
      </c>
      <c r="H685">
        <v>1800</v>
      </c>
      <c r="I685">
        <v>1530</v>
      </c>
    </row>
    <row r="686" spans="1:9" x14ac:dyDescent="0.3">
      <c r="A686">
        <v>683</v>
      </c>
      <c r="B686" s="24">
        <v>44148</v>
      </c>
      <c r="C686" t="s">
        <v>81</v>
      </c>
      <c r="D686" t="s">
        <v>12</v>
      </c>
      <c r="E686" t="s">
        <v>11</v>
      </c>
      <c r="F686">
        <v>1100</v>
      </c>
      <c r="G686">
        <v>1</v>
      </c>
      <c r="H686">
        <v>1100</v>
      </c>
      <c r="I686">
        <v>935</v>
      </c>
    </row>
    <row r="687" spans="1:9" x14ac:dyDescent="0.3">
      <c r="A687">
        <v>684</v>
      </c>
      <c r="B687" s="24">
        <v>44149</v>
      </c>
      <c r="C687" t="s">
        <v>81</v>
      </c>
      <c r="D687" t="s">
        <v>12</v>
      </c>
      <c r="E687" t="s">
        <v>11</v>
      </c>
      <c r="F687">
        <v>900</v>
      </c>
      <c r="G687">
        <v>1</v>
      </c>
      <c r="H687">
        <v>900</v>
      </c>
      <c r="I687">
        <v>765</v>
      </c>
    </row>
    <row r="688" spans="1:9" x14ac:dyDescent="0.3">
      <c r="A688">
        <v>685</v>
      </c>
      <c r="B688" s="24">
        <v>44150</v>
      </c>
      <c r="C688" t="s">
        <v>81</v>
      </c>
      <c r="D688" t="s">
        <v>12</v>
      </c>
      <c r="E688" t="s">
        <v>11</v>
      </c>
      <c r="F688">
        <v>1100</v>
      </c>
      <c r="G688">
        <v>1</v>
      </c>
      <c r="H688">
        <v>1100</v>
      </c>
      <c r="I688">
        <v>935</v>
      </c>
    </row>
    <row r="689" spans="1:9" x14ac:dyDescent="0.3">
      <c r="A689">
        <v>686</v>
      </c>
      <c r="B689" s="24">
        <v>44151</v>
      </c>
      <c r="C689" t="s">
        <v>81</v>
      </c>
      <c r="D689" t="s">
        <v>16</v>
      </c>
      <c r="E689" t="s">
        <v>17</v>
      </c>
      <c r="F689">
        <v>800</v>
      </c>
      <c r="G689">
        <v>1</v>
      </c>
      <c r="H689">
        <v>800</v>
      </c>
      <c r="I689">
        <v>800</v>
      </c>
    </row>
    <row r="690" spans="1:9" x14ac:dyDescent="0.3">
      <c r="A690">
        <v>687</v>
      </c>
      <c r="B690" s="24">
        <v>44152</v>
      </c>
      <c r="C690" t="s">
        <v>81</v>
      </c>
      <c r="D690" t="s">
        <v>16</v>
      </c>
      <c r="E690" t="s">
        <v>17</v>
      </c>
      <c r="F690">
        <v>800</v>
      </c>
      <c r="G690">
        <v>2</v>
      </c>
      <c r="H690">
        <v>1600</v>
      </c>
      <c r="I690">
        <v>1600</v>
      </c>
    </row>
    <row r="691" spans="1:9" x14ac:dyDescent="0.3">
      <c r="A691">
        <v>688</v>
      </c>
      <c r="B691" s="24">
        <v>44153</v>
      </c>
      <c r="C691" t="s">
        <v>81</v>
      </c>
      <c r="D691" t="s">
        <v>14</v>
      </c>
      <c r="E691" t="s">
        <v>11</v>
      </c>
      <c r="F691">
        <v>900</v>
      </c>
      <c r="G691">
        <v>1</v>
      </c>
      <c r="H691">
        <v>900</v>
      </c>
      <c r="I691">
        <v>900</v>
      </c>
    </row>
    <row r="692" spans="1:9" x14ac:dyDescent="0.3">
      <c r="A692">
        <v>689</v>
      </c>
      <c r="B692" s="24">
        <v>44154</v>
      </c>
      <c r="C692" t="s">
        <v>81</v>
      </c>
      <c r="D692" t="s">
        <v>12</v>
      </c>
      <c r="E692" t="s">
        <v>11</v>
      </c>
      <c r="F692">
        <v>1100</v>
      </c>
      <c r="G692">
        <v>1</v>
      </c>
      <c r="H692">
        <v>1100</v>
      </c>
      <c r="I692">
        <v>935</v>
      </c>
    </row>
    <row r="693" spans="1:9" x14ac:dyDescent="0.3">
      <c r="A693">
        <v>690</v>
      </c>
      <c r="B693" s="24">
        <v>44155</v>
      </c>
      <c r="C693" t="s">
        <v>81</v>
      </c>
      <c r="D693" t="s">
        <v>16</v>
      </c>
      <c r="E693" t="s">
        <v>17</v>
      </c>
      <c r="F693">
        <v>800</v>
      </c>
      <c r="G693">
        <v>1</v>
      </c>
      <c r="H693">
        <v>800</v>
      </c>
      <c r="I693">
        <v>800</v>
      </c>
    </row>
    <row r="694" spans="1:9" x14ac:dyDescent="0.3">
      <c r="A694">
        <v>691</v>
      </c>
      <c r="B694" s="24">
        <v>44156</v>
      </c>
      <c r="C694" t="s">
        <v>81</v>
      </c>
      <c r="D694" t="s">
        <v>15</v>
      </c>
      <c r="E694" t="s">
        <v>11</v>
      </c>
      <c r="F694">
        <v>1000</v>
      </c>
      <c r="G694">
        <v>1</v>
      </c>
      <c r="H694">
        <v>1000</v>
      </c>
      <c r="I694">
        <v>1000</v>
      </c>
    </row>
    <row r="695" spans="1:9" x14ac:dyDescent="0.3">
      <c r="A695">
        <v>692</v>
      </c>
      <c r="B695" s="24">
        <v>44157</v>
      </c>
      <c r="C695" t="s">
        <v>81</v>
      </c>
      <c r="D695" t="s">
        <v>16</v>
      </c>
      <c r="E695" t="s">
        <v>17</v>
      </c>
      <c r="F695">
        <v>800</v>
      </c>
      <c r="G695">
        <v>1</v>
      </c>
      <c r="H695">
        <v>800</v>
      </c>
      <c r="I695">
        <v>800</v>
      </c>
    </row>
    <row r="696" spans="1:9" x14ac:dyDescent="0.3">
      <c r="A696">
        <v>693</v>
      </c>
      <c r="B696" s="24">
        <v>44158</v>
      </c>
      <c r="C696" t="s">
        <v>81</v>
      </c>
      <c r="D696" t="s">
        <v>18</v>
      </c>
      <c r="E696" t="s">
        <v>17</v>
      </c>
      <c r="F696">
        <v>600</v>
      </c>
      <c r="G696">
        <v>1</v>
      </c>
      <c r="H696">
        <v>600</v>
      </c>
      <c r="I696">
        <v>600</v>
      </c>
    </row>
    <row r="697" spans="1:9" x14ac:dyDescent="0.3">
      <c r="A697">
        <v>694</v>
      </c>
      <c r="B697" s="24">
        <v>44159</v>
      </c>
      <c r="C697" t="s">
        <v>81</v>
      </c>
      <c r="D697" t="s">
        <v>12</v>
      </c>
      <c r="E697" t="s">
        <v>11</v>
      </c>
      <c r="F697">
        <v>900</v>
      </c>
      <c r="G697">
        <v>1</v>
      </c>
      <c r="H697">
        <v>900</v>
      </c>
      <c r="I697">
        <v>765</v>
      </c>
    </row>
    <row r="698" spans="1:9" x14ac:dyDescent="0.3">
      <c r="A698">
        <v>695</v>
      </c>
      <c r="B698" s="24">
        <v>44160</v>
      </c>
      <c r="C698" t="s">
        <v>81</v>
      </c>
      <c r="D698" t="s">
        <v>12</v>
      </c>
      <c r="E698" t="s">
        <v>11</v>
      </c>
      <c r="F698">
        <v>1100</v>
      </c>
      <c r="G698">
        <v>1</v>
      </c>
      <c r="H698">
        <v>1100</v>
      </c>
      <c r="I698">
        <v>935</v>
      </c>
    </row>
    <row r="699" spans="1:9" x14ac:dyDescent="0.3">
      <c r="A699">
        <v>696</v>
      </c>
      <c r="B699" s="24">
        <v>44161</v>
      </c>
      <c r="C699" t="s">
        <v>81</v>
      </c>
      <c r="D699" t="s">
        <v>15</v>
      </c>
      <c r="E699" t="s">
        <v>11</v>
      </c>
      <c r="F699">
        <v>1000</v>
      </c>
      <c r="G699">
        <v>1</v>
      </c>
      <c r="H699">
        <v>1000</v>
      </c>
      <c r="I699">
        <v>1000</v>
      </c>
    </row>
    <row r="700" spans="1:9" x14ac:dyDescent="0.3">
      <c r="A700">
        <v>697</v>
      </c>
      <c r="B700" s="24">
        <v>44162</v>
      </c>
      <c r="C700" t="s">
        <v>81</v>
      </c>
      <c r="D700" t="s">
        <v>12</v>
      </c>
      <c r="E700" t="s">
        <v>11</v>
      </c>
      <c r="F700">
        <v>900</v>
      </c>
      <c r="G700">
        <v>1</v>
      </c>
      <c r="H700">
        <v>900</v>
      </c>
      <c r="I700">
        <v>765</v>
      </c>
    </row>
    <row r="701" spans="1:9" x14ac:dyDescent="0.3">
      <c r="A701">
        <v>698</v>
      </c>
      <c r="B701" s="24">
        <v>44163</v>
      </c>
      <c r="C701" t="s">
        <v>81</v>
      </c>
      <c r="D701" t="s">
        <v>12</v>
      </c>
      <c r="E701" t="s">
        <v>11</v>
      </c>
      <c r="F701">
        <v>1100</v>
      </c>
      <c r="G701">
        <v>2</v>
      </c>
      <c r="H701">
        <v>2200</v>
      </c>
      <c r="I701">
        <v>1870</v>
      </c>
    </row>
    <row r="702" spans="1:9" x14ac:dyDescent="0.3">
      <c r="A702">
        <v>699</v>
      </c>
      <c r="B702" s="24">
        <v>44164</v>
      </c>
      <c r="C702" t="s">
        <v>81</v>
      </c>
      <c r="D702" t="s">
        <v>18</v>
      </c>
      <c r="E702" t="s">
        <v>17</v>
      </c>
      <c r="F702">
        <v>600</v>
      </c>
      <c r="G702">
        <v>1</v>
      </c>
      <c r="H702">
        <v>600</v>
      </c>
      <c r="I702">
        <v>600</v>
      </c>
    </row>
    <row r="703" spans="1:9" x14ac:dyDescent="0.3">
      <c r="A703">
        <v>700</v>
      </c>
      <c r="B703" s="24">
        <v>44165</v>
      </c>
      <c r="C703" t="s">
        <v>81</v>
      </c>
      <c r="D703" t="s">
        <v>18</v>
      </c>
      <c r="E703" t="s">
        <v>17</v>
      </c>
      <c r="F703">
        <v>600</v>
      </c>
      <c r="G703">
        <v>1</v>
      </c>
      <c r="H703">
        <v>600</v>
      </c>
      <c r="I703">
        <v>600</v>
      </c>
    </row>
    <row r="704" spans="1:9" x14ac:dyDescent="0.3">
      <c r="A704">
        <v>701</v>
      </c>
      <c r="B704" s="24">
        <v>44166</v>
      </c>
      <c r="C704" t="s">
        <v>81</v>
      </c>
      <c r="D704" t="s">
        <v>18</v>
      </c>
      <c r="E704" t="s">
        <v>17</v>
      </c>
      <c r="F704">
        <v>600</v>
      </c>
      <c r="G704">
        <v>1</v>
      </c>
      <c r="H704">
        <v>600</v>
      </c>
      <c r="I704">
        <v>600</v>
      </c>
    </row>
    <row r="705" spans="1:9" x14ac:dyDescent="0.3">
      <c r="A705">
        <v>702</v>
      </c>
      <c r="B705" s="24">
        <v>44167</v>
      </c>
      <c r="C705" t="s">
        <v>81</v>
      </c>
      <c r="D705" t="s">
        <v>12</v>
      </c>
      <c r="E705" t="s">
        <v>11</v>
      </c>
      <c r="F705">
        <v>900</v>
      </c>
      <c r="G705">
        <v>1</v>
      </c>
      <c r="H705">
        <v>900</v>
      </c>
      <c r="I705">
        <v>765</v>
      </c>
    </row>
    <row r="706" spans="1:9" x14ac:dyDescent="0.3">
      <c r="A706">
        <v>703</v>
      </c>
      <c r="B706" s="24">
        <v>44168</v>
      </c>
      <c r="C706" t="s">
        <v>81</v>
      </c>
      <c r="D706" t="s">
        <v>18</v>
      </c>
      <c r="E706" t="s">
        <v>17</v>
      </c>
      <c r="F706">
        <v>600</v>
      </c>
      <c r="G706">
        <v>1</v>
      </c>
      <c r="H706">
        <v>600</v>
      </c>
      <c r="I706">
        <v>600</v>
      </c>
    </row>
    <row r="707" spans="1:9" x14ac:dyDescent="0.3">
      <c r="A707">
        <v>704</v>
      </c>
      <c r="B707" s="24">
        <v>44169</v>
      </c>
      <c r="C707" t="s">
        <v>81</v>
      </c>
      <c r="D707" t="s">
        <v>18</v>
      </c>
      <c r="E707" t="s">
        <v>17</v>
      </c>
      <c r="F707">
        <v>600</v>
      </c>
      <c r="G707">
        <v>1</v>
      </c>
      <c r="H707">
        <v>600</v>
      </c>
      <c r="I707">
        <v>600</v>
      </c>
    </row>
    <row r="708" spans="1:9" x14ac:dyDescent="0.3">
      <c r="A708">
        <v>705</v>
      </c>
      <c r="B708" s="24">
        <v>44170</v>
      </c>
      <c r="C708" t="s">
        <v>81</v>
      </c>
      <c r="D708" t="s">
        <v>12</v>
      </c>
      <c r="E708" t="s">
        <v>11</v>
      </c>
      <c r="F708">
        <v>1100</v>
      </c>
      <c r="G708">
        <v>1</v>
      </c>
      <c r="H708">
        <v>1100</v>
      </c>
      <c r="I708">
        <v>935</v>
      </c>
    </row>
    <row r="709" spans="1:9" x14ac:dyDescent="0.3">
      <c r="A709">
        <v>706</v>
      </c>
      <c r="B709" s="24">
        <v>44171</v>
      </c>
      <c r="C709" t="s">
        <v>81</v>
      </c>
      <c r="D709" t="s">
        <v>14</v>
      </c>
      <c r="E709" t="s">
        <v>11</v>
      </c>
      <c r="F709">
        <v>900</v>
      </c>
      <c r="G709">
        <v>3</v>
      </c>
      <c r="H709">
        <v>2700</v>
      </c>
      <c r="I709">
        <v>2700</v>
      </c>
    </row>
    <row r="710" spans="1:9" x14ac:dyDescent="0.3">
      <c r="A710">
        <v>707</v>
      </c>
      <c r="B710" s="24">
        <v>44172</v>
      </c>
      <c r="C710" t="s">
        <v>81</v>
      </c>
      <c r="D710" t="s">
        <v>10</v>
      </c>
      <c r="E710" t="s">
        <v>11</v>
      </c>
      <c r="F710">
        <v>1100</v>
      </c>
      <c r="G710">
        <v>2</v>
      </c>
      <c r="H710">
        <v>2200</v>
      </c>
      <c r="I710">
        <v>2200</v>
      </c>
    </row>
    <row r="711" spans="1:9" x14ac:dyDescent="0.3">
      <c r="A711">
        <v>708</v>
      </c>
      <c r="B711" s="24">
        <v>44173</v>
      </c>
      <c r="C711" t="s">
        <v>81</v>
      </c>
      <c r="D711" t="s">
        <v>10</v>
      </c>
      <c r="E711" t="s">
        <v>11</v>
      </c>
      <c r="F711">
        <v>1100</v>
      </c>
      <c r="G711">
        <v>1</v>
      </c>
      <c r="H711">
        <v>1100</v>
      </c>
      <c r="I711">
        <v>1100</v>
      </c>
    </row>
    <row r="712" spans="1:9" x14ac:dyDescent="0.3">
      <c r="A712">
        <v>709</v>
      </c>
      <c r="B712" s="24">
        <v>44174</v>
      </c>
      <c r="C712" t="s">
        <v>81</v>
      </c>
      <c r="D712" t="s">
        <v>18</v>
      </c>
      <c r="E712" t="s">
        <v>17</v>
      </c>
      <c r="F712">
        <v>600</v>
      </c>
      <c r="G712">
        <v>1</v>
      </c>
      <c r="H712">
        <v>600</v>
      </c>
      <c r="I712">
        <v>600</v>
      </c>
    </row>
    <row r="713" spans="1:9" x14ac:dyDescent="0.3">
      <c r="A713">
        <v>710</v>
      </c>
      <c r="B713" s="24">
        <v>44175</v>
      </c>
      <c r="C713" t="s">
        <v>81</v>
      </c>
      <c r="D713" t="s">
        <v>12</v>
      </c>
      <c r="E713" t="s">
        <v>11</v>
      </c>
      <c r="F713">
        <v>900</v>
      </c>
      <c r="G713">
        <v>1</v>
      </c>
      <c r="H713">
        <v>900</v>
      </c>
      <c r="I713">
        <v>765</v>
      </c>
    </row>
    <row r="714" spans="1:9" x14ac:dyDescent="0.3">
      <c r="A714">
        <v>711</v>
      </c>
      <c r="B714" s="24">
        <v>44176</v>
      </c>
      <c r="C714" t="s">
        <v>81</v>
      </c>
      <c r="D714" t="s">
        <v>18</v>
      </c>
      <c r="E714" t="s">
        <v>17</v>
      </c>
      <c r="F714">
        <v>600</v>
      </c>
      <c r="G714">
        <v>1</v>
      </c>
      <c r="H714">
        <v>600</v>
      </c>
      <c r="I714">
        <v>600</v>
      </c>
    </row>
    <row r="715" spans="1:9" x14ac:dyDescent="0.3">
      <c r="A715">
        <v>712</v>
      </c>
      <c r="B715" s="24">
        <v>44177</v>
      </c>
      <c r="C715" t="s">
        <v>81</v>
      </c>
      <c r="D715" t="s">
        <v>18</v>
      </c>
      <c r="E715" t="s">
        <v>17</v>
      </c>
      <c r="F715">
        <v>600</v>
      </c>
      <c r="G715">
        <v>1</v>
      </c>
      <c r="H715">
        <v>600</v>
      </c>
      <c r="I715">
        <v>600</v>
      </c>
    </row>
    <row r="716" spans="1:9" x14ac:dyDescent="0.3">
      <c r="A716">
        <v>713</v>
      </c>
      <c r="B716" s="24">
        <v>44178</v>
      </c>
      <c r="C716" t="s">
        <v>80</v>
      </c>
      <c r="D716" t="s">
        <v>12</v>
      </c>
      <c r="E716" t="s">
        <v>11</v>
      </c>
      <c r="F716">
        <v>900</v>
      </c>
      <c r="G716">
        <v>3</v>
      </c>
      <c r="H716">
        <v>2700</v>
      </c>
      <c r="I716">
        <v>2295</v>
      </c>
    </row>
    <row r="717" spans="1:9" x14ac:dyDescent="0.3">
      <c r="A717">
        <v>714</v>
      </c>
      <c r="B717" s="24">
        <v>44179</v>
      </c>
      <c r="C717" t="s">
        <v>80</v>
      </c>
      <c r="D717" t="s">
        <v>18</v>
      </c>
      <c r="E717" t="s">
        <v>17</v>
      </c>
      <c r="F717">
        <v>600</v>
      </c>
      <c r="G717">
        <v>1</v>
      </c>
      <c r="H717">
        <v>600</v>
      </c>
      <c r="I717">
        <v>600</v>
      </c>
    </row>
    <row r="718" spans="1:9" x14ac:dyDescent="0.3">
      <c r="A718">
        <v>715</v>
      </c>
      <c r="B718" s="24">
        <v>44180</v>
      </c>
      <c r="C718" t="s">
        <v>80</v>
      </c>
      <c r="D718" t="s">
        <v>16</v>
      </c>
      <c r="E718" t="s">
        <v>17</v>
      </c>
      <c r="F718">
        <v>800</v>
      </c>
      <c r="G718">
        <v>1</v>
      </c>
      <c r="H718">
        <v>800</v>
      </c>
      <c r="I718">
        <v>800</v>
      </c>
    </row>
    <row r="719" spans="1:9" x14ac:dyDescent="0.3">
      <c r="A719">
        <v>716</v>
      </c>
      <c r="B719" s="24">
        <v>44181</v>
      </c>
      <c r="C719" t="s">
        <v>80</v>
      </c>
      <c r="D719" t="s">
        <v>18</v>
      </c>
      <c r="E719" t="s">
        <v>17</v>
      </c>
      <c r="F719">
        <v>600</v>
      </c>
      <c r="G719">
        <v>1</v>
      </c>
      <c r="H719">
        <v>600</v>
      </c>
      <c r="I719">
        <v>600</v>
      </c>
    </row>
    <row r="720" spans="1:9" x14ac:dyDescent="0.3">
      <c r="A720">
        <v>717</v>
      </c>
      <c r="B720" s="24">
        <v>44182</v>
      </c>
      <c r="C720" t="s">
        <v>80</v>
      </c>
      <c r="D720" t="s">
        <v>10</v>
      </c>
      <c r="E720" t="s">
        <v>11</v>
      </c>
      <c r="F720">
        <v>1100</v>
      </c>
      <c r="G720">
        <v>1</v>
      </c>
      <c r="H720">
        <v>1100</v>
      </c>
      <c r="I720">
        <v>1100</v>
      </c>
    </row>
    <row r="721" spans="1:9" x14ac:dyDescent="0.3">
      <c r="A721">
        <v>718</v>
      </c>
      <c r="B721" s="24">
        <v>44183</v>
      </c>
      <c r="C721" t="s">
        <v>80</v>
      </c>
      <c r="D721" t="s">
        <v>14</v>
      </c>
      <c r="E721" t="s">
        <v>11</v>
      </c>
      <c r="F721">
        <v>900</v>
      </c>
      <c r="G721">
        <v>1</v>
      </c>
      <c r="H721">
        <v>900</v>
      </c>
      <c r="I721">
        <v>900</v>
      </c>
    </row>
    <row r="722" spans="1:9" x14ac:dyDescent="0.3">
      <c r="A722">
        <v>719</v>
      </c>
      <c r="B722" s="24">
        <v>44184</v>
      </c>
      <c r="C722" t="s">
        <v>80</v>
      </c>
      <c r="D722" t="s">
        <v>10</v>
      </c>
      <c r="E722" t="s">
        <v>11</v>
      </c>
      <c r="F722">
        <v>1100</v>
      </c>
      <c r="G722">
        <v>1</v>
      </c>
      <c r="H722">
        <v>1100</v>
      </c>
      <c r="I722">
        <v>1100</v>
      </c>
    </row>
    <row r="723" spans="1:9" x14ac:dyDescent="0.3">
      <c r="A723">
        <v>720</v>
      </c>
      <c r="B723" s="24">
        <v>44185</v>
      </c>
      <c r="C723" t="s">
        <v>80</v>
      </c>
      <c r="D723" t="s">
        <v>10</v>
      </c>
      <c r="E723" t="s">
        <v>11</v>
      </c>
      <c r="F723">
        <v>1100</v>
      </c>
      <c r="G723">
        <v>1</v>
      </c>
      <c r="H723">
        <v>1100</v>
      </c>
      <c r="I723">
        <v>1100</v>
      </c>
    </row>
    <row r="724" spans="1:9" x14ac:dyDescent="0.3">
      <c r="A724">
        <v>721</v>
      </c>
      <c r="B724" s="24">
        <v>44186</v>
      </c>
      <c r="C724" t="s">
        <v>80</v>
      </c>
      <c r="D724" t="s">
        <v>10</v>
      </c>
      <c r="E724" t="s">
        <v>11</v>
      </c>
      <c r="F724">
        <v>1100</v>
      </c>
      <c r="G724">
        <v>1</v>
      </c>
      <c r="H724">
        <v>1100</v>
      </c>
      <c r="I724">
        <v>1100</v>
      </c>
    </row>
    <row r="725" spans="1:9" x14ac:dyDescent="0.3">
      <c r="A725">
        <v>722</v>
      </c>
      <c r="B725" s="24">
        <v>44187</v>
      </c>
      <c r="C725" t="s">
        <v>81</v>
      </c>
      <c r="D725" t="s">
        <v>15</v>
      </c>
      <c r="E725" t="s">
        <v>11</v>
      </c>
      <c r="F725">
        <v>1000</v>
      </c>
      <c r="G725">
        <v>1</v>
      </c>
      <c r="H725">
        <v>1000</v>
      </c>
      <c r="I725">
        <v>1000</v>
      </c>
    </row>
    <row r="726" spans="1:9" x14ac:dyDescent="0.3">
      <c r="A726">
        <v>723</v>
      </c>
      <c r="B726" s="24">
        <v>44188</v>
      </c>
      <c r="C726" t="s">
        <v>81</v>
      </c>
      <c r="D726" t="s">
        <v>18</v>
      </c>
      <c r="E726" t="s">
        <v>17</v>
      </c>
      <c r="F726">
        <v>600</v>
      </c>
      <c r="G726">
        <v>1</v>
      </c>
      <c r="H726">
        <v>600</v>
      </c>
      <c r="I726">
        <v>600</v>
      </c>
    </row>
    <row r="727" spans="1:9" x14ac:dyDescent="0.3">
      <c r="A727">
        <v>724</v>
      </c>
      <c r="B727" s="24">
        <v>44189</v>
      </c>
      <c r="C727" t="s">
        <v>81</v>
      </c>
      <c r="D727" t="s">
        <v>16</v>
      </c>
      <c r="E727" t="s">
        <v>17</v>
      </c>
      <c r="F727">
        <v>800</v>
      </c>
      <c r="G727">
        <v>1</v>
      </c>
      <c r="H727">
        <v>800</v>
      </c>
      <c r="I727">
        <v>800</v>
      </c>
    </row>
    <row r="728" spans="1:9" x14ac:dyDescent="0.3">
      <c r="A728">
        <v>725</v>
      </c>
      <c r="B728" s="24">
        <v>44190</v>
      </c>
      <c r="C728" t="s">
        <v>81</v>
      </c>
      <c r="D728" t="s">
        <v>10</v>
      </c>
      <c r="E728" t="s">
        <v>11</v>
      </c>
      <c r="F728">
        <v>1100</v>
      </c>
      <c r="G728">
        <v>1</v>
      </c>
      <c r="H728">
        <v>1100</v>
      </c>
      <c r="I728">
        <v>1100</v>
      </c>
    </row>
    <row r="729" spans="1:9" x14ac:dyDescent="0.3">
      <c r="A729">
        <v>726</v>
      </c>
      <c r="B729" s="24">
        <v>44191</v>
      </c>
      <c r="C729" t="s">
        <v>81</v>
      </c>
      <c r="D729" t="s">
        <v>18</v>
      </c>
      <c r="E729" t="s">
        <v>17</v>
      </c>
      <c r="F729">
        <v>600</v>
      </c>
      <c r="G729">
        <v>1</v>
      </c>
      <c r="H729">
        <v>600</v>
      </c>
      <c r="I729">
        <v>600</v>
      </c>
    </row>
    <row r="730" spans="1:9" x14ac:dyDescent="0.3">
      <c r="A730">
        <v>727</v>
      </c>
      <c r="B730" s="24">
        <v>44192</v>
      </c>
      <c r="C730" t="s">
        <v>81</v>
      </c>
      <c r="D730" t="s">
        <v>19</v>
      </c>
      <c r="E730" t="s">
        <v>20</v>
      </c>
      <c r="F730">
        <v>850</v>
      </c>
      <c r="G730">
        <v>1</v>
      </c>
      <c r="H730">
        <v>850</v>
      </c>
      <c r="I730">
        <v>850</v>
      </c>
    </row>
    <row r="731" spans="1:9" x14ac:dyDescent="0.3">
      <c r="A731">
        <v>728</v>
      </c>
      <c r="B731" s="24">
        <v>44193</v>
      </c>
      <c r="C731" t="s">
        <v>81</v>
      </c>
      <c r="D731" t="s">
        <v>14</v>
      </c>
      <c r="E731" t="s">
        <v>11</v>
      </c>
      <c r="F731">
        <v>900</v>
      </c>
      <c r="G731">
        <v>1</v>
      </c>
      <c r="H731">
        <v>900</v>
      </c>
      <c r="I731">
        <v>900</v>
      </c>
    </row>
    <row r="732" spans="1:9" x14ac:dyDescent="0.3">
      <c r="A732">
        <v>729</v>
      </c>
      <c r="B732" s="24">
        <v>44194</v>
      </c>
      <c r="C732" t="s">
        <v>81</v>
      </c>
      <c r="D732" t="s">
        <v>15</v>
      </c>
      <c r="E732" t="s">
        <v>11</v>
      </c>
      <c r="F732">
        <v>1000</v>
      </c>
      <c r="G732">
        <v>1</v>
      </c>
      <c r="H732">
        <v>1000</v>
      </c>
      <c r="I732">
        <v>1000</v>
      </c>
    </row>
    <row r="733" spans="1:9" x14ac:dyDescent="0.3">
      <c r="A733">
        <v>730</v>
      </c>
      <c r="B733" s="24">
        <v>44195</v>
      </c>
      <c r="C733" t="s">
        <v>81</v>
      </c>
      <c r="D733" t="s">
        <v>19</v>
      </c>
      <c r="E733" t="s">
        <v>20</v>
      </c>
      <c r="F733">
        <v>850</v>
      </c>
      <c r="G733">
        <v>1</v>
      </c>
      <c r="H733">
        <v>850</v>
      </c>
      <c r="I733">
        <v>850</v>
      </c>
    </row>
    <row r="734" spans="1:9" x14ac:dyDescent="0.3">
      <c r="A734">
        <v>731</v>
      </c>
      <c r="B734" s="24">
        <v>44196</v>
      </c>
      <c r="C734" t="s">
        <v>81</v>
      </c>
      <c r="D734" t="s">
        <v>19</v>
      </c>
      <c r="E734" t="s">
        <v>20</v>
      </c>
      <c r="F734">
        <v>850</v>
      </c>
      <c r="G734">
        <v>1</v>
      </c>
      <c r="H734">
        <v>850</v>
      </c>
      <c r="I734">
        <v>850</v>
      </c>
    </row>
    <row r="735" spans="1:9" x14ac:dyDescent="0.3">
      <c r="A735">
        <v>732</v>
      </c>
      <c r="B735" s="24">
        <v>44197</v>
      </c>
      <c r="C735" t="s">
        <v>81</v>
      </c>
      <c r="D735" t="s">
        <v>15</v>
      </c>
      <c r="E735" t="s">
        <v>11</v>
      </c>
      <c r="F735">
        <v>1000</v>
      </c>
      <c r="G735">
        <v>1</v>
      </c>
      <c r="H735">
        <v>1000</v>
      </c>
      <c r="I735">
        <v>1000</v>
      </c>
    </row>
    <row r="736" spans="1:9" x14ac:dyDescent="0.3">
      <c r="A736">
        <v>733</v>
      </c>
      <c r="B736" s="24">
        <v>44198</v>
      </c>
      <c r="C736" t="s">
        <v>81</v>
      </c>
      <c r="D736" t="s">
        <v>16</v>
      </c>
      <c r="E736" t="s">
        <v>17</v>
      </c>
      <c r="F736">
        <v>800</v>
      </c>
      <c r="G736">
        <v>1</v>
      </c>
      <c r="H736">
        <v>800</v>
      </c>
      <c r="I736">
        <v>800</v>
      </c>
    </row>
    <row r="737" spans="1:9" x14ac:dyDescent="0.3">
      <c r="A737">
        <v>734</v>
      </c>
      <c r="B737" s="24">
        <v>44199</v>
      </c>
      <c r="C737" t="s">
        <v>81</v>
      </c>
      <c r="D737" t="s">
        <v>18</v>
      </c>
      <c r="E737" t="s">
        <v>17</v>
      </c>
      <c r="F737">
        <v>600</v>
      </c>
      <c r="G737">
        <v>1</v>
      </c>
      <c r="H737">
        <v>600</v>
      </c>
      <c r="I737">
        <v>600</v>
      </c>
    </row>
    <row r="738" spans="1:9" x14ac:dyDescent="0.3">
      <c r="A738">
        <v>735</v>
      </c>
      <c r="B738" s="24">
        <v>44200</v>
      </c>
      <c r="C738" t="s">
        <v>81</v>
      </c>
      <c r="D738" t="s">
        <v>16</v>
      </c>
      <c r="E738" t="s">
        <v>17</v>
      </c>
      <c r="F738">
        <v>800</v>
      </c>
      <c r="G738">
        <v>1</v>
      </c>
      <c r="H738">
        <v>800</v>
      </c>
      <c r="I738">
        <v>800</v>
      </c>
    </row>
    <row r="739" spans="1:9" x14ac:dyDescent="0.3">
      <c r="A739">
        <v>736</v>
      </c>
      <c r="B739" s="24">
        <v>44201</v>
      </c>
      <c r="C739" t="s">
        <v>81</v>
      </c>
      <c r="D739" t="s">
        <v>10</v>
      </c>
      <c r="E739" t="s">
        <v>11</v>
      </c>
      <c r="F739">
        <v>1100</v>
      </c>
      <c r="G739">
        <v>1</v>
      </c>
      <c r="H739">
        <v>1100</v>
      </c>
      <c r="I739">
        <v>1100</v>
      </c>
    </row>
    <row r="740" spans="1:9" x14ac:dyDescent="0.3">
      <c r="A740">
        <v>737</v>
      </c>
      <c r="B740" s="24">
        <v>44202</v>
      </c>
      <c r="C740" t="s">
        <v>81</v>
      </c>
      <c r="D740" t="s">
        <v>19</v>
      </c>
      <c r="E740" t="s">
        <v>20</v>
      </c>
      <c r="F740">
        <v>850</v>
      </c>
      <c r="G740">
        <v>1</v>
      </c>
      <c r="H740">
        <v>850</v>
      </c>
      <c r="I740">
        <v>850</v>
      </c>
    </row>
    <row r="741" spans="1:9" x14ac:dyDescent="0.3">
      <c r="A741">
        <v>738</v>
      </c>
      <c r="B741" s="24">
        <v>44203</v>
      </c>
      <c r="C741" t="s">
        <v>81</v>
      </c>
      <c r="D741" t="s">
        <v>19</v>
      </c>
      <c r="E741" t="s">
        <v>20</v>
      </c>
      <c r="F741">
        <v>850</v>
      </c>
      <c r="G741">
        <v>1</v>
      </c>
      <c r="H741">
        <v>850</v>
      </c>
      <c r="I741">
        <v>850</v>
      </c>
    </row>
    <row r="742" spans="1:9" x14ac:dyDescent="0.3">
      <c r="A742">
        <v>739</v>
      </c>
      <c r="B742" s="24">
        <v>44204</v>
      </c>
      <c r="C742" t="s">
        <v>81</v>
      </c>
      <c r="D742" t="s">
        <v>19</v>
      </c>
      <c r="E742" t="s">
        <v>20</v>
      </c>
      <c r="F742">
        <v>850</v>
      </c>
      <c r="G742">
        <v>1</v>
      </c>
      <c r="H742">
        <v>850</v>
      </c>
      <c r="I742">
        <v>850</v>
      </c>
    </row>
    <row r="743" spans="1:9" x14ac:dyDescent="0.3">
      <c r="A743">
        <v>740</v>
      </c>
      <c r="B743" s="24">
        <v>44205</v>
      </c>
      <c r="C743" t="s">
        <v>81</v>
      </c>
      <c r="D743" t="s">
        <v>18</v>
      </c>
      <c r="E743" t="s">
        <v>17</v>
      </c>
      <c r="F743">
        <v>600</v>
      </c>
      <c r="G743">
        <v>1</v>
      </c>
      <c r="H743">
        <v>600</v>
      </c>
      <c r="I743">
        <v>600</v>
      </c>
    </row>
    <row r="744" spans="1:9" x14ac:dyDescent="0.3">
      <c r="A744">
        <v>741</v>
      </c>
      <c r="B744" s="24">
        <v>44206</v>
      </c>
      <c r="C744" t="s">
        <v>81</v>
      </c>
      <c r="D744" t="s">
        <v>19</v>
      </c>
      <c r="E744" t="s">
        <v>20</v>
      </c>
      <c r="F744">
        <v>850</v>
      </c>
      <c r="G744">
        <v>1</v>
      </c>
      <c r="H744">
        <v>850</v>
      </c>
      <c r="I744">
        <v>850</v>
      </c>
    </row>
    <row r="745" spans="1:9" x14ac:dyDescent="0.3">
      <c r="A745">
        <v>742</v>
      </c>
      <c r="B745" s="24">
        <v>44207</v>
      </c>
      <c r="C745" t="s">
        <v>81</v>
      </c>
      <c r="D745" t="s">
        <v>19</v>
      </c>
      <c r="E745" t="s">
        <v>20</v>
      </c>
      <c r="F745">
        <v>850</v>
      </c>
      <c r="G745">
        <v>1</v>
      </c>
      <c r="H745">
        <v>850</v>
      </c>
      <c r="I745">
        <v>850</v>
      </c>
    </row>
    <row r="746" spans="1:9" x14ac:dyDescent="0.3">
      <c r="A746">
        <v>743</v>
      </c>
      <c r="B746" s="24">
        <v>44208</v>
      </c>
      <c r="C746" t="s">
        <v>81</v>
      </c>
      <c r="D746" t="s">
        <v>10</v>
      </c>
      <c r="E746" t="s">
        <v>11</v>
      </c>
      <c r="F746">
        <v>1100</v>
      </c>
      <c r="G746">
        <v>1</v>
      </c>
      <c r="H746">
        <v>1100</v>
      </c>
      <c r="I746">
        <v>1100</v>
      </c>
    </row>
    <row r="747" spans="1:9" x14ac:dyDescent="0.3">
      <c r="A747">
        <v>744</v>
      </c>
      <c r="B747" s="24">
        <v>44209</v>
      </c>
      <c r="C747" t="s">
        <v>81</v>
      </c>
      <c r="D747" t="s">
        <v>15</v>
      </c>
      <c r="E747" t="s">
        <v>11</v>
      </c>
      <c r="F747">
        <v>1000</v>
      </c>
      <c r="G747">
        <v>1</v>
      </c>
      <c r="H747">
        <v>1000</v>
      </c>
      <c r="I747">
        <v>1000</v>
      </c>
    </row>
    <row r="748" spans="1:9" x14ac:dyDescent="0.3">
      <c r="A748">
        <v>745</v>
      </c>
      <c r="B748" s="24">
        <v>44210</v>
      </c>
      <c r="C748" t="s">
        <v>81</v>
      </c>
      <c r="D748" t="s">
        <v>10</v>
      </c>
      <c r="E748" t="s">
        <v>11</v>
      </c>
      <c r="F748">
        <v>1100</v>
      </c>
      <c r="G748">
        <v>1</v>
      </c>
      <c r="H748">
        <v>1100</v>
      </c>
      <c r="I748">
        <v>1100</v>
      </c>
    </row>
    <row r="749" spans="1:9" x14ac:dyDescent="0.3">
      <c r="A749">
        <v>746</v>
      </c>
      <c r="B749" s="24">
        <v>44211</v>
      </c>
      <c r="C749" t="s">
        <v>81</v>
      </c>
      <c r="D749" t="s">
        <v>18</v>
      </c>
      <c r="E749" t="s">
        <v>17</v>
      </c>
      <c r="F749">
        <v>600</v>
      </c>
      <c r="G749">
        <v>1</v>
      </c>
      <c r="H749">
        <v>600</v>
      </c>
      <c r="I749">
        <v>600</v>
      </c>
    </row>
    <row r="750" spans="1:9" x14ac:dyDescent="0.3">
      <c r="A750">
        <v>747</v>
      </c>
      <c r="B750" s="24">
        <v>44212</v>
      </c>
      <c r="C750" t="s">
        <v>81</v>
      </c>
      <c r="D750" t="s">
        <v>18</v>
      </c>
      <c r="E750" t="s">
        <v>17</v>
      </c>
      <c r="F750">
        <v>600</v>
      </c>
      <c r="G750">
        <v>2</v>
      </c>
      <c r="H750">
        <v>1200</v>
      </c>
      <c r="I750">
        <v>1200</v>
      </c>
    </row>
    <row r="751" spans="1:9" x14ac:dyDescent="0.3">
      <c r="A751">
        <v>748</v>
      </c>
      <c r="B751" s="24">
        <v>44213</v>
      </c>
      <c r="C751" t="s">
        <v>81</v>
      </c>
      <c r="D751" t="s">
        <v>18</v>
      </c>
      <c r="E751" t="s">
        <v>17</v>
      </c>
      <c r="F751">
        <v>600</v>
      </c>
      <c r="G751">
        <v>1</v>
      </c>
      <c r="H751">
        <v>600</v>
      </c>
      <c r="I751">
        <v>600</v>
      </c>
    </row>
    <row r="752" spans="1:9" x14ac:dyDescent="0.3">
      <c r="A752">
        <v>749</v>
      </c>
      <c r="B752" s="24">
        <v>44214</v>
      </c>
      <c r="C752" t="s">
        <v>81</v>
      </c>
      <c r="D752" t="s">
        <v>18</v>
      </c>
      <c r="E752" t="s">
        <v>17</v>
      </c>
      <c r="F752">
        <v>600</v>
      </c>
      <c r="G752">
        <v>1</v>
      </c>
      <c r="H752">
        <v>600</v>
      </c>
      <c r="I752">
        <v>600</v>
      </c>
    </row>
    <row r="753" spans="1:9" x14ac:dyDescent="0.3">
      <c r="A753">
        <v>750</v>
      </c>
      <c r="B753" s="24">
        <v>44215</v>
      </c>
      <c r="C753" t="s">
        <v>81</v>
      </c>
      <c r="D753" t="s">
        <v>10</v>
      </c>
      <c r="E753" t="s">
        <v>11</v>
      </c>
      <c r="F753">
        <v>1100</v>
      </c>
      <c r="G753">
        <v>1</v>
      </c>
      <c r="H753">
        <v>1100</v>
      </c>
      <c r="I753">
        <v>1100</v>
      </c>
    </row>
    <row r="754" spans="1:9" x14ac:dyDescent="0.3">
      <c r="A754">
        <v>751</v>
      </c>
      <c r="B754" s="24">
        <v>44216</v>
      </c>
      <c r="C754" t="s">
        <v>81</v>
      </c>
      <c r="D754" t="s">
        <v>14</v>
      </c>
      <c r="E754" t="s">
        <v>11</v>
      </c>
      <c r="F754">
        <v>900</v>
      </c>
      <c r="G754">
        <v>1</v>
      </c>
      <c r="H754">
        <v>900</v>
      </c>
      <c r="I754">
        <v>900</v>
      </c>
    </row>
    <row r="755" spans="1:9" x14ac:dyDescent="0.3">
      <c r="A755">
        <v>752</v>
      </c>
      <c r="B755" s="24">
        <v>44217</v>
      </c>
      <c r="C755" t="s">
        <v>81</v>
      </c>
      <c r="D755" t="s">
        <v>18</v>
      </c>
      <c r="E755" t="s">
        <v>17</v>
      </c>
      <c r="F755">
        <v>600</v>
      </c>
      <c r="G755">
        <v>1</v>
      </c>
      <c r="H755">
        <v>600</v>
      </c>
      <c r="I755">
        <v>600</v>
      </c>
    </row>
    <row r="756" spans="1:9" x14ac:dyDescent="0.3">
      <c r="A756">
        <v>753</v>
      </c>
      <c r="B756" s="24">
        <v>44218</v>
      </c>
      <c r="C756" t="s">
        <v>81</v>
      </c>
      <c r="D756" t="s">
        <v>14</v>
      </c>
      <c r="E756" t="s">
        <v>11</v>
      </c>
      <c r="F756">
        <v>900</v>
      </c>
      <c r="G756">
        <v>1</v>
      </c>
      <c r="H756">
        <v>900</v>
      </c>
      <c r="I756">
        <v>900</v>
      </c>
    </row>
    <row r="757" spans="1:9" x14ac:dyDescent="0.3">
      <c r="A757">
        <v>754</v>
      </c>
      <c r="B757" s="24">
        <v>44219</v>
      </c>
      <c r="C757" t="s">
        <v>81</v>
      </c>
      <c r="D757" t="s">
        <v>12</v>
      </c>
      <c r="E757" t="s">
        <v>11</v>
      </c>
      <c r="F757">
        <v>900</v>
      </c>
      <c r="G757">
        <v>1</v>
      </c>
      <c r="H757">
        <v>900</v>
      </c>
      <c r="I757">
        <v>765</v>
      </c>
    </row>
    <row r="758" spans="1:9" x14ac:dyDescent="0.3">
      <c r="A758">
        <v>755</v>
      </c>
      <c r="B758" s="24">
        <v>44220</v>
      </c>
      <c r="C758" t="s">
        <v>81</v>
      </c>
      <c r="D758" t="s">
        <v>18</v>
      </c>
      <c r="E758" t="s">
        <v>17</v>
      </c>
      <c r="F758">
        <v>600</v>
      </c>
      <c r="G758">
        <v>1</v>
      </c>
      <c r="H758">
        <v>600</v>
      </c>
      <c r="I758">
        <v>600</v>
      </c>
    </row>
    <row r="759" spans="1:9" x14ac:dyDescent="0.3">
      <c r="A759">
        <v>756</v>
      </c>
      <c r="B759" s="24">
        <v>44221</v>
      </c>
      <c r="C759" t="s">
        <v>81</v>
      </c>
      <c r="D759" t="s">
        <v>18</v>
      </c>
      <c r="E759" t="s">
        <v>17</v>
      </c>
      <c r="F759">
        <v>600</v>
      </c>
      <c r="G759">
        <v>1</v>
      </c>
      <c r="H759">
        <v>600</v>
      </c>
      <c r="I759">
        <v>600</v>
      </c>
    </row>
    <row r="760" spans="1:9" x14ac:dyDescent="0.3">
      <c r="A760">
        <v>757</v>
      </c>
      <c r="B760" s="24">
        <v>44222</v>
      </c>
      <c r="C760" t="s">
        <v>81</v>
      </c>
      <c r="D760" t="s">
        <v>18</v>
      </c>
      <c r="E760" t="s">
        <v>17</v>
      </c>
      <c r="F760">
        <v>600</v>
      </c>
      <c r="G760">
        <v>1</v>
      </c>
      <c r="H760">
        <v>600</v>
      </c>
      <c r="I760">
        <v>600</v>
      </c>
    </row>
    <row r="761" spans="1:9" x14ac:dyDescent="0.3">
      <c r="A761">
        <v>758</v>
      </c>
      <c r="B761" s="24">
        <v>44223</v>
      </c>
      <c r="C761" t="s">
        <v>81</v>
      </c>
      <c r="D761" t="s">
        <v>10</v>
      </c>
      <c r="E761" t="s">
        <v>11</v>
      </c>
      <c r="F761">
        <v>1100</v>
      </c>
      <c r="G761">
        <v>1</v>
      </c>
      <c r="H761">
        <v>1100</v>
      </c>
      <c r="I761">
        <v>1100</v>
      </c>
    </row>
    <row r="762" spans="1:9" x14ac:dyDescent="0.3">
      <c r="A762">
        <v>759</v>
      </c>
      <c r="B762" s="24">
        <v>44224</v>
      </c>
      <c r="C762" t="s">
        <v>81</v>
      </c>
      <c r="D762" t="s">
        <v>18</v>
      </c>
      <c r="E762" t="s">
        <v>17</v>
      </c>
      <c r="F762">
        <v>600</v>
      </c>
      <c r="G762">
        <v>1</v>
      </c>
      <c r="H762">
        <v>600</v>
      </c>
      <c r="I762">
        <v>600</v>
      </c>
    </row>
    <row r="763" spans="1:9" x14ac:dyDescent="0.3">
      <c r="A763">
        <v>760</v>
      </c>
      <c r="B763" s="24">
        <v>44225</v>
      </c>
      <c r="C763" t="s">
        <v>81</v>
      </c>
      <c r="D763" t="s">
        <v>18</v>
      </c>
      <c r="E763" t="s">
        <v>17</v>
      </c>
      <c r="F763">
        <v>600</v>
      </c>
      <c r="G763">
        <v>1</v>
      </c>
      <c r="H763">
        <v>600</v>
      </c>
      <c r="I763">
        <v>600</v>
      </c>
    </row>
    <row r="764" spans="1:9" x14ac:dyDescent="0.3">
      <c r="A764">
        <v>761</v>
      </c>
      <c r="B764" s="24">
        <v>44226</v>
      </c>
      <c r="C764" t="s">
        <v>81</v>
      </c>
      <c r="D764" t="s">
        <v>18</v>
      </c>
      <c r="E764" t="s">
        <v>17</v>
      </c>
      <c r="F764">
        <v>600</v>
      </c>
      <c r="G764">
        <v>1</v>
      </c>
      <c r="H764">
        <v>600</v>
      </c>
      <c r="I764">
        <v>600</v>
      </c>
    </row>
    <row r="765" spans="1:9" x14ac:dyDescent="0.3">
      <c r="A765">
        <v>762</v>
      </c>
      <c r="B765" s="24">
        <v>44227</v>
      </c>
      <c r="C765" t="s">
        <v>81</v>
      </c>
      <c r="D765" t="s">
        <v>12</v>
      </c>
      <c r="E765" t="s">
        <v>11</v>
      </c>
      <c r="F765">
        <v>900</v>
      </c>
      <c r="G765">
        <v>1</v>
      </c>
      <c r="H765">
        <v>900</v>
      </c>
      <c r="I765">
        <v>765</v>
      </c>
    </row>
    <row r="766" spans="1:9" x14ac:dyDescent="0.3">
      <c r="A766">
        <v>763</v>
      </c>
      <c r="B766" s="24">
        <v>44228</v>
      </c>
      <c r="C766" t="s">
        <v>81</v>
      </c>
      <c r="D766" t="s">
        <v>18</v>
      </c>
      <c r="E766" t="s">
        <v>17</v>
      </c>
      <c r="F766">
        <v>600</v>
      </c>
      <c r="G766">
        <v>1</v>
      </c>
      <c r="H766">
        <v>600</v>
      </c>
      <c r="I766">
        <v>600</v>
      </c>
    </row>
    <row r="767" spans="1:9" x14ac:dyDescent="0.3">
      <c r="A767">
        <v>764</v>
      </c>
      <c r="B767" s="24">
        <v>44229</v>
      </c>
      <c r="C767" t="s">
        <v>81</v>
      </c>
      <c r="D767" t="s">
        <v>14</v>
      </c>
      <c r="E767" t="s">
        <v>11</v>
      </c>
      <c r="F767">
        <v>900</v>
      </c>
      <c r="G767">
        <v>1</v>
      </c>
      <c r="H767">
        <v>900</v>
      </c>
      <c r="I767">
        <v>900</v>
      </c>
    </row>
    <row r="768" spans="1:9" x14ac:dyDescent="0.3">
      <c r="A768">
        <v>765</v>
      </c>
      <c r="B768" s="24">
        <v>44230</v>
      </c>
      <c r="C768" t="s">
        <v>81</v>
      </c>
      <c r="D768" t="s">
        <v>21</v>
      </c>
      <c r="E768" t="s">
        <v>20</v>
      </c>
      <c r="F768">
        <v>1200</v>
      </c>
      <c r="G768">
        <v>1</v>
      </c>
      <c r="H768">
        <v>1200</v>
      </c>
      <c r="I768">
        <v>1200</v>
      </c>
    </row>
    <row r="769" spans="1:9" x14ac:dyDescent="0.3">
      <c r="A769">
        <v>766</v>
      </c>
      <c r="B769" s="24">
        <v>44231</v>
      </c>
      <c r="C769" t="s">
        <v>81</v>
      </c>
      <c r="D769" t="s">
        <v>10</v>
      </c>
      <c r="E769" t="s">
        <v>11</v>
      </c>
      <c r="F769">
        <v>1100</v>
      </c>
      <c r="G769">
        <v>1</v>
      </c>
      <c r="H769">
        <v>1100</v>
      </c>
      <c r="I769">
        <v>1100</v>
      </c>
    </row>
    <row r="770" spans="1:9" x14ac:dyDescent="0.3">
      <c r="A770">
        <v>767</v>
      </c>
      <c r="B770" s="24">
        <v>44232</v>
      </c>
      <c r="C770" t="s">
        <v>81</v>
      </c>
      <c r="D770" t="s">
        <v>10</v>
      </c>
      <c r="E770" t="s">
        <v>11</v>
      </c>
      <c r="F770">
        <v>1100</v>
      </c>
      <c r="G770">
        <v>1</v>
      </c>
      <c r="H770">
        <v>1100</v>
      </c>
      <c r="I770">
        <v>1100</v>
      </c>
    </row>
    <row r="771" spans="1:9" x14ac:dyDescent="0.3">
      <c r="A771">
        <v>768</v>
      </c>
      <c r="B771" s="24">
        <v>44233</v>
      </c>
      <c r="C771" t="s">
        <v>81</v>
      </c>
      <c r="D771" t="s">
        <v>18</v>
      </c>
      <c r="E771" t="s">
        <v>17</v>
      </c>
      <c r="F771">
        <v>600</v>
      </c>
      <c r="G771">
        <v>1</v>
      </c>
      <c r="H771">
        <v>600</v>
      </c>
      <c r="I771">
        <v>600</v>
      </c>
    </row>
    <row r="772" spans="1:9" x14ac:dyDescent="0.3">
      <c r="A772">
        <v>769</v>
      </c>
      <c r="B772" s="24">
        <v>44234</v>
      </c>
      <c r="C772" t="s">
        <v>81</v>
      </c>
      <c r="D772" t="s">
        <v>18</v>
      </c>
      <c r="E772" t="s">
        <v>17</v>
      </c>
      <c r="F772">
        <v>600</v>
      </c>
      <c r="G772">
        <v>2</v>
      </c>
      <c r="H772">
        <v>1200</v>
      </c>
      <c r="I772">
        <v>1200</v>
      </c>
    </row>
    <row r="773" spans="1:9" x14ac:dyDescent="0.3">
      <c r="A773">
        <v>770</v>
      </c>
      <c r="B773" s="24">
        <v>44235</v>
      </c>
      <c r="C773" t="s">
        <v>81</v>
      </c>
      <c r="D773" t="s">
        <v>21</v>
      </c>
      <c r="E773" t="s">
        <v>20</v>
      </c>
      <c r="F773">
        <v>1200</v>
      </c>
      <c r="G773">
        <v>1</v>
      </c>
      <c r="H773">
        <v>1200</v>
      </c>
      <c r="I773">
        <v>1200</v>
      </c>
    </row>
    <row r="774" spans="1:9" x14ac:dyDescent="0.3">
      <c r="A774">
        <v>771</v>
      </c>
      <c r="B774" s="24">
        <v>44236</v>
      </c>
      <c r="C774" t="s">
        <v>81</v>
      </c>
      <c r="D774" t="s">
        <v>21</v>
      </c>
      <c r="E774" t="s">
        <v>20</v>
      </c>
      <c r="F774">
        <v>1200</v>
      </c>
      <c r="G774">
        <v>1</v>
      </c>
      <c r="H774">
        <v>1200</v>
      </c>
      <c r="I774">
        <v>1200</v>
      </c>
    </row>
    <row r="775" spans="1:9" x14ac:dyDescent="0.3">
      <c r="A775">
        <v>772</v>
      </c>
      <c r="B775" s="24">
        <v>44237</v>
      </c>
      <c r="C775" t="s">
        <v>81</v>
      </c>
      <c r="D775" t="s">
        <v>15</v>
      </c>
      <c r="E775" t="s">
        <v>11</v>
      </c>
      <c r="F775">
        <v>1000</v>
      </c>
      <c r="G775">
        <v>1</v>
      </c>
      <c r="H775">
        <v>1000</v>
      </c>
      <c r="I775">
        <v>1000</v>
      </c>
    </row>
    <row r="776" spans="1:9" x14ac:dyDescent="0.3">
      <c r="A776">
        <v>773</v>
      </c>
      <c r="B776" s="24">
        <v>44238</v>
      </c>
      <c r="C776" t="s">
        <v>81</v>
      </c>
      <c r="D776" t="s">
        <v>16</v>
      </c>
      <c r="E776" t="s">
        <v>17</v>
      </c>
      <c r="F776">
        <v>800</v>
      </c>
      <c r="G776">
        <v>2</v>
      </c>
      <c r="H776">
        <v>1600</v>
      </c>
      <c r="I776">
        <v>1600</v>
      </c>
    </row>
    <row r="777" spans="1:9" x14ac:dyDescent="0.3">
      <c r="A777">
        <v>774</v>
      </c>
      <c r="B777" s="24">
        <v>44239</v>
      </c>
      <c r="C777" t="s">
        <v>81</v>
      </c>
      <c r="D777" t="s">
        <v>21</v>
      </c>
      <c r="E777" t="s">
        <v>20</v>
      </c>
      <c r="F777">
        <v>1200</v>
      </c>
      <c r="G777">
        <v>1</v>
      </c>
      <c r="H777">
        <v>1200</v>
      </c>
      <c r="I777">
        <v>1200</v>
      </c>
    </row>
    <row r="778" spans="1:9" x14ac:dyDescent="0.3">
      <c r="A778">
        <v>775</v>
      </c>
      <c r="B778" s="24">
        <v>44240</v>
      </c>
      <c r="C778" t="s">
        <v>81</v>
      </c>
      <c r="D778" t="s">
        <v>14</v>
      </c>
      <c r="E778" t="s">
        <v>11</v>
      </c>
      <c r="F778">
        <v>900</v>
      </c>
      <c r="G778">
        <v>1</v>
      </c>
      <c r="H778">
        <v>900</v>
      </c>
      <c r="I778">
        <v>900</v>
      </c>
    </row>
    <row r="779" spans="1:9" x14ac:dyDescent="0.3">
      <c r="A779">
        <v>776</v>
      </c>
      <c r="B779" s="24">
        <v>44241</v>
      </c>
      <c r="C779" t="s">
        <v>81</v>
      </c>
      <c r="D779" t="s">
        <v>15</v>
      </c>
      <c r="E779" t="s">
        <v>11</v>
      </c>
      <c r="F779">
        <v>1000</v>
      </c>
      <c r="G779">
        <v>1</v>
      </c>
      <c r="H779">
        <v>1000</v>
      </c>
      <c r="I779">
        <v>1000</v>
      </c>
    </row>
    <row r="780" spans="1:9" x14ac:dyDescent="0.3">
      <c r="A780">
        <v>777</v>
      </c>
      <c r="B780" s="24">
        <v>44242</v>
      </c>
      <c r="C780" t="s">
        <v>81</v>
      </c>
      <c r="D780" t="s">
        <v>16</v>
      </c>
      <c r="E780" t="s">
        <v>17</v>
      </c>
      <c r="F780">
        <v>800</v>
      </c>
      <c r="G780">
        <v>1</v>
      </c>
      <c r="H780">
        <v>800</v>
      </c>
      <c r="I780">
        <v>800</v>
      </c>
    </row>
    <row r="781" spans="1:9" x14ac:dyDescent="0.3">
      <c r="A781">
        <v>778</v>
      </c>
      <c r="B781" s="24">
        <v>44243</v>
      </c>
      <c r="C781" t="s">
        <v>81</v>
      </c>
      <c r="D781" t="s">
        <v>21</v>
      </c>
      <c r="E781" t="s">
        <v>20</v>
      </c>
      <c r="F781">
        <v>1200</v>
      </c>
      <c r="G781">
        <v>1</v>
      </c>
      <c r="H781">
        <v>1200</v>
      </c>
      <c r="I781">
        <v>1200</v>
      </c>
    </row>
    <row r="782" spans="1:9" x14ac:dyDescent="0.3">
      <c r="A782">
        <v>779</v>
      </c>
      <c r="B782" s="24">
        <v>44244</v>
      </c>
      <c r="C782" t="s">
        <v>81</v>
      </c>
      <c r="D782" t="s">
        <v>21</v>
      </c>
      <c r="E782" t="s">
        <v>20</v>
      </c>
      <c r="F782">
        <v>1200</v>
      </c>
      <c r="G782">
        <v>1</v>
      </c>
      <c r="H782">
        <v>1200</v>
      </c>
      <c r="I782">
        <v>1200</v>
      </c>
    </row>
    <row r="783" spans="1:9" x14ac:dyDescent="0.3">
      <c r="A783">
        <v>780</v>
      </c>
      <c r="B783" s="24">
        <v>44245</v>
      </c>
      <c r="C783" t="s">
        <v>81</v>
      </c>
      <c r="D783" t="s">
        <v>16</v>
      </c>
      <c r="E783" t="s">
        <v>17</v>
      </c>
      <c r="F783">
        <v>800</v>
      </c>
      <c r="G783">
        <v>2</v>
      </c>
      <c r="H783">
        <v>1600</v>
      </c>
      <c r="I783">
        <v>1600</v>
      </c>
    </row>
    <row r="784" spans="1:9" x14ac:dyDescent="0.3">
      <c r="A784">
        <v>781</v>
      </c>
      <c r="B784" s="24">
        <v>44246</v>
      </c>
      <c r="C784" t="s">
        <v>81</v>
      </c>
      <c r="D784" t="s">
        <v>12</v>
      </c>
      <c r="E784" t="s">
        <v>11</v>
      </c>
      <c r="F784">
        <v>900</v>
      </c>
      <c r="G784">
        <v>1</v>
      </c>
      <c r="H784">
        <v>900</v>
      </c>
      <c r="I784">
        <v>765</v>
      </c>
    </row>
    <row r="785" spans="1:9" x14ac:dyDescent="0.3">
      <c r="A785">
        <v>782</v>
      </c>
      <c r="B785" s="24">
        <v>44247</v>
      </c>
      <c r="C785" t="s">
        <v>81</v>
      </c>
      <c r="D785" t="s">
        <v>15</v>
      </c>
      <c r="E785" t="s">
        <v>11</v>
      </c>
      <c r="F785">
        <v>1000</v>
      </c>
      <c r="G785">
        <v>1</v>
      </c>
      <c r="H785">
        <v>1000</v>
      </c>
      <c r="I785">
        <v>1000</v>
      </c>
    </row>
    <row r="786" spans="1:9" x14ac:dyDescent="0.3">
      <c r="A786">
        <v>783</v>
      </c>
      <c r="B786" s="24">
        <v>44248</v>
      </c>
      <c r="C786" t="s">
        <v>81</v>
      </c>
      <c r="D786" t="s">
        <v>15</v>
      </c>
      <c r="E786" t="s">
        <v>11</v>
      </c>
      <c r="F786">
        <v>1000</v>
      </c>
      <c r="G786">
        <v>1</v>
      </c>
      <c r="H786">
        <v>1000</v>
      </c>
      <c r="I786">
        <v>1000</v>
      </c>
    </row>
    <row r="787" spans="1:9" x14ac:dyDescent="0.3">
      <c r="A787">
        <v>784</v>
      </c>
      <c r="B787" s="24">
        <v>44249</v>
      </c>
      <c r="C787" t="s">
        <v>81</v>
      </c>
      <c r="D787" t="s">
        <v>18</v>
      </c>
      <c r="E787" t="s">
        <v>17</v>
      </c>
      <c r="F787">
        <v>600</v>
      </c>
      <c r="G787">
        <v>1</v>
      </c>
      <c r="H787">
        <v>600</v>
      </c>
      <c r="I787">
        <v>600</v>
      </c>
    </row>
    <row r="788" spans="1:9" x14ac:dyDescent="0.3">
      <c r="A788">
        <v>785</v>
      </c>
      <c r="B788" s="24">
        <v>44250</v>
      </c>
      <c r="C788" t="s">
        <v>81</v>
      </c>
      <c r="D788" t="s">
        <v>19</v>
      </c>
      <c r="E788" t="s">
        <v>20</v>
      </c>
      <c r="F788">
        <v>850</v>
      </c>
      <c r="G788">
        <v>1</v>
      </c>
      <c r="H788">
        <v>850</v>
      </c>
      <c r="I788">
        <v>850</v>
      </c>
    </row>
    <row r="789" spans="1:9" x14ac:dyDescent="0.3">
      <c r="A789">
        <v>786</v>
      </c>
      <c r="B789" s="24">
        <v>44251</v>
      </c>
      <c r="C789" t="s">
        <v>81</v>
      </c>
      <c r="D789" t="s">
        <v>18</v>
      </c>
      <c r="E789" t="s">
        <v>17</v>
      </c>
      <c r="F789">
        <v>600</v>
      </c>
      <c r="G789">
        <v>1</v>
      </c>
      <c r="H789">
        <v>600</v>
      </c>
      <c r="I789">
        <v>600</v>
      </c>
    </row>
    <row r="790" spans="1:9" x14ac:dyDescent="0.3">
      <c r="A790">
        <v>787</v>
      </c>
      <c r="B790" s="24">
        <v>44252</v>
      </c>
      <c r="C790" t="s">
        <v>81</v>
      </c>
      <c r="D790" t="s">
        <v>19</v>
      </c>
      <c r="E790" t="s">
        <v>20</v>
      </c>
      <c r="F790">
        <v>850</v>
      </c>
      <c r="G790">
        <v>1</v>
      </c>
      <c r="H790">
        <v>850</v>
      </c>
      <c r="I790">
        <v>850</v>
      </c>
    </row>
    <row r="791" spans="1:9" x14ac:dyDescent="0.3">
      <c r="A791">
        <v>788</v>
      </c>
      <c r="B791" s="24">
        <v>44253</v>
      </c>
      <c r="C791" t="s">
        <v>81</v>
      </c>
      <c r="D791" t="s">
        <v>19</v>
      </c>
      <c r="E791" t="s">
        <v>20</v>
      </c>
      <c r="F791">
        <v>850</v>
      </c>
      <c r="G791">
        <v>1</v>
      </c>
      <c r="H791">
        <v>850</v>
      </c>
      <c r="I791">
        <v>850</v>
      </c>
    </row>
    <row r="792" spans="1:9" x14ac:dyDescent="0.3">
      <c r="A792">
        <v>789</v>
      </c>
      <c r="B792" s="24">
        <v>44254</v>
      </c>
      <c r="C792" t="s">
        <v>81</v>
      </c>
      <c r="D792" t="s">
        <v>12</v>
      </c>
      <c r="E792" t="s">
        <v>11</v>
      </c>
      <c r="F792">
        <v>900</v>
      </c>
      <c r="G792">
        <v>1</v>
      </c>
      <c r="H792">
        <v>900</v>
      </c>
      <c r="I792">
        <v>765</v>
      </c>
    </row>
    <row r="793" spans="1:9" x14ac:dyDescent="0.3">
      <c r="A793">
        <v>790</v>
      </c>
      <c r="B793" s="24">
        <v>44255</v>
      </c>
      <c r="C793" t="s">
        <v>81</v>
      </c>
      <c r="D793" t="s">
        <v>21</v>
      </c>
      <c r="E793" t="s">
        <v>20</v>
      </c>
      <c r="F793">
        <v>1200</v>
      </c>
      <c r="G793">
        <v>2</v>
      </c>
      <c r="H793">
        <v>2400</v>
      </c>
      <c r="I793">
        <v>2400</v>
      </c>
    </row>
    <row r="794" spans="1:9" x14ac:dyDescent="0.3">
      <c r="A794">
        <v>791</v>
      </c>
      <c r="B794" s="24">
        <v>44256</v>
      </c>
      <c r="C794" t="s">
        <v>81</v>
      </c>
      <c r="D794" t="s">
        <v>16</v>
      </c>
      <c r="E794" t="s">
        <v>17</v>
      </c>
      <c r="F794">
        <v>800</v>
      </c>
      <c r="G794">
        <v>1</v>
      </c>
      <c r="H794">
        <v>800</v>
      </c>
      <c r="I794">
        <v>800</v>
      </c>
    </row>
    <row r="795" spans="1:9" x14ac:dyDescent="0.3">
      <c r="A795">
        <v>792</v>
      </c>
      <c r="B795" s="24">
        <v>44257</v>
      </c>
      <c r="C795" t="s">
        <v>81</v>
      </c>
      <c r="D795" t="s">
        <v>16</v>
      </c>
      <c r="E795" t="s">
        <v>17</v>
      </c>
      <c r="F795">
        <v>800</v>
      </c>
      <c r="G795">
        <v>1</v>
      </c>
      <c r="H795">
        <v>800</v>
      </c>
      <c r="I795">
        <v>800</v>
      </c>
    </row>
    <row r="796" spans="1:9" x14ac:dyDescent="0.3">
      <c r="A796">
        <v>793</v>
      </c>
      <c r="B796" s="24">
        <v>44258</v>
      </c>
      <c r="C796" t="s">
        <v>81</v>
      </c>
      <c r="D796" t="s">
        <v>14</v>
      </c>
      <c r="E796" t="s">
        <v>11</v>
      </c>
      <c r="F796">
        <v>900</v>
      </c>
      <c r="G796">
        <v>1</v>
      </c>
      <c r="H796">
        <v>900</v>
      </c>
      <c r="I796">
        <v>900</v>
      </c>
    </row>
    <row r="797" spans="1:9" x14ac:dyDescent="0.3">
      <c r="A797">
        <v>794</v>
      </c>
      <c r="B797" s="24">
        <v>44259</v>
      </c>
      <c r="C797" t="s">
        <v>81</v>
      </c>
      <c r="D797" t="s">
        <v>16</v>
      </c>
      <c r="E797" t="s">
        <v>17</v>
      </c>
      <c r="F797">
        <v>800</v>
      </c>
      <c r="G797">
        <v>1</v>
      </c>
      <c r="H797">
        <v>800</v>
      </c>
      <c r="I797">
        <v>800</v>
      </c>
    </row>
    <row r="798" spans="1:9" x14ac:dyDescent="0.3">
      <c r="A798">
        <v>795</v>
      </c>
      <c r="B798" s="24">
        <v>44260</v>
      </c>
      <c r="C798" t="s">
        <v>81</v>
      </c>
      <c r="D798" t="s">
        <v>18</v>
      </c>
      <c r="E798" t="s">
        <v>17</v>
      </c>
      <c r="F798">
        <v>600</v>
      </c>
      <c r="G798">
        <v>1</v>
      </c>
      <c r="H798">
        <v>600</v>
      </c>
      <c r="I798">
        <v>600</v>
      </c>
    </row>
    <row r="799" spans="1:9" x14ac:dyDescent="0.3">
      <c r="A799">
        <v>796</v>
      </c>
      <c r="B799" s="24">
        <v>44261</v>
      </c>
      <c r="C799" t="s">
        <v>81</v>
      </c>
      <c r="D799" t="s">
        <v>12</v>
      </c>
      <c r="E799" t="s">
        <v>11</v>
      </c>
      <c r="F799">
        <v>900</v>
      </c>
      <c r="G799">
        <v>3</v>
      </c>
      <c r="H799">
        <v>2700</v>
      </c>
      <c r="I799">
        <v>2295</v>
      </c>
    </row>
    <row r="800" spans="1:9" x14ac:dyDescent="0.3">
      <c r="A800">
        <v>797</v>
      </c>
      <c r="B800" s="24">
        <v>44262</v>
      </c>
      <c r="C800" t="s">
        <v>81</v>
      </c>
      <c r="D800" t="s">
        <v>18</v>
      </c>
      <c r="E800" t="s">
        <v>17</v>
      </c>
      <c r="F800">
        <v>600</v>
      </c>
      <c r="G800">
        <v>1</v>
      </c>
      <c r="H800">
        <v>600</v>
      </c>
      <c r="I800">
        <v>600</v>
      </c>
    </row>
    <row r="801" spans="1:9" x14ac:dyDescent="0.3">
      <c r="A801">
        <v>798</v>
      </c>
      <c r="B801" s="24">
        <v>44263</v>
      </c>
      <c r="C801" t="s">
        <v>81</v>
      </c>
      <c r="D801" t="s">
        <v>16</v>
      </c>
      <c r="E801" t="s">
        <v>17</v>
      </c>
      <c r="F801">
        <v>800</v>
      </c>
      <c r="G801">
        <v>1</v>
      </c>
      <c r="H801">
        <v>800</v>
      </c>
      <c r="I801">
        <v>800</v>
      </c>
    </row>
    <row r="802" spans="1:9" x14ac:dyDescent="0.3">
      <c r="A802">
        <v>799</v>
      </c>
      <c r="B802" s="24">
        <v>44264</v>
      </c>
      <c r="C802" t="s">
        <v>81</v>
      </c>
      <c r="D802" t="s">
        <v>18</v>
      </c>
      <c r="E802" t="s">
        <v>17</v>
      </c>
      <c r="F802">
        <v>600</v>
      </c>
      <c r="G802">
        <v>1</v>
      </c>
      <c r="H802">
        <v>600</v>
      </c>
      <c r="I802">
        <v>600</v>
      </c>
    </row>
    <row r="803" spans="1:9" x14ac:dyDescent="0.3">
      <c r="A803">
        <v>800</v>
      </c>
      <c r="B803" s="24">
        <v>44265</v>
      </c>
      <c r="C803" t="s">
        <v>81</v>
      </c>
      <c r="D803" t="s">
        <v>10</v>
      </c>
      <c r="E803" t="s">
        <v>11</v>
      </c>
      <c r="F803">
        <v>1100</v>
      </c>
      <c r="G803">
        <v>1</v>
      </c>
      <c r="H803">
        <v>1100</v>
      </c>
      <c r="I803">
        <v>1100</v>
      </c>
    </row>
    <row r="804" spans="1:9" x14ac:dyDescent="0.3">
      <c r="A804">
        <v>801</v>
      </c>
      <c r="B804" s="24">
        <v>44266</v>
      </c>
      <c r="C804" t="s">
        <v>81</v>
      </c>
      <c r="D804" t="s">
        <v>14</v>
      </c>
      <c r="E804" t="s">
        <v>11</v>
      </c>
      <c r="F804">
        <v>900</v>
      </c>
      <c r="G804">
        <v>1</v>
      </c>
      <c r="H804">
        <v>900</v>
      </c>
      <c r="I804">
        <v>900</v>
      </c>
    </row>
    <row r="805" spans="1:9" x14ac:dyDescent="0.3">
      <c r="A805">
        <v>802</v>
      </c>
      <c r="B805" s="24">
        <v>44267</v>
      </c>
      <c r="C805" t="s">
        <v>81</v>
      </c>
      <c r="D805" t="s">
        <v>10</v>
      </c>
      <c r="E805" t="s">
        <v>11</v>
      </c>
      <c r="F805">
        <v>1100</v>
      </c>
      <c r="G805">
        <v>1</v>
      </c>
      <c r="H805">
        <v>1100</v>
      </c>
      <c r="I805">
        <v>1100</v>
      </c>
    </row>
    <row r="806" spans="1:9" x14ac:dyDescent="0.3">
      <c r="A806">
        <v>803</v>
      </c>
      <c r="B806" s="24">
        <v>44268</v>
      </c>
      <c r="C806" t="s">
        <v>81</v>
      </c>
      <c r="D806" t="s">
        <v>10</v>
      </c>
      <c r="E806" t="s">
        <v>11</v>
      </c>
      <c r="F806">
        <v>1100</v>
      </c>
      <c r="G806">
        <v>1</v>
      </c>
      <c r="H806">
        <v>1100</v>
      </c>
      <c r="I806">
        <v>1100</v>
      </c>
    </row>
    <row r="807" spans="1:9" x14ac:dyDescent="0.3">
      <c r="A807">
        <v>804</v>
      </c>
      <c r="B807" s="24">
        <v>44269</v>
      </c>
      <c r="C807" t="s">
        <v>81</v>
      </c>
      <c r="D807" t="s">
        <v>21</v>
      </c>
      <c r="E807" t="s">
        <v>20</v>
      </c>
      <c r="F807">
        <v>1200</v>
      </c>
      <c r="G807">
        <v>1</v>
      </c>
      <c r="H807">
        <v>1200</v>
      </c>
      <c r="I807">
        <v>1200</v>
      </c>
    </row>
    <row r="808" spans="1:9" x14ac:dyDescent="0.3">
      <c r="A808">
        <v>805</v>
      </c>
      <c r="B808" s="24">
        <v>44270</v>
      </c>
      <c r="C808" t="s">
        <v>81</v>
      </c>
      <c r="D808" t="s">
        <v>21</v>
      </c>
      <c r="E808" t="s">
        <v>20</v>
      </c>
      <c r="F808">
        <v>1200</v>
      </c>
      <c r="G808">
        <v>1</v>
      </c>
      <c r="H808">
        <v>1200</v>
      </c>
      <c r="I808">
        <v>1200</v>
      </c>
    </row>
    <row r="809" spans="1:9" x14ac:dyDescent="0.3">
      <c r="A809">
        <v>806</v>
      </c>
      <c r="B809" s="24">
        <v>44271</v>
      </c>
      <c r="C809" t="s">
        <v>81</v>
      </c>
      <c r="D809" t="s">
        <v>10</v>
      </c>
      <c r="E809" t="s">
        <v>11</v>
      </c>
      <c r="F809">
        <v>1100</v>
      </c>
      <c r="G809">
        <v>1</v>
      </c>
      <c r="H809">
        <v>1100</v>
      </c>
      <c r="I809">
        <v>1100</v>
      </c>
    </row>
    <row r="810" spans="1:9" x14ac:dyDescent="0.3">
      <c r="A810">
        <v>807</v>
      </c>
      <c r="B810" s="24">
        <v>44272</v>
      </c>
      <c r="C810" t="s">
        <v>81</v>
      </c>
      <c r="D810" t="s">
        <v>10</v>
      </c>
      <c r="E810" t="s">
        <v>11</v>
      </c>
      <c r="F810">
        <v>1100</v>
      </c>
      <c r="G810">
        <v>1</v>
      </c>
      <c r="H810">
        <v>1100</v>
      </c>
      <c r="I810">
        <v>1100</v>
      </c>
    </row>
    <row r="811" spans="1:9" x14ac:dyDescent="0.3">
      <c r="A811">
        <v>808</v>
      </c>
      <c r="B811" s="24">
        <v>44273</v>
      </c>
      <c r="C811" t="s">
        <v>81</v>
      </c>
      <c r="D811" t="s">
        <v>22</v>
      </c>
      <c r="E811" t="s">
        <v>23</v>
      </c>
      <c r="F811">
        <v>900</v>
      </c>
      <c r="G811">
        <v>1</v>
      </c>
      <c r="H811">
        <v>900</v>
      </c>
      <c r="I811">
        <v>900</v>
      </c>
    </row>
    <row r="812" spans="1:9" x14ac:dyDescent="0.3">
      <c r="A812">
        <v>809</v>
      </c>
      <c r="B812" s="24">
        <v>44274</v>
      </c>
      <c r="C812" t="s">
        <v>81</v>
      </c>
      <c r="D812" t="s">
        <v>14</v>
      </c>
      <c r="E812" t="s">
        <v>11</v>
      </c>
      <c r="F812">
        <v>900</v>
      </c>
      <c r="G812">
        <v>1</v>
      </c>
      <c r="H812">
        <v>900</v>
      </c>
      <c r="I812">
        <v>900</v>
      </c>
    </row>
    <row r="813" spans="1:9" x14ac:dyDescent="0.3">
      <c r="A813">
        <v>810</v>
      </c>
      <c r="B813" s="24">
        <v>44275</v>
      </c>
      <c r="C813" t="s">
        <v>81</v>
      </c>
      <c r="D813" t="s">
        <v>22</v>
      </c>
      <c r="E813" t="s">
        <v>23</v>
      </c>
      <c r="F813">
        <v>800</v>
      </c>
      <c r="G813">
        <v>1</v>
      </c>
      <c r="H813">
        <v>800</v>
      </c>
      <c r="I813">
        <v>800</v>
      </c>
    </row>
    <row r="814" spans="1:9" x14ac:dyDescent="0.3">
      <c r="A814">
        <v>811</v>
      </c>
      <c r="B814" s="24">
        <v>44276</v>
      </c>
      <c r="C814" t="s">
        <v>81</v>
      </c>
      <c r="D814" t="s">
        <v>18</v>
      </c>
      <c r="E814" t="s">
        <v>17</v>
      </c>
      <c r="F814">
        <v>600</v>
      </c>
      <c r="G814">
        <v>1</v>
      </c>
      <c r="H814">
        <v>600</v>
      </c>
      <c r="I814">
        <v>600</v>
      </c>
    </row>
    <row r="815" spans="1:9" x14ac:dyDescent="0.3">
      <c r="A815">
        <v>812</v>
      </c>
      <c r="B815" s="24">
        <v>44277</v>
      </c>
      <c r="C815" t="s">
        <v>81</v>
      </c>
      <c r="D815" t="s">
        <v>22</v>
      </c>
      <c r="E815" t="s">
        <v>23</v>
      </c>
      <c r="F815">
        <v>800</v>
      </c>
      <c r="G815">
        <v>1</v>
      </c>
      <c r="H815">
        <v>800</v>
      </c>
      <c r="I815">
        <v>800</v>
      </c>
    </row>
    <row r="816" spans="1:9" x14ac:dyDescent="0.3">
      <c r="A816">
        <v>813</v>
      </c>
      <c r="B816" s="24">
        <v>44278</v>
      </c>
      <c r="C816" t="s">
        <v>81</v>
      </c>
      <c r="D816" t="s">
        <v>14</v>
      </c>
      <c r="E816" t="s">
        <v>11</v>
      </c>
      <c r="F816">
        <v>900</v>
      </c>
      <c r="G816">
        <v>1</v>
      </c>
      <c r="H816">
        <v>900</v>
      </c>
      <c r="I816">
        <v>900</v>
      </c>
    </row>
    <row r="817" spans="1:9" x14ac:dyDescent="0.3">
      <c r="A817">
        <v>814</v>
      </c>
      <c r="B817" s="24">
        <v>44279</v>
      </c>
      <c r="C817" t="s">
        <v>81</v>
      </c>
      <c r="D817" t="s">
        <v>21</v>
      </c>
      <c r="E817" t="s">
        <v>20</v>
      </c>
      <c r="F817">
        <v>1200</v>
      </c>
      <c r="G817">
        <v>1</v>
      </c>
      <c r="H817">
        <v>1200</v>
      </c>
      <c r="I817">
        <v>1200</v>
      </c>
    </row>
    <row r="818" spans="1:9" x14ac:dyDescent="0.3">
      <c r="A818">
        <v>815</v>
      </c>
      <c r="B818" s="24">
        <v>44280</v>
      </c>
      <c r="C818" t="s">
        <v>81</v>
      </c>
      <c r="D818" t="s">
        <v>22</v>
      </c>
      <c r="E818" t="s">
        <v>23</v>
      </c>
      <c r="F818">
        <v>800</v>
      </c>
      <c r="G818">
        <v>1</v>
      </c>
      <c r="H818">
        <v>800</v>
      </c>
      <c r="I818">
        <v>800</v>
      </c>
    </row>
    <row r="819" spans="1:9" x14ac:dyDescent="0.3">
      <c r="A819">
        <v>816</v>
      </c>
      <c r="B819" s="24">
        <v>44281</v>
      </c>
      <c r="C819" t="s">
        <v>81</v>
      </c>
      <c r="D819" t="s">
        <v>12</v>
      </c>
      <c r="E819" t="s">
        <v>11</v>
      </c>
      <c r="F819">
        <v>900</v>
      </c>
      <c r="G819">
        <v>1</v>
      </c>
      <c r="H819">
        <v>900</v>
      </c>
      <c r="I819">
        <v>765</v>
      </c>
    </row>
    <row r="820" spans="1:9" x14ac:dyDescent="0.3">
      <c r="A820">
        <v>817</v>
      </c>
      <c r="B820" s="24">
        <v>44282</v>
      </c>
      <c r="C820" t="s">
        <v>81</v>
      </c>
      <c r="D820" t="s">
        <v>21</v>
      </c>
      <c r="E820" t="s">
        <v>20</v>
      </c>
      <c r="F820">
        <v>1200</v>
      </c>
      <c r="G820">
        <v>1</v>
      </c>
      <c r="H820">
        <v>1200</v>
      </c>
      <c r="I820">
        <v>1200</v>
      </c>
    </row>
    <row r="821" spans="1:9" x14ac:dyDescent="0.3">
      <c r="A821">
        <v>818</v>
      </c>
      <c r="B821" s="24">
        <v>44283</v>
      </c>
      <c r="C821" t="s">
        <v>81</v>
      </c>
      <c r="D821" t="s">
        <v>10</v>
      </c>
      <c r="E821" t="s">
        <v>11</v>
      </c>
      <c r="F821">
        <v>1100</v>
      </c>
      <c r="G821">
        <v>1</v>
      </c>
      <c r="H821">
        <v>1100</v>
      </c>
      <c r="I821">
        <v>1100</v>
      </c>
    </row>
    <row r="822" spans="1:9" x14ac:dyDescent="0.3">
      <c r="A822">
        <v>819</v>
      </c>
      <c r="B822" s="24">
        <v>44284</v>
      </c>
      <c r="C822" t="s">
        <v>81</v>
      </c>
      <c r="D822" t="s">
        <v>21</v>
      </c>
      <c r="E822" t="s">
        <v>20</v>
      </c>
      <c r="F822">
        <v>1200</v>
      </c>
      <c r="G822">
        <v>1</v>
      </c>
      <c r="H822">
        <v>1200</v>
      </c>
      <c r="I822">
        <v>1200</v>
      </c>
    </row>
    <row r="823" spans="1:9" x14ac:dyDescent="0.3">
      <c r="A823">
        <v>820</v>
      </c>
      <c r="B823" s="24">
        <v>44285</v>
      </c>
      <c r="C823" t="s">
        <v>81</v>
      </c>
      <c r="D823" t="s">
        <v>14</v>
      </c>
      <c r="E823" t="s">
        <v>11</v>
      </c>
      <c r="F823">
        <v>900</v>
      </c>
      <c r="G823">
        <v>1</v>
      </c>
      <c r="H823">
        <v>900</v>
      </c>
      <c r="I823">
        <v>900</v>
      </c>
    </row>
    <row r="824" spans="1:9" x14ac:dyDescent="0.3">
      <c r="A824">
        <v>821</v>
      </c>
      <c r="B824" s="24">
        <v>44286</v>
      </c>
      <c r="C824" t="s">
        <v>81</v>
      </c>
      <c r="D824" t="s">
        <v>10</v>
      </c>
      <c r="E824" t="s">
        <v>11</v>
      </c>
      <c r="F824">
        <v>1100</v>
      </c>
      <c r="G824">
        <v>2</v>
      </c>
      <c r="H824">
        <v>2200</v>
      </c>
      <c r="I824">
        <v>2200</v>
      </c>
    </row>
    <row r="825" spans="1:9" x14ac:dyDescent="0.3">
      <c r="A825">
        <v>822</v>
      </c>
      <c r="B825" s="24">
        <v>44287</v>
      </c>
      <c r="C825" t="s">
        <v>81</v>
      </c>
      <c r="D825" t="s">
        <v>21</v>
      </c>
      <c r="E825" t="s">
        <v>20</v>
      </c>
      <c r="F825">
        <v>1200</v>
      </c>
      <c r="G825">
        <v>1</v>
      </c>
      <c r="H825">
        <v>1200</v>
      </c>
      <c r="I825">
        <v>1200</v>
      </c>
    </row>
    <row r="826" spans="1:9" x14ac:dyDescent="0.3">
      <c r="A826">
        <v>823</v>
      </c>
      <c r="B826" s="24">
        <v>44288</v>
      </c>
      <c r="C826" t="s">
        <v>81</v>
      </c>
      <c r="D826" t="s">
        <v>10</v>
      </c>
      <c r="E826" t="s">
        <v>11</v>
      </c>
      <c r="F826">
        <v>1100</v>
      </c>
      <c r="G826">
        <v>1</v>
      </c>
      <c r="H826">
        <v>1100</v>
      </c>
      <c r="I826">
        <v>1100</v>
      </c>
    </row>
    <row r="827" spans="1:9" x14ac:dyDescent="0.3">
      <c r="A827">
        <v>824</v>
      </c>
      <c r="B827" s="24">
        <v>44289</v>
      </c>
      <c r="C827" t="s">
        <v>81</v>
      </c>
      <c r="D827" t="s">
        <v>12</v>
      </c>
      <c r="E827" t="s">
        <v>11</v>
      </c>
      <c r="F827">
        <v>900</v>
      </c>
      <c r="G827">
        <v>1</v>
      </c>
      <c r="H827">
        <v>900</v>
      </c>
      <c r="I827">
        <v>765</v>
      </c>
    </row>
    <row r="828" spans="1:9" x14ac:dyDescent="0.3">
      <c r="A828">
        <v>825</v>
      </c>
      <c r="B828" s="24">
        <v>44290</v>
      </c>
      <c r="C828" t="s">
        <v>81</v>
      </c>
      <c r="D828" t="s">
        <v>18</v>
      </c>
      <c r="E828" t="s">
        <v>17</v>
      </c>
      <c r="F828">
        <v>600</v>
      </c>
      <c r="G828">
        <v>1</v>
      </c>
      <c r="H828">
        <v>600</v>
      </c>
      <c r="I828">
        <v>600</v>
      </c>
    </row>
    <row r="829" spans="1:9" x14ac:dyDescent="0.3">
      <c r="A829">
        <v>826</v>
      </c>
      <c r="B829" s="24">
        <v>44291</v>
      </c>
      <c r="C829" t="s">
        <v>81</v>
      </c>
      <c r="D829" t="s">
        <v>22</v>
      </c>
      <c r="E829" t="s">
        <v>23</v>
      </c>
      <c r="F829">
        <v>900</v>
      </c>
      <c r="G829">
        <v>1</v>
      </c>
      <c r="H829">
        <v>900</v>
      </c>
      <c r="I829">
        <v>900</v>
      </c>
    </row>
    <row r="830" spans="1:9" x14ac:dyDescent="0.3">
      <c r="A830">
        <v>827</v>
      </c>
      <c r="B830" s="24">
        <v>44292</v>
      </c>
      <c r="C830" t="s">
        <v>81</v>
      </c>
      <c r="D830" t="s">
        <v>16</v>
      </c>
      <c r="E830" t="s">
        <v>17</v>
      </c>
      <c r="F830">
        <v>800</v>
      </c>
      <c r="G830">
        <v>1</v>
      </c>
      <c r="H830">
        <v>800</v>
      </c>
      <c r="I830">
        <v>800</v>
      </c>
    </row>
    <row r="831" spans="1:9" x14ac:dyDescent="0.3">
      <c r="A831">
        <v>828</v>
      </c>
      <c r="B831" s="24">
        <v>44293</v>
      </c>
      <c r="C831" t="s">
        <v>81</v>
      </c>
      <c r="D831" t="s">
        <v>10</v>
      </c>
      <c r="E831" t="s">
        <v>11</v>
      </c>
      <c r="F831">
        <v>1100</v>
      </c>
      <c r="G831">
        <v>1</v>
      </c>
      <c r="H831">
        <v>1100</v>
      </c>
      <c r="I831">
        <v>1100</v>
      </c>
    </row>
    <row r="832" spans="1:9" x14ac:dyDescent="0.3">
      <c r="A832">
        <v>829</v>
      </c>
      <c r="B832" s="24">
        <v>44294</v>
      </c>
      <c r="C832" t="s">
        <v>81</v>
      </c>
      <c r="D832" t="s">
        <v>14</v>
      </c>
      <c r="E832" t="s">
        <v>11</v>
      </c>
      <c r="F832">
        <v>900</v>
      </c>
      <c r="G832">
        <v>1</v>
      </c>
      <c r="H832">
        <v>900</v>
      </c>
      <c r="I832">
        <v>900</v>
      </c>
    </row>
    <row r="833" spans="1:9" x14ac:dyDescent="0.3">
      <c r="A833">
        <v>830</v>
      </c>
      <c r="B833" s="24">
        <v>44295</v>
      </c>
      <c r="C833" t="s">
        <v>81</v>
      </c>
      <c r="D833" t="s">
        <v>15</v>
      </c>
      <c r="E833" t="s">
        <v>11</v>
      </c>
      <c r="F833">
        <v>1000</v>
      </c>
      <c r="G833">
        <v>1</v>
      </c>
      <c r="H833">
        <v>1000</v>
      </c>
      <c r="I833">
        <v>1000</v>
      </c>
    </row>
    <row r="834" spans="1:9" x14ac:dyDescent="0.3">
      <c r="A834">
        <v>831</v>
      </c>
      <c r="B834" s="24">
        <v>44296</v>
      </c>
      <c r="C834" t="s">
        <v>81</v>
      </c>
      <c r="D834" t="s">
        <v>19</v>
      </c>
      <c r="E834" t="s">
        <v>20</v>
      </c>
      <c r="F834">
        <v>850</v>
      </c>
      <c r="G834">
        <v>1</v>
      </c>
      <c r="H834">
        <v>850</v>
      </c>
      <c r="I834">
        <v>850</v>
      </c>
    </row>
    <row r="835" spans="1:9" x14ac:dyDescent="0.3">
      <c r="A835">
        <v>832</v>
      </c>
      <c r="B835" s="24">
        <v>44297</v>
      </c>
      <c r="C835" t="s">
        <v>81</v>
      </c>
      <c r="D835" t="s">
        <v>18</v>
      </c>
      <c r="E835" t="s">
        <v>17</v>
      </c>
      <c r="F835">
        <v>600</v>
      </c>
      <c r="G835">
        <v>1</v>
      </c>
      <c r="H835">
        <v>600</v>
      </c>
      <c r="I835">
        <v>600</v>
      </c>
    </row>
    <row r="836" spans="1:9" x14ac:dyDescent="0.3">
      <c r="A836">
        <v>833</v>
      </c>
      <c r="B836" s="24">
        <v>44298</v>
      </c>
      <c r="C836" t="s">
        <v>81</v>
      </c>
      <c r="D836" t="s">
        <v>14</v>
      </c>
      <c r="E836" t="s">
        <v>11</v>
      </c>
      <c r="F836">
        <v>900</v>
      </c>
      <c r="G836">
        <v>1</v>
      </c>
      <c r="H836">
        <v>900</v>
      </c>
      <c r="I836">
        <v>900</v>
      </c>
    </row>
    <row r="837" spans="1:9" x14ac:dyDescent="0.3">
      <c r="A837">
        <v>834</v>
      </c>
      <c r="B837" s="24">
        <v>44299</v>
      </c>
      <c r="C837" t="s">
        <v>81</v>
      </c>
      <c r="D837" t="s">
        <v>15</v>
      </c>
      <c r="E837" t="s">
        <v>11</v>
      </c>
      <c r="F837">
        <v>1000</v>
      </c>
      <c r="G837">
        <v>1</v>
      </c>
      <c r="H837">
        <v>1000</v>
      </c>
      <c r="I837">
        <v>1000</v>
      </c>
    </row>
    <row r="838" spans="1:9" x14ac:dyDescent="0.3">
      <c r="A838">
        <v>835</v>
      </c>
      <c r="B838" s="24">
        <v>44300</v>
      </c>
      <c r="C838" t="s">
        <v>81</v>
      </c>
      <c r="D838" t="s">
        <v>14</v>
      </c>
      <c r="E838" t="s">
        <v>11</v>
      </c>
      <c r="F838">
        <v>900</v>
      </c>
      <c r="G838">
        <v>1</v>
      </c>
      <c r="H838">
        <v>900</v>
      </c>
      <c r="I838">
        <v>900</v>
      </c>
    </row>
    <row r="839" spans="1:9" x14ac:dyDescent="0.3">
      <c r="A839">
        <v>836</v>
      </c>
      <c r="B839" s="24">
        <v>44301</v>
      </c>
      <c r="C839" t="s">
        <v>81</v>
      </c>
      <c r="D839" t="s">
        <v>12</v>
      </c>
      <c r="E839" t="s">
        <v>11</v>
      </c>
      <c r="F839">
        <v>900</v>
      </c>
      <c r="G839">
        <v>1</v>
      </c>
      <c r="H839">
        <v>900</v>
      </c>
      <c r="I839">
        <v>765</v>
      </c>
    </row>
    <row r="840" spans="1:9" x14ac:dyDescent="0.3">
      <c r="A840">
        <v>837</v>
      </c>
      <c r="B840" s="24">
        <v>44302</v>
      </c>
      <c r="C840" t="s">
        <v>81</v>
      </c>
      <c r="D840" t="s">
        <v>18</v>
      </c>
      <c r="E840" t="s">
        <v>17</v>
      </c>
      <c r="F840">
        <v>600</v>
      </c>
      <c r="G840">
        <v>1</v>
      </c>
      <c r="H840">
        <v>600</v>
      </c>
      <c r="I840">
        <v>600</v>
      </c>
    </row>
    <row r="841" spans="1:9" x14ac:dyDescent="0.3">
      <c r="A841">
        <v>838</v>
      </c>
      <c r="B841" s="24">
        <v>44303</v>
      </c>
      <c r="C841" t="s">
        <v>81</v>
      </c>
      <c r="D841" t="s">
        <v>22</v>
      </c>
      <c r="E841" t="s">
        <v>23</v>
      </c>
      <c r="F841">
        <v>900</v>
      </c>
      <c r="G841">
        <v>1</v>
      </c>
      <c r="H841">
        <v>900</v>
      </c>
      <c r="I841">
        <v>900</v>
      </c>
    </row>
    <row r="842" spans="1:9" x14ac:dyDescent="0.3">
      <c r="A842">
        <v>839</v>
      </c>
      <c r="B842" s="24">
        <v>44304</v>
      </c>
      <c r="C842" t="s">
        <v>81</v>
      </c>
      <c r="D842" t="s">
        <v>22</v>
      </c>
      <c r="E842" t="s">
        <v>23</v>
      </c>
      <c r="F842">
        <v>800</v>
      </c>
      <c r="G842">
        <v>1</v>
      </c>
      <c r="H842">
        <v>800</v>
      </c>
      <c r="I842">
        <v>800</v>
      </c>
    </row>
    <row r="843" spans="1:9" x14ac:dyDescent="0.3">
      <c r="A843">
        <v>840</v>
      </c>
      <c r="B843" s="24">
        <v>44305</v>
      </c>
      <c r="C843" t="s">
        <v>81</v>
      </c>
      <c r="D843" t="s">
        <v>16</v>
      </c>
      <c r="E843" t="s">
        <v>17</v>
      </c>
      <c r="F843">
        <v>800</v>
      </c>
      <c r="G843">
        <v>1</v>
      </c>
      <c r="H843">
        <v>800</v>
      </c>
      <c r="I843">
        <v>800</v>
      </c>
    </row>
    <row r="844" spans="1:9" x14ac:dyDescent="0.3">
      <c r="A844">
        <v>841</v>
      </c>
      <c r="B844" s="24">
        <v>44306</v>
      </c>
      <c r="C844" t="s">
        <v>81</v>
      </c>
      <c r="D844" t="s">
        <v>18</v>
      </c>
      <c r="E844" t="s">
        <v>17</v>
      </c>
      <c r="F844">
        <v>600</v>
      </c>
      <c r="G844">
        <v>1</v>
      </c>
      <c r="H844">
        <v>600</v>
      </c>
      <c r="I844">
        <v>600</v>
      </c>
    </row>
    <row r="845" spans="1:9" x14ac:dyDescent="0.3">
      <c r="A845">
        <v>842</v>
      </c>
      <c r="B845" s="24">
        <v>44307</v>
      </c>
      <c r="C845" t="s">
        <v>81</v>
      </c>
      <c r="D845" t="s">
        <v>22</v>
      </c>
      <c r="E845" t="s">
        <v>23</v>
      </c>
      <c r="F845">
        <v>500</v>
      </c>
      <c r="G845">
        <v>1</v>
      </c>
      <c r="H845">
        <v>500</v>
      </c>
      <c r="I845">
        <v>500</v>
      </c>
    </row>
    <row r="846" spans="1:9" x14ac:dyDescent="0.3">
      <c r="A846">
        <v>843</v>
      </c>
      <c r="B846" s="24">
        <v>44308</v>
      </c>
      <c r="C846" t="s">
        <v>81</v>
      </c>
      <c r="D846" t="s">
        <v>14</v>
      </c>
      <c r="E846" t="s">
        <v>11</v>
      </c>
      <c r="F846">
        <v>900</v>
      </c>
      <c r="G846">
        <v>1</v>
      </c>
      <c r="H846">
        <v>900</v>
      </c>
      <c r="I846">
        <v>900</v>
      </c>
    </row>
    <row r="847" spans="1:9" x14ac:dyDescent="0.3">
      <c r="A847">
        <v>844</v>
      </c>
      <c r="B847" s="24">
        <v>44309</v>
      </c>
      <c r="C847" t="s">
        <v>81</v>
      </c>
      <c r="D847" t="s">
        <v>10</v>
      </c>
      <c r="E847" t="s">
        <v>11</v>
      </c>
      <c r="F847">
        <v>1100</v>
      </c>
      <c r="G847">
        <v>1</v>
      </c>
      <c r="H847">
        <v>1100</v>
      </c>
      <c r="I847">
        <v>1100</v>
      </c>
    </row>
    <row r="848" spans="1:9" x14ac:dyDescent="0.3">
      <c r="A848">
        <v>845</v>
      </c>
      <c r="B848" s="24">
        <v>44310</v>
      </c>
      <c r="C848" t="s">
        <v>81</v>
      </c>
      <c r="D848" t="s">
        <v>22</v>
      </c>
      <c r="E848" t="s">
        <v>23</v>
      </c>
      <c r="F848">
        <v>500</v>
      </c>
      <c r="G848">
        <v>1</v>
      </c>
      <c r="H848">
        <v>500</v>
      </c>
      <c r="I848">
        <v>500</v>
      </c>
    </row>
    <row r="849" spans="1:9" x14ac:dyDescent="0.3">
      <c r="A849">
        <v>846</v>
      </c>
      <c r="B849" s="24">
        <v>44311</v>
      </c>
      <c r="C849" t="s">
        <v>81</v>
      </c>
      <c r="D849" t="s">
        <v>18</v>
      </c>
      <c r="E849" t="s">
        <v>17</v>
      </c>
      <c r="F849">
        <v>600</v>
      </c>
      <c r="G849">
        <v>1</v>
      </c>
      <c r="H849">
        <v>600</v>
      </c>
      <c r="I849">
        <v>600</v>
      </c>
    </row>
    <row r="850" spans="1:9" x14ac:dyDescent="0.3">
      <c r="A850">
        <v>847</v>
      </c>
      <c r="B850" s="24">
        <v>44312</v>
      </c>
      <c r="C850" t="s">
        <v>81</v>
      </c>
      <c r="D850" t="s">
        <v>14</v>
      </c>
      <c r="E850" t="s">
        <v>11</v>
      </c>
      <c r="F850">
        <v>900</v>
      </c>
      <c r="G850">
        <v>1</v>
      </c>
      <c r="H850">
        <v>900</v>
      </c>
      <c r="I850">
        <v>900</v>
      </c>
    </row>
    <row r="851" spans="1:9" x14ac:dyDescent="0.3">
      <c r="A851">
        <v>848</v>
      </c>
      <c r="B851" s="24">
        <v>44313</v>
      </c>
      <c r="C851" t="s">
        <v>81</v>
      </c>
      <c r="D851" t="s">
        <v>22</v>
      </c>
      <c r="E851" t="s">
        <v>23</v>
      </c>
      <c r="F851">
        <v>500</v>
      </c>
      <c r="G851">
        <v>1</v>
      </c>
      <c r="H851">
        <v>500</v>
      </c>
      <c r="I851">
        <v>500</v>
      </c>
    </row>
    <row r="852" spans="1:9" x14ac:dyDescent="0.3">
      <c r="A852">
        <v>849</v>
      </c>
      <c r="B852" s="24">
        <v>44314</v>
      </c>
      <c r="C852" t="s">
        <v>81</v>
      </c>
      <c r="D852" t="s">
        <v>22</v>
      </c>
      <c r="E852" t="s">
        <v>23</v>
      </c>
      <c r="F852">
        <v>500</v>
      </c>
      <c r="G852">
        <v>1</v>
      </c>
      <c r="H852">
        <v>500</v>
      </c>
      <c r="I852">
        <v>500</v>
      </c>
    </row>
    <row r="853" spans="1:9" x14ac:dyDescent="0.3">
      <c r="A853">
        <v>850</v>
      </c>
      <c r="B853" s="24">
        <v>44315</v>
      </c>
      <c r="C853" t="s">
        <v>81</v>
      </c>
      <c r="D853" t="s">
        <v>18</v>
      </c>
      <c r="E853" t="s">
        <v>17</v>
      </c>
      <c r="F853">
        <v>600</v>
      </c>
      <c r="G853">
        <v>1</v>
      </c>
      <c r="H853">
        <v>600</v>
      </c>
      <c r="I853">
        <v>600</v>
      </c>
    </row>
    <row r="854" spans="1:9" x14ac:dyDescent="0.3">
      <c r="A854">
        <v>851</v>
      </c>
      <c r="B854" s="24">
        <v>44316</v>
      </c>
      <c r="C854" t="s">
        <v>81</v>
      </c>
      <c r="D854" t="s">
        <v>18</v>
      </c>
      <c r="E854" t="s">
        <v>17</v>
      </c>
      <c r="F854">
        <v>600</v>
      </c>
      <c r="G854">
        <v>1</v>
      </c>
      <c r="H854">
        <v>600</v>
      </c>
      <c r="I854">
        <v>600</v>
      </c>
    </row>
    <row r="855" spans="1:9" x14ac:dyDescent="0.3">
      <c r="A855">
        <v>852</v>
      </c>
      <c r="B855" s="24">
        <v>44317</v>
      </c>
      <c r="C855" t="s">
        <v>81</v>
      </c>
      <c r="D855" t="s">
        <v>16</v>
      </c>
      <c r="E855" t="s">
        <v>17</v>
      </c>
      <c r="F855">
        <v>800</v>
      </c>
      <c r="G855">
        <v>1</v>
      </c>
      <c r="H855">
        <v>800</v>
      </c>
      <c r="I855">
        <v>800</v>
      </c>
    </row>
    <row r="856" spans="1:9" x14ac:dyDescent="0.3">
      <c r="A856">
        <v>853</v>
      </c>
      <c r="B856" s="24">
        <v>44318</v>
      </c>
      <c r="C856" t="s">
        <v>81</v>
      </c>
      <c r="D856" t="s">
        <v>19</v>
      </c>
      <c r="E856" t="s">
        <v>20</v>
      </c>
      <c r="F856">
        <v>850</v>
      </c>
      <c r="G856">
        <v>1</v>
      </c>
      <c r="H856">
        <v>850</v>
      </c>
      <c r="I856">
        <v>850</v>
      </c>
    </row>
    <row r="857" spans="1:9" x14ac:dyDescent="0.3">
      <c r="A857">
        <v>854</v>
      </c>
      <c r="B857" s="24">
        <v>44319</v>
      </c>
      <c r="C857" t="s">
        <v>81</v>
      </c>
      <c r="D857" t="s">
        <v>22</v>
      </c>
      <c r="E857" t="s">
        <v>23</v>
      </c>
      <c r="F857">
        <v>500</v>
      </c>
      <c r="G857">
        <v>1</v>
      </c>
      <c r="H857">
        <v>500</v>
      </c>
      <c r="I857">
        <v>500</v>
      </c>
    </row>
    <row r="858" spans="1:9" x14ac:dyDescent="0.3">
      <c r="A858">
        <v>855</v>
      </c>
      <c r="B858" s="24">
        <v>44320</v>
      </c>
      <c r="C858" t="s">
        <v>81</v>
      </c>
      <c r="D858" t="s">
        <v>22</v>
      </c>
      <c r="E858" t="s">
        <v>23</v>
      </c>
      <c r="F858">
        <v>500</v>
      </c>
      <c r="G858">
        <v>1</v>
      </c>
      <c r="H858">
        <v>500</v>
      </c>
      <c r="I858">
        <v>500</v>
      </c>
    </row>
    <row r="859" spans="1:9" x14ac:dyDescent="0.3">
      <c r="A859">
        <v>856</v>
      </c>
      <c r="B859" s="24">
        <v>44321</v>
      </c>
      <c r="C859" t="s">
        <v>81</v>
      </c>
      <c r="D859" t="s">
        <v>10</v>
      </c>
      <c r="E859" t="s">
        <v>11</v>
      </c>
      <c r="F859">
        <v>1100</v>
      </c>
      <c r="G859">
        <v>1</v>
      </c>
      <c r="H859">
        <v>1100</v>
      </c>
      <c r="I859">
        <v>1100</v>
      </c>
    </row>
    <row r="860" spans="1:9" x14ac:dyDescent="0.3">
      <c r="A860">
        <v>857</v>
      </c>
      <c r="B860" s="24">
        <v>44322</v>
      </c>
      <c r="C860" t="s">
        <v>81</v>
      </c>
      <c r="D860" t="s">
        <v>22</v>
      </c>
      <c r="E860" t="s">
        <v>23</v>
      </c>
      <c r="F860">
        <v>500</v>
      </c>
      <c r="G860">
        <v>1</v>
      </c>
      <c r="H860">
        <v>500</v>
      </c>
      <c r="I860">
        <v>500</v>
      </c>
    </row>
    <row r="861" spans="1:9" x14ac:dyDescent="0.3">
      <c r="A861">
        <v>858</v>
      </c>
      <c r="B861" s="24">
        <v>44323</v>
      </c>
      <c r="C861" t="s">
        <v>81</v>
      </c>
      <c r="D861" t="s">
        <v>15</v>
      </c>
      <c r="E861" t="s">
        <v>11</v>
      </c>
      <c r="F861">
        <v>1000</v>
      </c>
      <c r="G861">
        <v>1</v>
      </c>
      <c r="H861">
        <v>1000</v>
      </c>
      <c r="I861">
        <v>1000</v>
      </c>
    </row>
    <row r="862" spans="1:9" x14ac:dyDescent="0.3">
      <c r="A862">
        <v>859</v>
      </c>
      <c r="B862" s="24">
        <v>44324</v>
      </c>
      <c r="C862" t="s">
        <v>81</v>
      </c>
      <c r="D862" t="s">
        <v>16</v>
      </c>
      <c r="E862" t="s">
        <v>17</v>
      </c>
      <c r="F862">
        <v>800</v>
      </c>
      <c r="G862">
        <v>1</v>
      </c>
      <c r="H862">
        <v>800</v>
      </c>
      <c r="I862">
        <v>800</v>
      </c>
    </row>
    <row r="863" spans="1:9" x14ac:dyDescent="0.3">
      <c r="A863">
        <v>860</v>
      </c>
      <c r="B863" s="24">
        <v>44325</v>
      </c>
      <c r="C863" t="s">
        <v>81</v>
      </c>
      <c r="D863" t="s">
        <v>24</v>
      </c>
      <c r="E863" t="s">
        <v>23</v>
      </c>
      <c r="F863">
        <v>600</v>
      </c>
      <c r="G863">
        <v>1</v>
      </c>
      <c r="H863">
        <v>600</v>
      </c>
      <c r="I863">
        <v>600</v>
      </c>
    </row>
    <row r="864" spans="1:9" x14ac:dyDescent="0.3">
      <c r="A864">
        <v>861</v>
      </c>
      <c r="B864" s="24">
        <v>44326</v>
      </c>
      <c r="C864" t="s">
        <v>81</v>
      </c>
      <c r="D864" t="s">
        <v>24</v>
      </c>
      <c r="E864" t="s">
        <v>23</v>
      </c>
      <c r="F864">
        <v>600</v>
      </c>
      <c r="G864">
        <v>1</v>
      </c>
      <c r="H864">
        <v>600</v>
      </c>
      <c r="I864">
        <v>600</v>
      </c>
    </row>
    <row r="865" spans="1:9" x14ac:dyDescent="0.3">
      <c r="A865">
        <v>862</v>
      </c>
      <c r="B865" s="24">
        <v>44327</v>
      </c>
      <c r="C865" t="s">
        <v>81</v>
      </c>
      <c r="D865" t="s">
        <v>19</v>
      </c>
      <c r="E865" t="s">
        <v>20</v>
      </c>
      <c r="F865">
        <v>850</v>
      </c>
      <c r="G865">
        <v>1</v>
      </c>
      <c r="H865">
        <v>850</v>
      </c>
      <c r="I865">
        <v>850</v>
      </c>
    </row>
    <row r="866" spans="1:9" x14ac:dyDescent="0.3">
      <c r="A866">
        <v>863</v>
      </c>
      <c r="B866" s="24">
        <v>44328</v>
      </c>
      <c r="C866" t="s">
        <v>81</v>
      </c>
      <c r="D866" t="s">
        <v>24</v>
      </c>
      <c r="E866" t="s">
        <v>23</v>
      </c>
      <c r="F866">
        <v>600</v>
      </c>
      <c r="G866">
        <v>1</v>
      </c>
      <c r="H866">
        <v>600</v>
      </c>
      <c r="I866">
        <v>600</v>
      </c>
    </row>
    <row r="867" spans="1:9" x14ac:dyDescent="0.3">
      <c r="A867">
        <v>864</v>
      </c>
      <c r="B867" s="24">
        <v>44329</v>
      </c>
      <c r="C867" t="s">
        <v>81</v>
      </c>
      <c r="D867" t="s">
        <v>18</v>
      </c>
      <c r="E867" t="s">
        <v>17</v>
      </c>
      <c r="F867">
        <v>600</v>
      </c>
      <c r="G867">
        <v>1</v>
      </c>
      <c r="H867">
        <v>600</v>
      </c>
      <c r="I867">
        <v>600</v>
      </c>
    </row>
    <row r="868" spans="1:9" x14ac:dyDescent="0.3">
      <c r="A868">
        <v>865</v>
      </c>
      <c r="B868" s="24">
        <v>44330</v>
      </c>
      <c r="C868" t="s">
        <v>81</v>
      </c>
      <c r="D868" t="s">
        <v>24</v>
      </c>
      <c r="E868" t="s">
        <v>23</v>
      </c>
      <c r="F868">
        <v>600</v>
      </c>
      <c r="G868">
        <v>1</v>
      </c>
      <c r="H868">
        <v>600</v>
      </c>
      <c r="I868">
        <v>600</v>
      </c>
    </row>
    <row r="869" spans="1:9" x14ac:dyDescent="0.3">
      <c r="A869">
        <v>866</v>
      </c>
      <c r="B869" s="24">
        <v>44331</v>
      </c>
      <c r="C869" t="s">
        <v>81</v>
      </c>
      <c r="D869" t="s">
        <v>10</v>
      </c>
      <c r="E869" t="s">
        <v>11</v>
      </c>
      <c r="F869">
        <v>1100</v>
      </c>
      <c r="G869">
        <v>1</v>
      </c>
      <c r="H869">
        <v>1100</v>
      </c>
      <c r="I869">
        <v>1100</v>
      </c>
    </row>
    <row r="870" spans="1:9" x14ac:dyDescent="0.3">
      <c r="A870">
        <v>867</v>
      </c>
      <c r="B870" s="24">
        <v>44332</v>
      </c>
      <c r="C870" t="s">
        <v>81</v>
      </c>
      <c r="D870" t="s">
        <v>18</v>
      </c>
      <c r="E870" t="s">
        <v>17</v>
      </c>
      <c r="F870">
        <v>600</v>
      </c>
      <c r="G870">
        <v>1</v>
      </c>
      <c r="H870">
        <v>600</v>
      </c>
      <c r="I870">
        <v>600</v>
      </c>
    </row>
    <row r="871" spans="1:9" x14ac:dyDescent="0.3">
      <c r="A871">
        <v>868</v>
      </c>
      <c r="B871" s="24">
        <v>44333</v>
      </c>
      <c r="C871" t="s">
        <v>81</v>
      </c>
      <c r="D871" t="s">
        <v>10</v>
      </c>
      <c r="E871" t="s">
        <v>11</v>
      </c>
      <c r="F871">
        <v>1100</v>
      </c>
      <c r="G871">
        <v>1</v>
      </c>
      <c r="H871">
        <v>1100</v>
      </c>
      <c r="I871">
        <v>1100</v>
      </c>
    </row>
    <row r="872" spans="1:9" x14ac:dyDescent="0.3">
      <c r="A872">
        <v>869</v>
      </c>
      <c r="B872" s="24">
        <v>44334</v>
      </c>
      <c r="C872" t="s">
        <v>81</v>
      </c>
      <c r="D872" t="s">
        <v>10</v>
      </c>
      <c r="E872" t="s">
        <v>11</v>
      </c>
      <c r="F872">
        <v>1100</v>
      </c>
      <c r="G872">
        <v>1</v>
      </c>
      <c r="H872">
        <v>1100</v>
      </c>
      <c r="I872">
        <v>1100</v>
      </c>
    </row>
    <row r="873" spans="1:9" x14ac:dyDescent="0.3">
      <c r="A873">
        <v>870</v>
      </c>
      <c r="B873" s="24">
        <v>44335</v>
      </c>
      <c r="C873" t="s">
        <v>81</v>
      </c>
      <c r="D873" t="s">
        <v>10</v>
      </c>
      <c r="E873" t="s">
        <v>11</v>
      </c>
      <c r="F873">
        <v>1100</v>
      </c>
      <c r="G873">
        <v>1</v>
      </c>
      <c r="H873">
        <v>1100</v>
      </c>
      <c r="I873">
        <v>1100</v>
      </c>
    </row>
    <row r="874" spans="1:9" x14ac:dyDescent="0.3">
      <c r="A874">
        <v>871</v>
      </c>
      <c r="B874" s="24">
        <v>44336</v>
      </c>
      <c r="C874" t="s">
        <v>81</v>
      </c>
      <c r="D874" t="s">
        <v>19</v>
      </c>
      <c r="E874" t="s">
        <v>20</v>
      </c>
      <c r="F874">
        <v>850</v>
      </c>
      <c r="G874">
        <v>1</v>
      </c>
      <c r="H874">
        <v>850</v>
      </c>
      <c r="I874">
        <v>850</v>
      </c>
    </row>
    <row r="875" spans="1:9" x14ac:dyDescent="0.3">
      <c r="A875">
        <v>872</v>
      </c>
      <c r="B875" s="24">
        <v>44337</v>
      </c>
      <c r="C875" t="s">
        <v>81</v>
      </c>
      <c r="D875" t="s">
        <v>18</v>
      </c>
      <c r="E875" t="s">
        <v>17</v>
      </c>
      <c r="F875">
        <v>600</v>
      </c>
      <c r="G875">
        <v>1</v>
      </c>
      <c r="H875">
        <v>600</v>
      </c>
      <c r="I875">
        <v>600</v>
      </c>
    </row>
    <row r="876" spans="1:9" x14ac:dyDescent="0.3">
      <c r="A876">
        <v>873</v>
      </c>
      <c r="B876" s="24">
        <v>44338</v>
      </c>
      <c r="C876" t="s">
        <v>81</v>
      </c>
      <c r="D876" t="s">
        <v>18</v>
      </c>
      <c r="E876" t="s">
        <v>17</v>
      </c>
      <c r="F876">
        <v>600</v>
      </c>
      <c r="G876">
        <v>1</v>
      </c>
      <c r="H876">
        <v>600</v>
      </c>
      <c r="I876">
        <v>600</v>
      </c>
    </row>
    <row r="877" spans="1:9" x14ac:dyDescent="0.3">
      <c r="A877">
        <v>874</v>
      </c>
      <c r="B877" s="24">
        <v>44339</v>
      </c>
      <c r="C877" t="s">
        <v>81</v>
      </c>
      <c r="D877" t="s">
        <v>16</v>
      </c>
      <c r="E877" t="s">
        <v>17</v>
      </c>
      <c r="F877">
        <v>800</v>
      </c>
      <c r="G877">
        <v>1</v>
      </c>
      <c r="H877">
        <v>800</v>
      </c>
      <c r="I877">
        <v>800</v>
      </c>
    </row>
    <row r="878" spans="1:9" x14ac:dyDescent="0.3">
      <c r="A878">
        <v>875</v>
      </c>
      <c r="B878" s="24">
        <v>44340</v>
      </c>
      <c r="C878" t="s">
        <v>81</v>
      </c>
      <c r="D878" t="s">
        <v>21</v>
      </c>
      <c r="E878" t="s">
        <v>20</v>
      </c>
      <c r="F878">
        <v>1200</v>
      </c>
      <c r="G878">
        <v>1</v>
      </c>
      <c r="H878">
        <v>1200</v>
      </c>
      <c r="I878">
        <v>1200</v>
      </c>
    </row>
    <row r="879" spans="1:9" x14ac:dyDescent="0.3">
      <c r="A879">
        <v>876</v>
      </c>
      <c r="B879" s="24">
        <v>44341</v>
      </c>
      <c r="C879" t="s">
        <v>81</v>
      </c>
      <c r="D879" t="s">
        <v>15</v>
      </c>
      <c r="E879" t="s">
        <v>11</v>
      </c>
      <c r="F879">
        <v>1000</v>
      </c>
      <c r="G879">
        <v>1</v>
      </c>
      <c r="H879">
        <v>1000</v>
      </c>
      <c r="I879">
        <v>1000</v>
      </c>
    </row>
    <row r="880" spans="1:9" x14ac:dyDescent="0.3">
      <c r="A880">
        <v>877</v>
      </c>
      <c r="B880" s="24">
        <v>44342</v>
      </c>
      <c r="C880" t="s">
        <v>81</v>
      </c>
      <c r="D880" t="s">
        <v>24</v>
      </c>
      <c r="E880" t="s">
        <v>23</v>
      </c>
      <c r="F880">
        <v>600</v>
      </c>
      <c r="G880">
        <v>1</v>
      </c>
      <c r="H880">
        <v>600</v>
      </c>
      <c r="I880">
        <v>600</v>
      </c>
    </row>
    <row r="881" spans="1:9" x14ac:dyDescent="0.3">
      <c r="A881">
        <v>878</v>
      </c>
      <c r="B881" s="24">
        <v>44343</v>
      </c>
      <c r="C881" t="s">
        <v>81</v>
      </c>
      <c r="D881" t="s">
        <v>14</v>
      </c>
      <c r="E881" t="s">
        <v>11</v>
      </c>
      <c r="F881">
        <v>900</v>
      </c>
      <c r="G881">
        <v>1</v>
      </c>
      <c r="H881">
        <v>900</v>
      </c>
      <c r="I881">
        <v>900</v>
      </c>
    </row>
    <row r="882" spans="1:9" x14ac:dyDescent="0.3">
      <c r="A882">
        <v>879</v>
      </c>
      <c r="B882" s="24">
        <v>44344</v>
      </c>
      <c r="C882" t="s">
        <v>81</v>
      </c>
      <c r="D882" t="s">
        <v>18</v>
      </c>
      <c r="E882" t="s">
        <v>17</v>
      </c>
      <c r="F882">
        <v>600</v>
      </c>
      <c r="G882">
        <v>1</v>
      </c>
      <c r="H882">
        <v>600</v>
      </c>
      <c r="I882">
        <v>600</v>
      </c>
    </row>
    <row r="883" spans="1:9" x14ac:dyDescent="0.3">
      <c r="A883">
        <v>880</v>
      </c>
      <c r="B883" s="24">
        <v>44345</v>
      </c>
      <c r="C883" t="s">
        <v>81</v>
      </c>
      <c r="D883" t="s">
        <v>12</v>
      </c>
      <c r="E883" t="s">
        <v>11</v>
      </c>
      <c r="F883">
        <v>900</v>
      </c>
      <c r="G883">
        <v>1</v>
      </c>
      <c r="H883">
        <v>900</v>
      </c>
      <c r="I883">
        <v>765</v>
      </c>
    </row>
    <row r="884" spans="1:9" x14ac:dyDescent="0.3">
      <c r="A884">
        <v>881</v>
      </c>
      <c r="B884" s="24">
        <v>44346</v>
      </c>
      <c r="C884" t="s">
        <v>81</v>
      </c>
      <c r="D884" t="s">
        <v>24</v>
      </c>
      <c r="E884" t="s">
        <v>23</v>
      </c>
      <c r="F884">
        <v>600</v>
      </c>
      <c r="G884">
        <v>1</v>
      </c>
      <c r="H884">
        <v>600</v>
      </c>
      <c r="I884">
        <v>600</v>
      </c>
    </row>
    <row r="885" spans="1:9" x14ac:dyDescent="0.3">
      <c r="A885">
        <v>882</v>
      </c>
      <c r="B885" s="24">
        <v>44347</v>
      </c>
      <c r="C885" t="s">
        <v>81</v>
      </c>
      <c r="D885" t="s">
        <v>19</v>
      </c>
      <c r="E885" t="s">
        <v>20</v>
      </c>
      <c r="F885">
        <v>850</v>
      </c>
      <c r="G885">
        <v>1</v>
      </c>
      <c r="H885">
        <v>850</v>
      </c>
      <c r="I885">
        <v>850</v>
      </c>
    </row>
    <row r="886" spans="1:9" x14ac:dyDescent="0.3">
      <c r="A886">
        <v>883</v>
      </c>
      <c r="B886" s="24">
        <v>44348</v>
      </c>
      <c r="C886" t="s">
        <v>81</v>
      </c>
      <c r="D886" t="s">
        <v>14</v>
      </c>
      <c r="E886" t="s">
        <v>11</v>
      </c>
      <c r="F886">
        <v>900</v>
      </c>
      <c r="G886">
        <v>1</v>
      </c>
      <c r="H886">
        <v>900</v>
      </c>
      <c r="I886">
        <v>900</v>
      </c>
    </row>
    <row r="887" spans="1:9" x14ac:dyDescent="0.3">
      <c r="A887">
        <v>884</v>
      </c>
      <c r="B887" s="24">
        <v>44349</v>
      </c>
      <c r="C887" t="s">
        <v>81</v>
      </c>
      <c r="D887" t="s">
        <v>10</v>
      </c>
      <c r="E887" t="s">
        <v>11</v>
      </c>
      <c r="F887">
        <v>1100</v>
      </c>
      <c r="G887">
        <v>1</v>
      </c>
      <c r="H887">
        <v>1100</v>
      </c>
      <c r="I887">
        <v>1100</v>
      </c>
    </row>
    <row r="888" spans="1:9" x14ac:dyDescent="0.3">
      <c r="A888">
        <v>885</v>
      </c>
      <c r="B888" s="24">
        <v>44350</v>
      </c>
      <c r="C888" t="s">
        <v>81</v>
      </c>
      <c r="D888" t="s">
        <v>14</v>
      </c>
      <c r="E888" t="s">
        <v>11</v>
      </c>
      <c r="F888">
        <v>900</v>
      </c>
      <c r="G888">
        <v>1</v>
      </c>
      <c r="H888">
        <v>900</v>
      </c>
      <c r="I888">
        <v>900</v>
      </c>
    </row>
    <row r="889" spans="1:9" x14ac:dyDescent="0.3">
      <c r="A889">
        <v>886</v>
      </c>
      <c r="B889" s="24">
        <v>44351</v>
      </c>
      <c r="C889" t="s">
        <v>81</v>
      </c>
      <c r="D889" t="s">
        <v>15</v>
      </c>
      <c r="E889" t="s">
        <v>11</v>
      </c>
      <c r="F889">
        <v>1000</v>
      </c>
      <c r="G889">
        <v>1</v>
      </c>
      <c r="H889">
        <v>1000</v>
      </c>
      <c r="I889">
        <v>1000</v>
      </c>
    </row>
    <row r="890" spans="1:9" x14ac:dyDescent="0.3">
      <c r="A890">
        <v>887</v>
      </c>
      <c r="B890" s="24">
        <v>44352</v>
      </c>
      <c r="C890" t="s">
        <v>81</v>
      </c>
      <c r="D890" t="s">
        <v>10</v>
      </c>
      <c r="E890" t="s">
        <v>11</v>
      </c>
      <c r="F890">
        <v>1100</v>
      </c>
      <c r="G890">
        <v>1</v>
      </c>
      <c r="H890">
        <v>1100</v>
      </c>
      <c r="I890">
        <v>1100</v>
      </c>
    </row>
    <row r="891" spans="1:9" x14ac:dyDescent="0.3">
      <c r="A891">
        <v>888</v>
      </c>
      <c r="B891" s="24">
        <v>44353</v>
      </c>
      <c r="C891" t="s">
        <v>81</v>
      </c>
      <c r="D891" t="s">
        <v>15</v>
      </c>
      <c r="E891" t="s">
        <v>11</v>
      </c>
      <c r="F891">
        <v>1000</v>
      </c>
      <c r="G891">
        <v>1</v>
      </c>
      <c r="H891">
        <v>1000</v>
      </c>
      <c r="I891">
        <v>1000</v>
      </c>
    </row>
    <row r="892" spans="1:9" x14ac:dyDescent="0.3">
      <c r="A892">
        <v>889</v>
      </c>
      <c r="B892" s="24">
        <v>44354</v>
      </c>
      <c r="C892" t="s">
        <v>81</v>
      </c>
      <c r="D892" t="s">
        <v>10</v>
      </c>
      <c r="E892" t="s">
        <v>11</v>
      </c>
      <c r="F892">
        <v>1100</v>
      </c>
      <c r="G892">
        <v>1</v>
      </c>
      <c r="H892">
        <v>1100</v>
      </c>
      <c r="I892">
        <v>1100</v>
      </c>
    </row>
    <row r="893" spans="1:9" x14ac:dyDescent="0.3">
      <c r="A893">
        <v>890</v>
      </c>
      <c r="B893" s="24">
        <v>44355</v>
      </c>
      <c r="C893" t="s">
        <v>81</v>
      </c>
      <c r="D893" t="s">
        <v>14</v>
      </c>
      <c r="E893" t="s">
        <v>11</v>
      </c>
      <c r="F893">
        <v>900</v>
      </c>
      <c r="G893">
        <v>1</v>
      </c>
      <c r="H893">
        <v>900</v>
      </c>
      <c r="I893">
        <v>900</v>
      </c>
    </row>
    <row r="894" spans="1:9" x14ac:dyDescent="0.3">
      <c r="A894">
        <v>891</v>
      </c>
      <c r="B894" s="24">
        <v>44356</v>
      </c>
      <c r="C894" t="s">
        <v>81</v>
      </c>
      <c r="D894" t="s">
        <v>12</v>
      </c>
      <c r="E894" t="s">
        <v>11</v>
      </c>
      <c r="F894">
        <v>900</v>
      </c>
      <c r="G894">
        <v>1</v>
      </c>
      <c r="H894">
        <v>900</v>
      </c>
      <c r="I894">
        <v>765</v>
      </c>
    </row>
    <row r="895" spans="1:9" x14ac:dyDescent="0.3">
      <c r="A895">
        <v>892</v>
      </c>
      <c r="B895" s="24">
        <v>44357</v>
      </c>
      <c r="C895" t="s">
        <v>81</v>
      </c>
      <c r="D895" t="s">
        <v>10</v>
      </c>
      <c r="E895" t="s">
        <v>11</v>
      </c>
      <c r="F895">
        <v>1100</v>
      </c>
      <c r="G895">
        <v>1</v>
      </c>
      <c r="H895">
        <v>1100</v>
      </c>
      <c r="I895">
        <v>1100</v>
      </c>
    </row>
    <row r="896" spans="1:9" x14ac:dyDescent="0.3">
      <c r="A896">
        <v>893</v>
      </c>
      <c r="B896" s="24">
        <v>44358</v>
      </c>
      <c r="C896" t="s">
        <v>81</v>
      </c>
      <c r="D896" t="s">
        <v>10</v>
      </c>
      <c r="E896" t="s">
        <v>11</v>
      </c>
      <c r="F896">
        <v>1100</v>
      </c>
      <c r="G896">
        <v>1</v>
      </c>
      <c r="H896">
        <v>1100</v>
      </c>
      <c r="I896">
        <v>1100</v>
      </c>
    </row>
    <row r="897" spans="1:9" x14ac:dyDescent="0.3">
      <c r="A897">
        <v>894</v>
      </c>
      <c r="B897" s="24">
        <v>44359</v>
      </c>
      <c r="C897" t="s">
        <v>81</v>
      </c>
      <c r="D897" t="s">
        <v>15</v>
      </c>
      <c r="E897" t="s">
        <v>11</v>
      </c>
      <c r="F897">
        <v>1000</v>
      </c>
      <c r="G897">
        <v>1</v>
      </c>
      <c r="H897">
        <v>1000</v>
      </c>
      <c r="I897">
        <v>1000</v>
      </c>
    </row>
    <row r="898" spans="1:9" x14ac:dyDescent="0.3">
      <c r="A898">
        <v>895</v>
      </c>
      <c r="B898" s="24">
        <v>44360</v>
      </c>
      <c r="C898" t="s">
        <v>81</v>
      </c>
      <c r="D898" t="s">
        <v>12</v>
      </c>
      <c r="E898" t="s">
        <v>11</v>
      </c>
      <c r="F898">
        <v>900</v>
      </c>
      <c r="G898">
        <v>1</v>
      </c>
      <c r="H898">
        <v>900</v>
      </c>
      <c r="I898">
        <v>765</v>
      </c>
    </row>
    <row r="899" spans="1:9" x14ac:dyDescent="0.3">
      <c r="A899">
        <v>896</v>
      </c>
      <c r="B899" s="24">
        <v>44361</v>
      </c>
      <c r="C899" t="s">
        <v>81</v>
      </c>
      <c r="D899" t="s">
        <v>18</v>
      </c>
      <c r="E899" t="s">
        <v>17</v>
      </c>
      <c r="F899">
        <v>600</v>
      </c>
      <c r="G899">
        <v>1</v>
      </c>
      <c r="H899">
        <v>600</v>
      </c>
      <c r="I899">
        <v>600</v>
      </c>
    </row>
    <row r="900" spans="1:9" x14ac:dyDescent="0.3">
      <c r="A900">
        <v>897</v>
      </c>
      <c r="B900" s="24">
        <v>44362</v>
      </c>
      <c r="C900" t="s">
        <v>81</v>
      </c>
      <c r="D900" t="s">
        <v>12</v>
      </c>
      <c r="E900" t="s">
        <v>11</v>
      </c>
      <c r="F900">
        <v>900</v>
      </c>
      <c r="G900">
        <v>1</v>
      </c>
      <c r="H900">
        <v>900</v>
      </c>
      <c r="I900">
        <v>765</v>
      </c>
    </row>
    <row r="901" spans="1:9" x14ac:dyDescent="0.3">
      <c r="A901">
        <v>898</v>
      </c>
      <c r="B901" s="24">
        <v>44363</v>
      </c>
      <c r="C901" t="s">
        <v>81</v>
      </c>
      <c r="D901" t="s">
        <v>18</v>
      </c>
      <c r="E901" t="s">
        <v>17</v>
      </c>
      <c r="F901">
        <v>600</v>
      </c>
      <c r="G901">
        <v>1</v>
      </c>
      <c r="H901">
        <v>600</v>
      </c>
      <c r="I901">
        <v>600</v>
      </c>
    </row>
    <row r="902" spans="1:9" x14ac:dyDescent="0.3">
      <c r="A902">
        <v>899</v>
      </c>
      <c r="B902" s="24">
        <v>44364</v>
      </c>
      <c r="C902" t="s">
        <v>81</v>
      </c>
      <c r="D902" t="s">
        <v>14</v>
      </c>
      <c r="E902" t="s">
        <v>11</v>
      </c>
      <c r="F902">
        <v>900</v>
      </c>
      <c r="G902">
        <v>1</v>
      </c>
      <c r="H902">
        <v>900</v>
      </c>
      <c r="I902">
        <v>900</v>
      </c>
    </row>
    <row r="903" spans="1:9" x14ac:dyDescent="0.3">
      <c r="A903">
        <v>900</v>
      </c>
      <c r="B903" s="24">
        <v>44365</v>
      </c>
      <c r="C903" t="s">
        <v>81</v>
      </c>
      <c r="D903" t="s">
        <v>10</v>
      </c>
      <c r="E903" t="s">
        <v>11</v>
      </c>
      <c r="F903">
        <v>1100</v>
      </c>
      <c r="G903">
        <v>2</v>
      </c>
      <c r="H903">
        <v>2200</v>
      </c>
      <c r="I903">
        <v>2200</v>
      </c>
    </row>
    <row r="904" spans="1:9" x14ac:dyDescent="0.3">
      <c r="A904">
        <v>901</v>
      </c>
      <c r="B904" s="24">
        <v>44366</v>
      </c>
      <c r="C904" t="s">
        <v>81</v>
      </c>
      <c r="D904" t="s">
        <v>18</v>
      </c>
      <c r="E904" t="s">
        <v>17</v>
      </c>
      <c r="F904">
        <v>600</v>
      </c>
      <c r="G904">
        <v>1</v>
      </c>
      <c r="H904">
        <v>600</v>
      </c>
      <c r="I904">
        <v>600</v>
      </c>
    </row>
    <row r="905" spans="1:9" x14ac:dyDescent="0.3">
      <c r="A905">
        <v>902</v>
      </c>
      <c r="B905" s="24">
        <v>44367</v>
      </c>
      <c r="C905" t="s">
        <v>81</v>
      </c>
      <c r="D905" t="s">
        <v>18</v>
      </c>
      <c r="E905" t="s">
        <v>17</v>
      </c>
      <c r="F905">
        <v>600</v>
      </c>
      <c r="G905">
        <v>1</v>
      </c>
      <c r="H905">
        <v>600</v>
      </c>
      <c r="I905">
        <v>600</v>
      </c>
    </row>
    <row r="906" spans="1:9" x14ac:dyDescent="0.3">
      <c r="A906">
        <v>903</v>
      </c>
      <c r="B906" s="24">
        <v>44368</v>
      </c>
      <c r="C906" t="s">
        <v>81</v>
      </c>
      <c r="D906" t="s">
        <v>14</v>
      </c>
      <c r="E906" t="s">
        <v>11</v>
      </c>
      <c r="F906">
        <v>900</v>
      </c>
      <c r="G906">
        <v>1</v>
      </c>
      <c r="H906">
        <v>900</v>
      </c>
      <c r="I906">
        <v>900</v>
      </c>
    </row>
    <row r="907" spans="1:9" x14ac:dyDescent="0.3">
      <c r="A907">
        <v>904</v>
      </c>
      <c r="B907" s="24">
        <v>44369</v>
      </c>
      <c r="C907" t="s">
        <v>81</v>
      </c>
      <c r="D907" t="s">
        <v>10</v>
      </c>
      <c r="E907" t="s">
        <v>11</v>
      </c>
      <c r="F907">
        <v>1100</v>
      </c>
      <c r="G907">
        <v>1</v>
      </c>
      <c r="H907">
        <v>1100</v>
      </c>
      <c r="I907">
        <v>1100</v>
      </c>
    </row>
    <row r="908" spans="1:9" x14ac:dyDescent="0.3">
      <c r="A908">
        <v>905</v>
      </c>
      <c r="B908" s="24">
        <v>44370</v>
      </c>
      <c r="C908" t="s">
        <v>81</v>
      </c>
      <c r="D908" t="s">
        <v>18</v>
      </c>
      <c r="E908" t="s">
        <v>17</v>
      </c>
      <c r="F908">
        <v>600</v>
      </c>
      <c r="G908">
        <v>1</v>
      </c>
      <c r="H908">
        <v>600</v>
      </c>
      <c r="I908">
        <v>600</v>
      </c>
    </row>
    <row r="909" spans="1:9" x14ac:dyDescent="0.3">
      <c r="A909">
        <v>906</v>
      </c>
      <c r="B909" s="24">
        <v>44371</v>
      </c>
      <c r="C909" t="s">
        <v>81</v>
      </c>
      <c r="D909" t="s">
        <v>24</v>
      </c>
      <c r="E909" t="s">
        <v>23</v>
      </c>
      <c r="F909">
        <v>600</v>
      </c>
      <c r="G909">
        <v>1</v>
      </c>
      <c r="H909">
        <v>600</v>
      </c>
      <c r="I909">
        <v>600</v>
      </c>
    </row>
    <row r="910" spans="1:9" x14ac:dyDescent="0.3">
      <c r="A910">
        <v>907</v>
      </c>
      <c r="B910" s="24">
        <v>44372</v>
      </c>
      <c r="C910" t="s">
        <v>81</v>
      </c>
      <c r="D910" t="s">
        <v>18</v>
      </c>
      <c r="E910" t="s">
        <v>17</v>
      </c>
      <c r="F910">
        <v>600</v>
      </c>
      <c r="G910">
        <v>1</v>
      </c>
      <c r="H910">
        <v>600</v>
      </c>
      <c r="I910">
        <v>600</v>
      </c>
    </row>
    <row r="911" spans="1:9" x14ac:dyDescent="0.3">
      <c r="A911">
        <v>908</v>
      </c>
      <c r="B911" s="24">
        <v>44373</v>
      </c>
      <c r="C911" t="s">
        <v>81</v>
      </c>
      <c r="D911" t="s">
        <v>24</v>
      </c>
      <c r="E911" t="s">
        <v>23</v>
      </c>
      <c r="F911">
        <v>600</v>
      </c>
      <c r="G911">
        <v>1</v>
      </c>
      <c r="H911">
        <v>600</v>
      </c>
      <c r="I911">
        <v>600</v>
      </c>
    </row>
    <row r="912" spans="1:9" x14ac:dyDescent="0.3">
      <c r="A912">
        <v>909</v>
      </c>
      <c r="B912" s="24">
        <v>44374</v>
      </c>
      <c r="C912" t="s">
        <v>81</v>
      </c>
      <c r="D912" t="s">
        <v>24</v>
      </c>
      <c r="E912" t="s">
        <v>23</v>
      </c>
      <c r="F912">
        <v>600</v>
      </c>
      <c r="G912">
        <v>2</v>
      </c>
      <c r="H912">
        <v>1200</v>
      </c>
      <c r="I912">
        <v>1200</v>
      </c>
    </row>
    <row r="913" spans="1:9" x14ac:dyDescent="0.3">
      <c r="A913">
        <v>910</v>
      </c>
      <c r="B913" s="24">
        <v>44375</v>
      </c>
      <c r="C913" t="s">
        <v>81</v>
      </c>
      <c r="D913" t="s">
        <v>18</v>
      </c>
      <c r="E913" t="s">
        <v>17</v>
      </c>
      <c r="F913">
        <v>600</v>
      </c>
      <c r="G913">
        <v>1</v>
      </c>
      <c r="H913">
        <v>600</v>
      </c>
      <c r="I913">
        <v>600</v>
      </c>
    </row>
    <row r="914" spans="1:9" x14ac:dyDescent="0.3">
      <c r="A914">
        <v>911</v>
      </c>
      <c r="B914" s="24">
        <v>44376</v>
      </c>
      <c r="C914" t="s">
        <v>81</v>
      </c>
      <c r="D914" t="s">
        <v>10</v>
      </c>
      <c r="E914" t="s">
        <v>11</v>
      </c>
      <c r="F914">
        <v>1100</v>
      </c>
      <c r="G914">
        <v>3</v>
      </c>
      <c r="H914">
        <v>3300</v>
      </c>
      <c r="I914">
        <v>3300</v>
      </c>
    </row>
    <row r="915" spans="1:9" x14ac:dyDescent="0.3">
      <c r="A915">
        <v>912</v>
      </c>
      <c r="B915" s="24">
        <v>44377</v>
      </c>
      <c r="C915" t="s">
        <v>81</v>
      </c>
      <c r="D915" t="s">
        <v>10</v>
      </c>
      <c r="E915" t="s">
        <v>11</v>
      </c>
      <c r="F915">
        <v>1100</v>
      </c>
      <c r="G915">
        <v>1</v>
      </c>
      <c r="H915">
        <v>1100</v>
      </c>
      <c r="I915">
        <v>1100</v>
      </c>
    </row>
    <row r="916" spans="1:9" x14ac:dyDescent="0.3">
      <c r="A916">
        <v>913</v>
      </c>
      <c r="B916" s="24">
        <v>44378</v>
      </c>
      <c r="C916" t="s">
        <v>81</v>
      </c>
      <c r="D916" t="s">
        <v>19</v>
      </c>
      <c r="E916" t="s">
        <v>20</v>
      </c>
      <c r="F916">
        <v>850</v>
      </c>
      <c r="G916">
        <v>1</v>
      </c>
      <c r="H916">
        <v>850</v>
      </c>
      <c r="I916">
        <v>850</v>
      </c>
    </row>
    <row r="917" spans="1:9" x14ac:dyDescent="0.3">
      <c r="A917">
        <v>914</v>
      </c>
      <c r="B917" s="24">
        <v>44379</v>
      </c>
      <c r="C917" t="s">
        <v>81</v>
      </c>
      <c r="D917" t="s">
        <v>21</v>
      </c>
      <c r="E917" t="s">
        <v>20</v>
      </c>
      <c r="F917">
        <v>1200</v>
      </c>
      <c r="G917">
        <v>1</v>
      </c>
      <c r="H917">
        <v>1200</v>
      </c>
      <c r="I917">
        <v>1200</v>
      </c>
    </row>
    <row r="918" spans="1:9" x14ac:dyDescent="0.3">
      <c r="A918">
        <v>915</v>
      </c>
      <c r="B918" s="24">
        <v>44380</v>
      </c>
      <c r="C918" t="s">
        <v>81</v>
      </c>
      <c r="D918" t="s">
        <v>16</v>
      </c>
      <c r="E918" t="s">
        <v>17</v>
      </c>
      <c r="F918">
        <v>800</v>
      </c>
      <c r="G918">
        <v>1</v>
      </c>
      <c r="H918">
        <v>800</v>
      </c>
      <c r="I918">
        <v>800</v>
      </c>
    </row>
    <row r="919" spans="1:9" x14ac:dyDescent="0.3">
      <c r="A919">
        <v>916</v>
      </c>
      <c r="B919" s="24">
        <v>44381</v>
      </c>
      <c r="C919" t="s">
        <v>81</v>
      </c>
      <c r="D919" t="s">
        <v>14</v>
      </c>
      <c r="E919" t="s">
        <v>11</v>
      </c>
      <c r="F919">
        <v>900</v>
      </c>
      <c r="G919">
        <v>1</v>
      </c>
      <c r="H919">
        <v>900</v>
      </c>
      <c r="I919">
        <v>900</v>
      </c>
    </row>
    <row r="920" spans="1:9" x14ac:dyDescent="0.3">
      <c r="A920">
        <v>917</v>
      </c>
      <c r="B920" s="24">
        <v>44382</v>
      </c>
      <c r="C920" t="s">
        <v>81</v>
      </c>
      <c r="D920" t="s">
        <v>10</v>
      </c>
      <c r="E920" t="s">
        <v>11</v>
      </c>
      <c r="F920">
        <v>1100</v>
      </c>
      <c r="G920">
        <v>1</v>
      </c>
      <c r="H920">
        <v>1100</v>
      </c>
      <c r="I920">
        <v>1100</v>
      </c>
    </row>
    <row r="921" spans="1:9" x14ac:dyDescent="0.3">
      <c r="A921">
        <v>918</v>
      </c>
      <c r="B921" s="24">
        <v>44383</v>
      </c>
      <c r="C921" t="s">
        <v>81</v>
      </c>
      <c r="D921" t="s">
        <v>12</v>
      </c>
      <c r="E921" t="s">
        <v>11</v>
      </c>
      <c r="F921">
        <v>900</v>
      </c>
      <c r="G921">
        <v>1</v>
      </c>
      <c r="H921">
        <v>900</v>
      </c>
      <c r="I921">
        <v>765</v>
      </c>
    </row>
    <row r="922" spans="1:9" x14ac:dyDescent="0.3">
      <c r="A922">
        <v>919</v>
      </c>
      <c r="B922" s="24">
        <v>44384</v>
      </c>
      <c r="C922" t="s">
        <v>81</v>
      </c>
      <c r="D922" t="s">
        <v>10</v>
      </c>
      <c r="E922" t="s">
        <v>11</v>
      </c>
      <c r="F922">
        <v>1100</v>
      </c>
      <c r="G922">
        <v>1</v>
      </c>
      <c r="H922">
        <v>1100</v>
      </c>
      <c r="I922">
        <v>1100</v>
      </c>
    </row>
    <row r="923" spans="1:9" x14ac:dyDescent="0.3">
      <c r="A923">
        <v>920</v>
      </c>
      <c r="B923" s="24">
        <v>44385</v>
      </c>
      <c r="C923" t="s">
        <v>81</v>
      </c>
      <c r="D923" t="s">
        <v>22</v>
      </c>
      <c r="E923" t="s">
        <v>23</v>
      </c>
      <c r="F923">
        <v>900</v>
      </c>
      <c r="G923">
        <v>1</v>
      </c>
      <c r="H923">
        <v>900</v>
      </c>
      <c r="I923">
        <v>900</v>
      </c>
    </row>
    <row r="924" spans="1:9" x14ac:dyDescent="0.3">
      <c r="A924">
        <v>921</v>
      </c>
      <c r="B924" s="24">
        <v>44386</v>
      </c>
      <c r="C924" t="s">
        <v>81</v>
      </c>
      <c r="D924" t="s">
        <v>22</v>
      </c>
      <c r="E924" t="s">
        <v>23</v>
      </c>
      <c r="F924">
        <v>500</v>
      </c>
      <c r="G924">
        <v>1</v>
      </c>
      <c r="H924">
        <v>500</v>
      </c>
      <c r="I924">
        <v>500</v>
      </c>
    </row>
    <row r="925" spans="1:9" x14ac:dyDescent="0.3">
      <c r="A925">
        <v>922</v>
      </c>
      <c r="B925" s="24">
        <v>44387</v>
      </c>
      <c r="C925" t="s">
        <v>81</v>
      </c>
      <c r="D925" t="s">
        <v>15</v>
      </c>
      <c r="E925" t="s">
        <v>11</v>
      </c>
      <c r="F925">
        <v>1000</v>
      </c>
      <c r="G925">
        <v>1</v>
      </c>
      <c r="H925">
        <v>1000</v>
      </c>
      <c r="I925">
        <v>1000</v>
      </c>
    </row>
    <row r="926" spans="1:9" x14ac:dyDescent="0.3">
      <c r="A926">
        <v>923</v>
      </c>
      <c r="B926" s="24">
        <v>44388</v>
      </c>
      <c r="C926" t="s">
        <v>81</v>
      </c>
      <c r="D926" t="s">
        <v>24</v>
      </c>
      <c r="E926" t="s">
        <v>23</v>
      </c>
      <c r="F926">
        <v>600</v>
      </c>
      <c r="G926">
        <v>1</v>
      </c>
      <c r="H926">
        <v>600</v>
      </c>
      <c r="I926">
        <v>600</v>
      </c>
    </row>
    <row r="927" spans="1:9" x14ac:dyDescent="0.3">
      <c r="A927">
        <v>924</v>
      </c>
      <c r="B927" s="24">
        <v>44389</v>
      </c>
      <c r="C927" t="s">
        <v>81</v>
      </c>
      <c r="D927" t="s">
        <v>12</v>
      </c>
      <c r="E927" t="s">
        <v>11</v>
      </c>
      <c r="F927">
        <v>900</v>
      </c>
      <c r="G927">
        <v>2</v>
      </c>
      <c r="H927">
        <v>1800</v>
      </c>
      <c r="I927">
        <v>1530</v>
      </c>
    </row>
    <row r="928" spans="1:9" x14ac:dyDescent="0.3">
      <c r="A928">
        <v>925</v>
      </c>
      <c r="B928" s="24">
        <v>44390</v>
      </c>
      <c r="C928" t="s">
        <v>81</v>
      </c>
      <c r="D928" t="s">
        <v>19</v>
      </c>
      <c r="E928" t="s">
        <v>20</v>
      </c>
      <c r="F928">
        <v>850</v>
      </c>
      <c r="G928">
        <v>1</v>
      </c>
      <c r="H928">
        <v>850</v>
      </c>
      <c r="I928">
        <v>850</v>
      </c>
    </row>
    <row r="929" spans="1:9" x14ac:dyDescent="0.3">
      <c r="A929">
        <v>926</v>
      </c>
      <c r="B929" s="24">
        <v>44391</v>
      </c>
      <c r="C929" t="s">
        <v>81</v>
      </c>
      <c r="D929" t="s">
        <v>16</v>
      </c>
      <c r="E929" t="s">
        <v>17</v>
      </c>
      <c r="F929">
        <v>800</v>
      </c>
      <c r="G929">
        <v>1</v>
      </c>
      <c r="H929">
        <v>800</v>
      </c>
      <c r="I929">
        <v>800</v>
      </c>
    </row>
    <row r="930" spans="1:9" x14ac:dyDescent="0.3">
      <c r="A930">
        <v>927</v>
      </c>
      <c r="B930" s="24">
        <v>44392</v>
      </c>
      <c r="C930" t="s">
        <v>81</v>
      </c>
      <c r="D930" t="s">
        <v>12</v>
      </c>
      <c r="E930" t="s">
        <v>11</v>
      </c>
      <c r="F930">
        <v>900</v>
      </c>
      <c r="G930">
        <v>1</v>
      </c>
      <c r="H930">
        <v>900</v>
      </c>
      <c r="I930">
        <v>765</v>
      </c>
    </row>
    <row r="931" spans="1:9" x14ac:dyDescent="0.3">
      <c r="A931">
        <v>928</v>
      </c>
      <c r="B931" s="24">
        <v>44393</v>
      </c>
      <c r="C931" t="s">
        <v>81</v>
      </c>
      <c r="D931" t="s">
        <v>12</v>
      </c>
      <c r="E931" t="s">
        <v>11</v>
      </c>
      <c r="F931">
        <v>900</v>
      </c>
      <c r="G931">
        <v>1</v>
      </c>
      <c r="H931">
        <v>900</v>
      </c>
      <c r="I931">
        <v>765</v>
      </c>
    </row>
    <row r="932" spans="1:9" x14ac:dyDescent="0.3">
      <c r="A932">
        <v>929</v>
      </c>
      <c r="B932" s="24">
        <v>44394</v>
      </c>
      <c r="C932" t="s">
        <v>81</v>
      </c>
      <c r="D932" t="s">
        <v>10</v>
      </c>
      <c r="E932" t="s">
        <v>11</v>
      </c>
      <c r="F932">
        <v>1100</v>
      </c>
      <c r="G932">
        <v>1</v>
      </c>
      <c r="H932">
        <v>1100</v>
      </c>
      <c r="I932">
        <v>1100</v>
      </c>
    </row>
    <row r="933" spans="1:9" x14ac:dyDescent="0.3">
      <c r="A933">
        <v>930</v>
      </c>
      <c r="B933" s="24">
        <v>44395</v>
      </c>
      <c r="C933" t="s">
        <v>81</v>
      </c>
      <c r="D933" t="s">
        <v>14</v>
      </c>
      <c r="E933" t="s">
        <v>11</v>
      </c>
      <c r="F933">
        <v>900</v>
      </c>
      <c r="G933">
        <v>1</v>
      </c>
      <c r="H933">
        <v>900</v>
      </c>
      <c r="I933">
        <v>900</v>
      </c>
    </row>
    <row r="934" spans="1:9" x14ac:dyDescent="0.3">
      <c r="A934">
        <v>931</v>
      </c>
      <c r="B934" s="24">
        <v>44396</v>
      </c>
      <c r="C934" t="s">
        <v>81</v>
      </c>
      <c r="D934" t="s">
        <v>18</v>
      </c>
      <c r="E934" t="s">
        <v>17</v>
      </c>
      <c r="F934">
        <v>600</v>
      </c>
      <c r="G934">
        <v>1</v>
      </c>
      <c r="H934">
        <v>600</v>
      </c>
      <c r="I934">
        <v>600</v>
      </c>
    </row>
    <row r="935" spans="1:9" x14ac:dyDescent="0.3">
      <c r="A935">
        <v>932</v>
      </c>
      <c r="B935" s="24">
        <v>44397</v>
      </c>
      <c r="C935" t="s">
        <v>81</v>
      </c>
      <c r="D935" t="s">
        <v>18</v>
      </c>
      <c r="E935" t="s">
        <v>17</v>
      </c>
      <c r="F935">
        <v>600</v>
      </c>
      <c r="G935">
        <v>1</v>
      </c>
      <c r="H935">
        <v>600</v>
      </c>
      <c r="I935">
        <v>600</v>
      </c>
    </row>
    <row r="936" spans="1:9" x14ac:dyDescent="0.3">
      <c r="A936">
        <v>933</v>
      </c>
      <c r="B936" s="24">
        <v>44398</v>
      </c>
      <c r="C936" t="s">
        <v>81</v>
      </c>
      <c r="D936" t="s">
        <v>14</v>
      </c>
      <c r="E936" t="s">
        <v>11</v>
      </c>
      <c r="F936">
        <v>900</v>
      </c>
      <c r="G936">
        <v>1</v>
      </c>
      <c r="H936">
        <v>900</v>
      </c>
      <c r="I936">
        <v>900</v>
      </c>
    </row>
    <row r="937" spans="1:9" x14ac:dyDescent="0.3">
      <c r="A937">
        <v>934</v>
      </c>
      <c r="B937" s="24">
        <v>44399</v>
      </c>
      <c r="C937" t="s">
        <v>81</v>
      </c>
      <c r="D937" t="s">
        <v>19</v>
      </c>
      <c r="E937" t="s">
        <v>20</v>
      </c>
      <c r="F937">
        <v>850</v>
      </c>
      <c r="G937">
        <v>1</v>
      </c>
      <c r="H937">
        <v>850</v>
      </c>
      <c r="I937">
        <v>850</v>
      </c>
    </row>
    <row r="938" spans="1:9" x14ac:dyDescent="0.3">
      <c r="A938">
        <v>935</v>
      </c>
      <c r="B938" s="24">
        <v>44400</v>
      </c>
      <c r="C938" t="s">
        <v>81</v>
      </c>
      <c r="D938" t="s">
        <v>14</v>
      </c>
      <c r="E938" t="s">
        <v>11</v>
      </c>
      <c r="F938">
        <v>900</v>
      </c>
      <c r="G938">
        <v>1</v>
      </c>
      <c r="H938">
        <v>900</v>
      </c>
      <c r="I938">
        <v>900</v>
      </c>
    </row>
    <row r="939" spans="1:9" x14ac:dyDescent="0.3">
      <c r="A939">
        <v>936</v>
      </c>
      <c r="B939" s="24">
        <v>44401</v>
      </c>
      <c r="C939" t="s">
        <v>81</v>
      </c>
      <c r="D939" t="s">
        <v>18</v>
      </c>
      <c r="E939" t="s">
        <v>17</v>
      </c>
      <c r="F939">
        <v>600</v>
      </c>
      <c r="G939">
        <v>1</v>
      </c>
      <c r="H939">
        <v>600</v>
      </c>
      <c r="I939">
        <v>600</v>
      </c>
    </row>
    <row r="940" spans="1:9" x14ac:dyDescent="0.3">
      <c r="A940">
        <v>937</v>
      </c>
      <c r="B940" s="24">
        <v>44402</v>
      </c>
      <c r="C940" t="s">
        <v>81</v>
      </c>
      <c r="D940" t="s">
        <v>18</v>
      </c>
      <c r="E940" t="s">
        <v>17</v>
      </c>
      <c r="F940">
        <v>600</v>
      </c>
      <c r="G940">
        <v>1</v>
      </c>
      <c r="H940">
        <v>600</v>
      </c>
      <c r="I940">
        <v>600</v>
      </c>
    </row>
    <row r="941" spans="1:9" x14ac:dyDescent="0.3">
      <c r="A941">
        <v>938</v>
      </c>
      <c r="B941" s="24">
        <v>44403</v>
      </c>
      <c r="C941" t="s">
        <v>81</v>
      </c>
      <c r="D941" t="s">
        <v>10</v>
      </c>
      <c r="E941" t="s">
        <v>11</v>
      </c>
      <c r="F941">
        <v>1100</v>
      </c>
      <c r="G941">
        <v>1</v>
      </c>
      <c r="H941">
        <v>1100</v>
      </c>
      <c r="I941">
        <v>1100</v>
      </c>
    </row>
    <row r="942" spans="1:9" x14ac:dyDescent="0.3">
      <c r="A942">
        <v>939</v>
      </c>
      <c r="B942" s="24">
        <v>44404</v>
      </c>
      <c r="C942" t="s">
        <v>81</v>
      </c>
      <c r="D942" t="s">
        <v>12</v>
      </c>
      <c r="E942" t="s">
        <v>11</v>
      </c>
      <c r="F942">
        <v>900</v>
      </c>
      <c r="G942">
        <v>1</v>
      </c>
      <c r="H942">
        <v>900</v>
      </c>
      <c r="I942">
        <v>765</v>
      </c>
    </row>
    <row r="943" spans="1:9" x14ac:dyDescent="0.3">
      <c r="A943">
        <v>940</v>
      </c>
      <c r="B943" s="24">
        <v>44405</v>
      </c>
      <c r="C943" t="s">
        <v>81</v>
      </c>
      <c r="D943" t="s">
        <v>10</v>
      </c>
      <c r="E943" t="s">
        <v>11</v>
      </c>
      <c r="F943">
        <v>1100</v>
      </c>
      <c r="G943">
        <v>1</v>
      </c>
      <c r="H943">
        <v>1100</v>
      </c>
      <c r="I943">
        <v>1100</v>
      </c>
    </row>
    <row r="944" spans="1:9" x14ac:dyDescent="0.3">
      <c r="A944">
        <v>941</v>
      </c>
      <c r="B944" s="24">
        <v>44406</v>
      </c>
      <c r="C944" t="s">
        <v>81</v>
      </c>
      <c r="D944" t="s">
        <v>18</v>
      </c>
      <c r="E944" t="s">
        <v>17</v>
      </c>
      <c r="F944">
        <v>600</v>
      </c>
      <c r="G944">
        <v>1</v>
      </c>
      <c r="H944">
        <v>600</v>
      </c>
      <c r="I944">
        <v>600</v>
      </c>
    </row>
    <row r="945" spans="1:9" x14ac:dyDescent="0.3">
      <c r="A945">
        <v>942</v>
      </c>
      <c r="B945" s="24">
        <v>44407</v>
      </c>
      <c r="C945" t="s">
        <v>81</v>
      </c>
      <c r="D945" t="s">
        <v>21</v>
      </c>
      <c r="E945" t="s">
        <v>20</v>
      </c>
      <c r="F945">
        <v>1200</v>
      </c>
      <c r="G945">
        <v>1</v>
      </c>
      <c r="H945">
        <v>1200</v>
      </c>
      <c r="I945">
        <v>1200</v>
      </c>
    </row>
    <row r="946" spans="1:9" x14ac:dyDescent="0.3">
      <c r="A946">
        <v>943</v>
      </c>
      <c r="B946" s="24">
        <v>44408</v>
      </c>
      <c r="C946" t="s">
        <v>81</v>
      </c>
      <c r="D946" t="s">
        <v>24</v>
      </c>
      <c r="E946" t="s">
        <v>23</v>
      </c>
      <c r="F946">
        <v>600</v>
      </c>
      <c r="G946">
        <v>1</v>
      </c>
      <c r="H946">
        <v>600</v>
      </c>
      <c r="I946">
        <v>600</v>
      </c>
    </row>
    <row r="947" spans="1:9" x14ac:dyDescent="0.3">
      <c r="A947">
        <v>944</v>
      </c>
      <c r="B947" s="24">
        <v>44409</v>
      </c>
      <c r="C947" t="s">
        <v>81</v>
      </c>
      <c r="D947" t="s">
        <v>10</v>
      </c>
      <c r="E947" t="s">
        <v>11</v>
      </c>
      <c r="F947">
        <v>1100</v>
      </c>
      <c r="G947">
        <v>1</v>
      </c>
      <c r="H947">
        <v>1100</v>
      </c>
      <c r="I947">
        <v>1100</v>
      </c>
    </row>
    <row r="948" spans="1:9" x14ac:dyDescent="0.3">
      <c r="A948">
        <v>945</v>
      </c>
      <c r="B948" s="24">
        <v>44410</v>
      </c>
      <c r="C948" t="s">
        <v>81</v>
      </c>
      <c r="D948" t="s">
        <v>22</v>
      </c>
      <c r="E948" t="s">
        <v>23</v>
      </c>
      <c r="F948">
        <v>500</v>
      </c>
      <c r="G948">
        <v>1</v>
      </c>
      <c r="H948">
        <v>500</v>
      </c>
      <c r="I948">
        <v>500</v>
      </c>
    </row>
    <row r="949" spans="1:9" x14ac:dyDescent="0.3">
      <c r="A949">
        <v>946</v>
      </c>
      <c r="B949" s="24">
        <v>44411</v>
      </c>
      <c r="C949" t="s">
        <v>81</v>
      </c>
      <c r="D949" t="s">
        <v>12</v>
      </c>
      <c r="E949" t="s">
        <v>11</v>
      </c>
      <c r="F949">
        <v>900</v>
      </c>
      <c r="G949">
        <v>1</v>
      </c>
      <c r="H949">
        <v>900</v>
      </c>
      <c r="I949">
        <v>765</v>
      </c>
    </row>
    <row r="950" spans="1:9" x14ac:dyDescent="0.3">
      <c r="A950">
        <v>947</v>
      </c>
      <c r="B950" s="24">
        <v>44412</v>
      </c>
      <c r="C950" t="s">
        <v>81</v>
      </c>
      <c r="D950" t="s">
        <v>19</v>
      </c>
      <c r="E950" t="s">
        <v>20</v>
      </c>
      <c r="F950">
        <v>850</v>
      </c>
      <c r="G950">
        <v>1</v>
      </c>
      <c r="H950">
        <v>850</v>
      </c>
      <c r="I950">
        <v>850</v>
      </c>
    </row>
    <row r="951" spans="1:9" x14ac:dyDescent="0.3">
      <c r="A951">
        <v>948</v>
      </c>
      <c r="B951" s="24">
        <v>44413</v>
      </c>
      <c r="C951" t="s">
        <v>81</v>
      </c>
      <c r="D951" t="s">
        <v>18</v>
      </c>
      <c r="E951" t="s">
        <v>17</v>
      </c>
      <c r="F951">
        <v>600</v>
      </c>
      <c r="G951">
        <v>1</v>
      </c>
      <c r="H951">
        <v>600</v>
      </c>
      <c r="I951">
        <v>600</v>
      </c>
    </row>
    <row r="952" spans="1:9" x14ac:dyDescent="0.3">
      <c r="A952">
        <v>949</v>
      </c>
      <c r="B952" s="24">
        <v>44414</v>
      </c>
      <c r="C952" t="s">
        <v>81</v>
      </c>
      <c r="D952" t="s">
        <v>10</v>
      </c>
      <c r="E952" t="s">
        <v>11</v>
      </c>
      <c r="F952">
        <v>1100</v>
      </c>
      <c r="G952">
        <v>1</v>
      </c>
      <c r="H952">
        <v>1100</v>
      </c>
      <c r="I952">
        <v>1100</v>
      </c>
    </row>
    <row r="953" spans="1:9" x14ac:dyDescent="0.3">
      <c r="A953">
        <v>950</v>
      </c>
      <c r="B953" s="24">
        <v>44415</v>
      </c>
      <c r="C953" t="s">
        <v>81</v>
      </c>
      <c r="D953" t="s">
        <v>22</v>
      </c>
      <c r="E953" t="s">
        <v>23</v>
      </c>
      <c r="F953">
        <v>500</v>
      </c>
      <c r="G953">
        <v>1</v>
      </c>
      <c r="H953">
        <v>500</v>
      </c>
      <c r="I953">
        <v>500</v>
      </c>
    </row>
    <row r="954" spans="1:9" x14ac:dyDescent="0.3">
      <c r="A954">
        <v>951</v>
      </c>
      <c r="B954" s="24">
        <v>44416</v>
      </c>
      <c r="C954" t="s">
        <v>81</v>
      </c>
      <c r="D954" t="s">
        <v>18</v>
      </c>
      <c r="E954" t="s">
        <v>17</v>
      </c>
      <c r="F954">
        <v>600</v>
      </c>
      <c r="G954">
        <v>1</v>
      </c>
      <c r="H954">
        <v>600</v>
      </c>
      <c r="I954">
        <v>600</v>
      </c>
    </row>
    <row r="955" spans="1:9" x14ac:dyDescent="0.3">
      <c r="A955">
        <v>952</v>
      </c>
      <c r="B955" s="24">
        <v>44417</v>
      </c>
      <c r="C955" t="s">
        <v>81</v>
      </c>
      <c r="D955" t="s">
        <v>15</v>
      </c>
      <c r="E955" t="s">
        <v>11</v>
      </c>
      <c r="F955">
        <v>1000</v>
      </c>
      <c r="G955">
        <v>1</v>
      </c>
      <c r="H955">
        <v>1000</v>
      </c>
      <c r="I955">
        <v>1000</v>
      </c>
    </row>
    <row r="956" spans="1:9" x14ac:dyDescent="0.3">
      <c r="A956">
        <v>953</v>
      </c>
      <c r="B956" s="24">
        <v>44418</v>
      </c>
      <c r="C956" t="s">
        <v>81</v>
      </c>
      <c r="D956" t="s">
        <v>18</v>
      </c>
      <c r="E956" t="s">
        <v>17</v>
      </c>
      <c r="F956">
        <v>600</v>
      </c>
      <c r="G956">
        <v>1</v>
      </c>
      <c r="H956">
        <v>600</v>
      </c>
      <c r="I956">
        <v>600</v>
      </c>
    </row>
    <row r="957" spans="1:9" x14ac:dyDescent="0.3">
      <c r="A957">
        <v>954</v>
      </c>
      <c r="B957" s="24">
        <v>44419</v>
      </c>
      <c r="C957" t="s">
        <v>81</v>
      </c>
      <c r="D957" t="s">
        <v>10</v>
      </c>
      <c r="E957" t="s">
        <v>11</v>
      </c>
      <c r="F957">
        <v>1100</v>
      </c>
      <c r="G957">
        <v>1</v>
      </c>
      <c r="H957">
        <v>1100</v>
      </c>
      <c r="I957">
        <v>1100</v>
      </c>
    </row>
    <row r="958" spans="1:9" x14ac:dyDescent="0.3">
      <c r="A958">
        <v>955</v>
      </c>
      <c r="B958" s="24">
        <v>44420</v>
      </c>
      <c r="C958" t="s">
        <v>81</v>
      </c>
      <c r="D958" t="s">
        <v>22</v>
      </c>
      <c r="E958" t="s">
        <v>23</v>
      </c>
      <c r="F958">
        <v>500</v>
      </c>
      <c r="G958">
        <v>1</v>
      </c>
      <c r="H958">
        <v>500</v>
      </c>
      <c r="I958">
        <v>500</v>
      </c>
    </row>
    <row r="959" spans="1:9" x14ac:dyDescent="0.3">
      <c r="A959">
        <v>956</v>
      </c>
      <c r="B959" s="24">
        <v>44421</v>
      </c>
      <c r="C959" t="s">
        <v>81</v>
      </c>
      <c r="D959" t="s">
        <v>10</v>
      </c>
      <c r="E959" t="s">
        <v>11</v>
      </c>
      <c r="F959">
        <v>1100</v>
      </c>
      <c r="G959">
        <v>2</v>
      </c>
      <c r="H959">
        <v>2200</v>
      </c>
      <c r="I959">
        <v>2200</v>
      </c>
    </row>
    <row r="960" spans="1:9" x14ac:dyDescent="0.3">
      <c r="A960">
        <v>957</v>
      </c>
      <c r="B960" s="24">
        <v>44422</v>
      </c>
      <c r="C960" t="s">
        <v>81</v>
      </c>
      <c r="D960" t="s">
        <v>18</v>
      </c>
      <c r="E960" t="s">
        <v>17</v>
      </c>
      <c r="F960">
        <v>600</v>
      </c>
      <c r="G960">
        <v>1</v>
      </c>
      <c r="H960">
        <v>600</v>
      </c>
      <c r="I960">
        <v>600</v>
      </c>
    </row>
    <row r="961" spans="1:9" x14ac:dyDescent="0.3">
      <c r="A961">
        <v>958</v>
      </c>
      <c r="B961" s="24">
        <v>44423</v>
      </c>
      <c r="C961" t="s">
        <v>81</v>
      </c>
      <c r="D961" t="s">
        <v>16</v>
      </c>
      <c r="E961" t="s">
        <v>17</v>
      </c>
      <c r="F961">
        <v>800</v>
      </c>
      <c r="G961">
        <v>1</v>
      </c>
      <c r="H961">
        <v>800</v>
      </c>
      <c r="I961">
        <v>800</v>
      </c>
    </row>
    <row r="962" spans="1:9" x14ac:dyDescent="0.3">
      <c r="A962">
        <v>959</v>
      </c>
      <c r="B962" s="24">
        <v>44424</v>
      </c>
      <c r="C962" t="s">
        <v>81</v>
      </c>
      <c r="D962" t="s">
        <v>14</v>
      </c>
      <c r="E962" t="s">
        <v>11</v>
      </c>
      <c r="F962">
        <v>900</v>
      </c>
      <c r="G962">
        <v>1</v>
      </c>
      <c r="H962">
        <v>900</v>
      </c>
      <c r="I962">
        <v>900</v>
      </c>
    </row>
    <row r="963" spans="1:9" x14ac:dyDescent="0.3">
      <c r="A963">
        <v>960</v>
      </c>
      <c r="B963" s="24">
        <v>44425</v>
      </c>
      <c r="C963" t="s">
        <v>81</v>
      </c>
      <c r="D963" t="s">
        <v>24</v>
      </c>
      <c r="E963" t="s">
        <v>23</v>
      </c>
      <c r="F963">
        <v>600</v>
      </c>
      <c r="G963">
        <v>1</v>
      </c>
      <c r="H963">
        <v>600</v>
      </c>
      <c r="I963">
        <v>600</v>
      </c>
    </row>
    <row r="964" spans="1:9" x14ac:dyDescent="0.3">
      <c r="A964">
        <v>961</v>
      </c>
      <c r="B964" s="24">
        <v>44426</v>
      </c>
      <c r="C964" t="s">
        <v>81</v>
      </c>
      <c r="D964" t="s">
        <v>10</v>
      </c>
      <c r="E964" t="s">
        <v>11</v>
      </c>
      <c r="F964">
        <v>1100</v>
      </c>
      <c r="G964">
        <v>2</v>
      </c>
      <c r="H964">
        <v>2200</v>
      </c>
      <c r="I964">
        <v>2200</v>
      </c>
    </row>
    <row r="965" spans="1:9" x14ac:dyDescent="0.3">
      <c r="A965">
        <v>962</v>
      </c>
      <c r="B965" s="24">
        <v>44427</v>
      </c>
      <c r="C965" t="s">
        <v>81</v>
      </c>
      <c r="D965" t="s">
        <v>24</v>
      </c>
      <c r="E965" t="s">
        <v>23</v>
      </c>
      <c r="F965">
        <v>600</v>
      </c>
      <c r="G965">
        <v>1</v>
      </c>
      <c r="H965">
        <v>600</v>
      </c>
      <c r="I965">
        <v>600</v>
      </c>
    </row>
    <row r="966" spans="1:9" x14ac:dyDescent="0.3">
      <c r="A966">
        <v>963</v>
      </c>
      <c r="B966" s="24">
        <v>44428</v>
      </c>
      <c r="C966" t="s">
        <v>81</v>
      </c>
      <c r="D966" t="s">
        <v>14</v>
      </c>
      <c r="E966" t="s">
        <v>11</v>
      </c>
      <c r="F966">
        <v>900</v>
      </c>
      <c r="G966">
        <v>1</v>
      </c>
      <c r="H966">
        <v>900</v>
      </c>
      <c r="I966">
        <v>900</v>
      </c>
    </row>
    <row r="967" spans="1:9" x14ac:dyDescent="0.3">
      <c r="A967">
        <v>964</v>
      </c>
      <c r="B967" s="24">
        <v>44429</v>
      </c>
      <c r="C967" t="s">
        <v>81</v>
      </c>
      <c r="D967" t="s">
        <v>18</v>
      </c>
      <c r="E967" t="s">
        <v>17</v>
      </c>
      <c r="F967">
        <v>600</v>
      </c>
      <c r="G967">
        <v>1</v>
      </c>
      <c r="H967">
        <v>600</v>
      </c>
      <c r="I967">
        <v>600</v>
      </c>
    </row>
    <row r="968" spans="1:9" x14ac:dyDescent="0.3">
      <c r="A968">
        <v>965</v>
      </c>
      <c r="B968" s="24">
        <v>44430</v>
      </c>
      <c r="C968" t="s">
        <v>81</v>
      </c>
      <c r="D968" t="s">
        <v>12</v>
      </c>
      <c r="E968" t="s">
        <v>11</v>
      </c>
      <c r="F968">
        <v>900</v>
      </c>
      <c r="G968">
        <v>1</v>
      </c>
      <c r="H968">
        <v>900</v>
      </c>
      <c r="I968">
        <v>765</v>
      </c>
    </row>
    <row r="969" spans="1:9" x14ac:dyDescent="0.3">
      <c r="A969">
        <v>966</v>
      </c>
      <c r="B969" s="24">
        <v>44431</v>
      </c>
      <c r="C969" t="s">
        <v>81</v>
      </c>
      <c r="D969" t="s">
        <v>24</v>
      </c>
      <c r="E969" t="s">
        <v>23</v>
      </c>
      <c r="F969">
        <v>600</v>
      </c>
      <c r="G969">
        <v>1</v>
      </c>
      <c r="H969">
        <v>600</v>
      </c>
      <c r="I969">
        <v>600</v>
      </c>
    </row>
    <row r="970" spans="1:9" x14ac:dyDescent="0.3">
      <c r="A970">
        <v>967</v>
      </c>
      <c r="B970" s="24">
        <v>44432</v>
      </c>
      <c r="C970" t="s">
        <v>81</v>
      </c>
      <c r="D970" t="s">
        <v>19</v>
      </c>
      <c r="E970" t="s">
        <v>20</v>
      </c>
      <c r="F970">
        <v>850</v>
      </c>
      <c r="G970">
        <v>1</v>
      </c>
      <c r="H970">
        <v>850</v>
      </c>
      <c r="I970">
        <v>850</v>
      </c>
    </row>
    <row r="971" spans="1:9" x14ac:dyDescent="0.3">
      <c r="A971">
        <v>968</v>
      </c>
      <c r="B971" s="24">
        <v>44433</v>
      </c>
      <c r="C971" t="s">
        <v>81</v>
      </c>
      <c r="D971" t="s">
        <v>14</v>
      </c>
      <c r="E971" t="s">
        <v>11</v>
      </c>
      <c r="F971">
        <v>900</v>
      </c>
      <c r="G971">
        <v>1</v>
      </c>
      <c r="H971">
        <v>900</v>
      </c>
      <c r="I971">
        <v>900</v>
      </c>
    </row>
    <row r="972" spans="1:9" x14ac:dyDescent="0.3">
      <c r="A972">
        <v>969</v>
      </c>
      <c r="B972" s="24">
        <v>44434</v>
      </c>
      <c r="C972" t="s">
        <v>81</v>
      </c>
      <c r="D972" t="s">
        <v>10</v>
      </c>
      <c r="E972" t="s">
        <v>11</v>
      </c>
      <c r="F972">
        <v>1100</v>
      </c>
      <c r="G972">
        <v>1</v>
      </c>
      <c r="H972">
        <v>1100</v>
      </c>
      <c r="I972">
        <v>1100</v>
      </c>
    </row>
    <row r="973" spans="1:9" x14ac:dyDescent="0.3">
      <c r="A973">
        <v>970</v>
      </c>
      <c r="B973" s="24">
        <v>44435</v>
      </c>
      <c r="C973" t="s">
        <v>81</v>
      </c>
      <c r="D973" t="s">
        <v>14</v>
      </c>
      <c r="E973" t="s">
        <v>11</v>
      </c>
      <c r="F973">
        <v>900</v>
      </c>
      <c r="G973">
        <v>1</v>
      </c>
      <c r="H973">
        <v>900</v>
      </c>
      <c r="I973">
        <v>900</v>
      </c>
    </row>
    <row r="974" spans="1:9" x14ac:dyDescent="0.3">
      <c r="A974">
        <v>971</v>
      </c>
      <c r="B974" s="24">
        <v>44436</v>
      </c>
      <c r="C974" t="s">
        <v>81</v>
      </c>
      <c r="D974" t="s">
        <v>15</v>
      </c>
      <c r="E974" t="s">
        <v>11</v>
      </c>
      <c r="F974">
        <v>1000</v>
      </c>
      <c r="G974">
        <v>1</v>
      </c>
      <c r="H974">
        <v>1000</v>
      </c>
      <c r="I974">
        <v>1000</v>
      </c>
    </row>
    <row r="975" spans="1:9" x14ac:dyDescent="0.3">
      <c r="A975">
        <v>972</v>
      </c>
      <c r="B975" s="24">
        <v>44437</v>
      </c>
      <c r="C975" t="s">
        <v>81</v>
      </c>
      <c r="D975" t="s">
        <v>10</v>
      </c>
      <c r="E975" t="s">
        <v>11</v>
      </c>
      <c r="F975">
        <v>1100</v>
      </c>
      <c r="G975">
        <v>1</v>
      </c>
      <c r="H975">
        <v>1100</v>
      </c>
      <c r="I975">
        <v>1100</v>
      </c>
    </row>
    <row r="976" spans="1:9" x14ac:dyDescent="0.3">
      <c r="A976">
        <v>973</v>
      </c>
      <c r="B976" s="24">
        <v>44438</v>
      </c>
      <c r="C976" t="s">
        <v>81</v>
      </c>
      <c r="D976" t="s">
        <v>15</v>
      </c>
      <c r="E976" t="s">
        <v>11</v>
      </c>
      <c r="F976">
        <v>1000</v>
      </c>
      <c r="G976">
        <v>1</v>
      </c>
      <c r="H976">
        <v>1000</v>
      </c>
      <c r="I976">
        <v>1000</v>
      </c>
    </row>
    <row r="977" spans="1:9" x14ac:dyDescent="0.3">
      <c r="A977">
        <v>974</v>
      </c>
      <c r="B977" s="24">
        <v>44439</v>
      </c>
      <c r="C977" t="s">
        <v>81</v>
      </c>
      <c r="D977" t="s">
        <v>10</v>
      </c>
      <c r="E977" t="s">
        <v>11</v>
      </c>
      <c r="F977">
        <v>1100</v>
      </c>
      <c r="G977">
        <v>1</v>
      </c>
      <c r="H977">
        <v>1100</v>
      </c>
      <c r="I977">
        <v>1100</v>
      </c>
    </row>
    <row r="978" spans="1:9" x14ac:dyDescent="0.3">
      <c r="A978">
        <v>975</v>
      </c>
      <c r="B978" s="24">
        <v>44440</v>
      </c>
      <c r="C978" t="s">
        <v>81</v>
      </c>
      <c r="D978" t="s">
        <v>14</v>
      </c>
      <c r="E978" t="s">
        <v>11</v>
      </c>
      <c r="F978">
        <v>900</v>
      </c>
      <c r="G978">
        <v>1</v>
      </c>
      <c r="H978">
        <v>900</v>
      </c>
      <c r="I978">
        <v>900</v>
      </c>
    </row>
    <row r="979" spans="1:9" x14ac:dyDescent="0.3">
      <c r="A979">
        <v>976</v>
      </c>
      <c r="B979" s="24">
        <v>44441</v>
      </c>
      <c r="C979" t="s">
        <v>81</v>
      </c>
      <c r="D979" t="s">
        <v>12</v>
      </c>
      <c r="E979" t="s">
        <v>11</v>
      </c>
      <c r="F979">
        <v>900</v>
      </c>
      <c r="G979">
        <v>1</v>
      </c>
      <c r="H979">
        <v>900</v>
      </c>
      <c r="I979">
        <v>765</v>
      </c>
    </row>
    <row r="980" spans="1:9" x14ac:dyDescent="0.3">
      <c r="A980">
        <v>977</v>
      </c>
      <c r="B980" s="24">
        <v>44442</v>
      </c>
      <c r="C980" t="s">
        <v>81</v>
      </c>
      <c r="D980" t="s">
        <v>10</v>
      </c>
      <c r="E980" t="s">
        <v>11</v>
      </c>
      <c r="F980">
        <v>1100</v>
      </c>
      <c r="G980">
        <v>1</v>
      </c>
      <c r="H980">
        <v>1100</v>
      </c>
      <c r="I980">
        <v>1100</v>
      </c>
    </row>
    <row r="981" spans="1:9" x14ac:dyDescent="0.3">
      <c r="A981">
        <v>978</v>
      </c>
      <c r="B981" s="24">
        <v>44443</v>
      </c>
      <c r="C981" t="s">
        <v>81</v>
      </c>
      <c r="D981" t="s">
        <v>10</v>
      </c>
      <c r="E981" t="s">
        <v>11</v>
      </c>
      <c r="F981">
        <v>1100</v>
      </c>
      <c r="G981">
        <v>1</v>
      </c>
      <c r="H981">
        <v>1100</v>
      </c>
      <c r="I981">
        <v>1100</v>
      </c>
    </row>
    <row r="982" spans="1:9" x14ac:dyDescent="0.3">
      <c r="A982">
        <v>979</v>
      </c>
      <c r="B982" s="24">
        <v>44444</v>
      </c>
      <c r="C982" t="s">
        <v>81</v>
      </c>
      <c r="D982" t="s">
        <v>15</v>
      </c>
      <c r="E982" t="s">
        <v>11</v>
      </c>
      <c r="F982">
        <v>1000</v>
      </c>
      <c r="G982">
        <v>1</v>
      </c>
      <c r="H982">
        <v>1000</v>
      </c>
      <c r="I982">
        <v>1000</v>
      </c>
    </row>
    <row r="983" spans="1:9" x14ac:dyDescent="0.3">
      <c r="A983">
        <v>980</v>
      </c>
      <c r="B983" s="24">
        <v>44445</v>
      </c>
      <c r="C983" t="s">
        <v>81</v>
      </c>
      <c r="D983" t="s">
        <v>12</v>
      </c>
      <c r="E983" t="s">
        <v>11</v>
      </c>
      <c r="F983">
        <v>900</v>
      </c>
      <c r="G983">
        <v>1</v>
      </c>
      <c r="H983">
        <v>900</v>
      </c>
      <c r="I983">
        <v>765</v>
      </c>
    </row>
    <row r="984" spans="1:9" x14ac:dyDescent="0.3">
      <c r="A984">
        <v>981</v>
      </c>
      <c r="B984" s="24">
        <v>44446</v>
      </c>
      <c r="C984" t="s">
        <v>81</v>
      </c>
      <c r="D984" t="s">
        <v>18</v>
      </c>
      <c r="E984" t="s">
        <v>17</v>
      </c>
      <c r="F984">
        <v>600</v>
      </c>
      <c r="G984">
        <v>1</v>
      </c>
      <c r="H984">
        <v>600</v>
      </c>
      <c r="I984">
        <v>600</v>
      </c>
    </row>
    <row r="985" spans="1:9" x14ac:dyDescent="0.3">
      <c r="A985">
        <v>982</v>
      </c>
      <c r="B985" s="24">
        <v>44447</v>
      </c>
      <c r="C985" t="s">
        <v>81</v>
      </c>
      <c r="D985" t="s">
        <v>12</v>
      </c>
      <c r="E985" t="s">
        <v>11</v>
      </c>
      <c r="F985">
        <v>900</v>
      </c>
      <c r="G985">
        <v>1</v>
      </c>
      <c r="H985">
        <v>900</v>
      </c>
      <c r="I985">
        <v>765</v>
      </c>
    </row>
    <row r="986" spans="1:9" x14ac:dyDescent="0.3">
      <c r="A986">
        <v>983</v>
      </c>
      <c r="B986" s="24">
        <v>44448</v>
      </c>
      <c r="C986" t="s">
        <v>81</v>
      </c>
      <c r="D986" t="s">
        <v>18</v>
      </c>
      <c r="E986" t="s">
        <v>17</v>
      </c>
      <c r="F986">
        <v>600</v>
      </c>
      <c r="G986">
        <v>1</v>
      </c>
      <c r="H986">
        <v>600</v>
      </c>
      <c r="I986">
        <v>600</v>
      </c>
    </row>
    <row r="987" spans="1:9" x14ac:dyDescent="0.3">
      <c r="A987">
        <v>984</v>
      </c>
      <c r="B987" s="24">
        <v>44449</v>
      </c>
      <c r="C987" t="s">
        <v>81</v>
      </c>
      <c r="D987" t="s">
        <v>14</v>
      </c>
      <c r="E987" t="s">
        <v>11</v>
      </c>
      <c r="F987">
        <v>900</v>
      </c>
      <c r="G987">
        <v>1</v>
      </c>
      <c r="H987">
        <v>900</v>
      </c>
      <c r="I987">
        <v>900</v>
      </c>
    </row>
    <row r="988" spans="1:9" x14ac:dyDescent="0.3">
      <c r="A988">
        <v>985</v>
      </c>
      <c r="B988" s="24">
        <v>44450</v>
      </c>
      <c r="C988" t="s">
        <v>81</v>
      </c>
      <c r="D988" t="s">
        <v>10</v>
      </c>
      <c r="E988" t="s">
        <v>11</v>
      </c>
      <c r="F988">
        <v>1100</v>
      </c>
      <c r="G988">
        <v>2</v>
      </c>
      <c r="H988">
        <v>2200</v>
      </c>
      <c r="I988">
        <v>2200</v>
      </c>
    </row>
    <row r="989" spans="1:9" x14ac:dyDescent="0.3">
      <c r="A989">
        <v>986</v>
      </c>
      <c r="B989" s="24">
        <v>44451</v>
      </c>
      <c r="C989" t="s">
        <v>81</v>
      </c>
      <c r="D989" t="s">
        <v>18</v>
      </c>
      <c r="E989" t="s">
        <v>17</v>
      </c>
      <c r="F989">
        <v>600</v>
      </c>
      <c r="G989">
        <v>1</v>
      </c>
      <c r="H989">
        <v>600</v>
      </c>
      <c r="I989">
        <v>600</v>
      </c>
    </row>
    <row r="990" spans="1:9" x14ac:dyDescent="0.3">
      <c r="A990">
        <v>987</v>
      </c>
      <c r="B990" s="24">
        <v>44452</v>
      </c>
      <c r="C990" t="s">
        <v>81</v>
      </c>
      <c r="D990" t="s">
        <v>18</v>
      </c>
      <c r="E990" t="s">
        <v>17</v>
      </c>
      <c r="F990">
        <v>600</v>
      </c>
      <c r="G990">
        <v>1</v>
      </c>
      <c r="H990">
        <v>600</v>
      </c>
      <c r="I990">
        <v>600</v>
      </c>
    </row>
    <row r="991" spans="1:9" x14ac:dyDescent="0.3">
      <c r="A991">
        <v>988</v>
      </c>
      <c r="B991" s="24">
        <v>44453</v>
      </c>
      <c r="C991" t="s">
        <v>81</v>
      </c>
      <c r="D991" t="s">
        <v>14</v>
      </c>
      <c r="E991" t="s">
        <v>11</v>
      </c>
      <c r="F991">
        <v>900</v>
      </c>
      <c r="G991">
        <v>1</v>
      </c>
      <c r="H991">
        <v>900</v>
      </c>
      <c r="I991">
        <v>900</v>
      </c>
    </row>
    <row r="992" spans="1:9" x14ac:dyDescent="0.3">
      <c r="A992">
        <v>989</v>
      </c>
      <c r="B992" s="24">
        <v>44454</v>
      </c>
      <c r="C992" t="s">
        <v>81</v>
      </c>
      <c r="D992" t="s">
        <v>10</v>
      </c>
      <c r="E992" t="s">
        <v>11</v>
      </c>
      <c r="F992">
        <v>1100</v>
      </c>
      <c r="G992">
        <v>1</v>
      </c>
      <c r="H992">
        <v>1100</v>
      </c>
      <c r="I992">
        <v>1100</v>
      </c>
    </row>
    <row r="993" spans="1:9" x14ac:dyDescent="0.3">
      <c r="A993">
        <v>990</v>
      </c>
      <c r="B993" s="24">
        <v>44455</v>
      </c>
      <c r="C993" t="s">
        <v>81</v>
      </c>
      <c r="D993" t="s">
        <v>18</v>
      </c>
      <c r="E993" t="s">
        <v>17</v>
      </c>
      <c r="F993">
        <v>600</v>
      </c>
      <c r="G993">
        <v>1</v>
      </c>
      <c r="H993">
        <v>600</v>
      </c>
      <c r="I993">
        <v>600</v>
      </c>
    </row>
    <row r="994" spans="1:9" x14ac:dyDescent="0.3">
      <c r="A994">
        <v>991</v>
      </c>
      <c r="B994" s="24">
        <v>44456</v>
      </c>
      <c r="C994" t="s">
        <v>81</v>
      </c>
      <c r="D994" t="s">
        <v>24</v>
      </c>
      <c r="E994" t="s">
        <v>23</v>
      </c>
      <c r="F994">
        <v>600</v>
      </c>
      <c r="G994">
        <v>1</v>
      </c>
      <c r="H994">
        <v>600</v>
      </c>
      <c r="I994">
        <v>600</v>
      </c>
    </row>
    <row r="995" spans="1:9" x14ac:dyDescent="0.3">
      <c r="A995">
        <v>992</v>
      </c>
      <c r="B995" s="24">
        <v>44457</v>
      </c>
      <c r="C995" t="s">
        <v>81</v>
      </c>
      <c r="D995" t="s">
        <v>18</v>
      </c>
      <c r="E995" t="s">
        <v>17</v>
      </c>
      <c r="F995">
        <v>600</v>
      </c>
      <c r="G995">
        <v>1</v>
      </c>
      <c r="H995">
        <v>600</v>
      </c>
      <c r="I995">
        <v>600</v>
      </c>
    </row>
    <row r="996" spans="1:9" x14ac:dyDescent="0.3">
      <c r="A996">
        <v>993</v>
      </c>
      <c r="B996" s="24">
        <v>44458</v>
      </c>
      <c r="C996" t="s">
        <v>81</v>
      </c>
      <c r="D996" t="s">
        <v>24</v>
      </c>
      <c r="E996" t="s">
        <v>23</v>
      </c>
      <c r="F996">
        <v>600</v>
      </c>
      <c r="G996">
        <v>1</v>
      </c>
      <c r="H996">
        <v>600</v>
      </c>
      <c r="I996">
        <v>600</v>
      </c>
    </row>
    <row r="997" spans="1:9" x14ac:dyDescent="0.3">
      <c r="A997">
        <v>994</v>
      </c>
      <c r="B997" s="24">
        <v>44459</v>
      </c>
      <c r="C997" t="s">
        <v>81</v>
      </c>
      <c r="D997" t="s">
        <v>24</v>
      </c>
      <c r="E997" t="s">
        <v>23</v>
      </c>
      <c r="F997">
        <v>600</v>
      </c>
      <c r="G997">
        <v>2</v>
      </c>
      <c r="H997">
        <v>1200</v>
      </c>
      <c r="I997">
        <v>1200</v>
      </c>
    </row>
    <row r="998" spans="1:9" x14ac:dyDescent="0.3">
      <c r="A998">
        <v>995</v>
      </c>
      <c r="B998" s="24">
        <v>44460</v>
      </c>
      <c r="C998" t="s">
        <v>81</v>
      </c>
      <c r="D998" t="s">
        <v>18</v>
      </c>
      <c r="E998" t="s">
        <v>17</v>
      </c>
      <c r="F998">
        <v>600</v>
      </c>
      <c r="G998">
        <v>1</v>
      </c>
      <c r="H998">
        <v>600</v>
      </c>
      <c r="I998">
        <v>600</v>
      </c>
    </row>
    <row r="999" spans="1:9" x14ac:dyDescent="0.3">
      <c r="A999">
        <v>996</v>
      </c>
      <c r="B999" s="24">
        <v>44461</v>
      </c>
      <c r="C999" t="s">
        <v>81</v>
      </c>
      <c r="D999" t="s">
        <v>10</v>
      </c>
      <c r="E999" t="s">
        <v>11</v>
      </c>
      <c r="F999">
        <v>1100</v>
      </c>
      <c r="G999">
        <v>3</v>
      </c>
      <c r="H999">
        <v>3300</v>
      </c>
      <c r="I999">
        <v>3300</v>
      </c>
    </row>
    <row r="1000" spans="1:9" x14ac:dyDescent="0.3">
      <c r="A1000">
        <v>997</v>
      </c>
      <c r="B1000" s="24">
        <v>44462</v>
      </c>
      <c r="C1000" t="s">
        <v>81</v>
      </c>
      <c r="D1000" t="s">
        <v>10</v>
      </c>
      <c r="E1000" t="s">
        <v>11</v>
      </c>
      <c r="F1000">
        <v>1100</v>
      </c>
      <c r="G1000">
        <v>1</v>
      </c>
      <c r="H1000">
        <v>1100</v>
      </c>
      <c r="I1000">
        <v>1100</v>
      </c>
    </row>
    <row r="1001" spans="1:9" x14ac:dyDescent="0.3">
      <c r="A1001">
        <v>998</v>
      </c>
      <c r="B1001" s="24">
        <v>44463</v>
      </c>
      <c r="C1001" t="s">
        <v>81</v>
      </c>
      <c r="D1001" t="s">
        <v>19</v>
      </c>
      <c r="E1001" t="s">
        <v>20</v>
      </c>
      <c r="F1001">
        <v>850</v>
      </c>
      <c r="G1001">
        <v>1</v>
      </c>
      <c r="H1001">
        <v>850</v>
      </c>
      <c r="I1001">
        <v>850</v>
      </c>
    </row>
    <row r="1002" spans="1:9" x14ac:dyDescent="0.3">
      <c r="A1002">
        <v>999</v>
      </c>
      <c r="B1002" s="24">
        <v>44464</v>
      </c>
      <c r="C1002" t="s">
        <v>81</v>
      </c>
      <c r="D1002" t="s">
        <v>21</v>
      </c>
      <c r="E1002" t="s">
        <v>20</v>
      </c>
      <c r="F1002">
        <v>1200</v>
      </c>
      <c r="G1002">
        <v>1</v>
      </c>
      <c r="H1002">
        <v>1200</v>
      </c>
      <c r="I1002">
        <v>1200</v>
      </c>
    </row>
    <row r="1003" spans="1:9" x14ac:dyDescent="0.3">
      <c r="A1003">
        <v>1000</v>
      </c>
      <c r="B1003" s="24">
        <v>44465</v>
      </c>
      <c r="C1003" t="s">
        <v>81</v>
      </c>
      <c r="D1003" t="s">
        <v>16</v>
      </c>
      <c r="E1003" t="s">
        <v>17</v>
      </c>
      <c r="F1003">
        <v>800</v>
      </c>
      <c r="G1003">
        <v>1</v>
      </c>
      <c r="H1003">
        <v>800</v>
      </c>
      <c r="I1003">
        <v>800</v>
      </c>
    </row>
    <row r="1004" spans="1:9" x14ac:dyDescent="0.3">
      <c r="A1004">
        <v>1001</v>
      </c>
      <c r="B1004" s="24">
        <v>44466</v>
      </c>
      <c r="C1004" t="s">
        <v>81</v>
      </c>
      <c r="D1004" t="s">
        <v>14</v>
      </c>
      <c r="E1004" t="s">
        <v>11</v>
      </c>
      <c r="F1004">
        <v>900</v>
      </c>
      <c r="G1004">
        <v>1</v>
      </c>
      <c r="H1004">
        <v>900</v>
      </c>
      <c r="I1004">
        <v>900</v>
      </c>
    </row>
    <row r="1005" spans="1:9" x14ac:dyDescent="0.3">
      <c r="A1005">
        <v>1002</v>
      </c>
      <c r="B1005" s="24">
        <v>44467</v>
      </c>
      <c r="C1005" t="s">
        <v>81</v>
      </c>
      <c r="D1005" t="s">
        <v>10</v>
      </c>
      <c r="E1005" t="s">
        <v>11</v>
      </c>
      <c r="F1005">
        <v>1100</v>
      </c>
      <c r="G1005">
        <v>1</v>
      </c>
      <c r="H1005">
        <v>1100</v>
      </c>
      <c r="I1005">
        <v>1100</v>
      </c>
    </row>
    <row r="1006" spans="1:9" x14ac:dyDescent="0.3">
      <c r="A1006">
        <v>1003</v>
      </c>
      <c r="B1006" s="24">
        <v>44468</v>
      </c>
      <c r="C1006" t="s">
        <v>81</v>
      </c>
      <c r="D1006" t="s">
        <v>12</v>
      </c>
      <c r="E1006" t="s">
        <v>11</v>
      </c>
      <c r="F1006">
        <v>900</v>
      </c>
      <c r="G1006">
        <v>1</v>
      </c>
      <c r="H1006">
        <v>900</v>
      </c>
      <c r="I1006">
        <v>765</v>
      </c>
    </row>
    <row r="1007" spans="1:9" x14ac:dyDescent="0.3">
      <c r="A1007">
        <v>1004</v>
      </c>
      <c r="B1007" s="24">
        <v>44469</v>
      </c>
      <c r="C1007" t="s">
        <v>81</v>
      </c>
      <c r="D1007" t="s">
        <v>10</v>
      </c>
      <c r="E1007" t="s">
        <v>11</v>
      </c>
      <c r="F1007">
        <v>1100</v>
      </c>
      <c r="G1007">
        <v>1</v>
      </c>
      <c r="H1007">
        <v>1100</v>
      </c>
      <c r="I1007">
        <v>1100</v>
      </c>
    </row>
    <row r="1008" spans="1:9" x14ac:dyDescent="0.3">
      <c r="A1008">
        <v>1005</v>
      </c>
      <c r="B1008" s="24">
        <v>44470</v>
      </c>
      <c r="C1008" t="s">
        <v>81</v>
      </c>
      <c r="D1008" t="s">
        <v>22</v>
      </c>
      <c r="E1008" t="s">
        <v>23</v>
      </c>
      <c r="F1008">
        <v>900</v>
      </c>
      <c r="G1008">
        <v>1</v>
      </c>
      <c r="H1008">
        <v>900</v>
      </c>
      <c r="I1008">
        <v>900</v>
      </c>
    </row>
    <row r="1009" spans="1:9" x14ac:dyDescent="0.3">
      <c r="A1009">
        <v>1006</v>
      </c>
      <c r="B1009" s="24">
        <v>44471</v>
      </c>
      <c r="C1009" t="s">
        <v>81</v>
      </c>
      <c r="D1009" t="s">
        <v>22</v>
      </c>
      <c r="E1009" t="s">
        <v>23</v>
      </c>
      <c r="F1009">
        <v>500</v>
      </c>
      <c r="G1009">
        <v>1</v>
      </c>
      <c r="H1009">
        <v>500</v>
      </c>
      <c r="I1009">
        <v>500</v>
      </c>
    </row>
    <row r="1010" spans="1:9" x14ac:dyDescent="0.3">
      <c r="A1010">
        <v>1007</v>
      </c>
      <c r="B1010" s="24">
        <v>44472</v>
      </c>
      <c r="C1010" t="s">
        <v>81</v>
      </c>
      <c r="D1010" t="s">
        <v>15</v>
      </c>
      <c r="E1010" t="s">
        <v>11</v>
      </c>
      <c r="F1010">
        <v>1000</v>
      </c>
      <c r="G1010">
        <v>1</v>
      </c>
      <c r="H1010">
        <v>1000</v>
      </c>
      <c r="I1010">
        <v>1000</v>
      </c>
    </row>
    <row r="1011" spans="1:9" x14ac:dyDescent="0.3">
      <c r="A1011">
        <v>1008</v>
      </c>
      <c r="B1011" s="24">
        <v>44473</v>
      </c>
      <c r="C1011" t="s">
        <v>81</v>
      </c>
      <c r="D1011" t="s">
        <v>24</v>
      </c>
      <c r="E1011" t="s">
        <v>23</v>
      </c>
      <c r="F1011">
        <v>600</v>
      </c>
      <c r="G1011">
        <v>1</v>
      </c>
      <c r="H1011">
        <v>600</v>
      </c>
      <c r="I1011">
        <v>600</v>
      </c>
    </row>
    <row r="1012" spans="1:9" x14ac:dyDescent="0.3">
      <c r="A1012">
        <v>1009</v>
      </c>
      <c r="B1012" s="24">
        <v>44474</v>
      </c>
      <c r="C1012" t="s">
        <v>81</v>
      </c>
      <c r="D1012" t="s">
        <v>12</v>
      </c>
      <c r="E1012" t="s">
        <v>11</v>
      </c>
      <c r="F1012">
        <v>900</v>
      </c>
      <c r="G1012">
        <v>2</v>
      </c>
      <c r="H1012">
        <v>1800</v>
      </c>
      <c r="I1012">
        <v>1530</v>
      </c>
    </row>
    <row r="1013" spans="1:9" x14ac:dyDescent="0.3">
      <c r="A1013">
        <v>1010</v>
      </c>
      <c r="B1013" s="24">
        <v>44475</v>
      </c>
      <c r="C1013" t="s">
        <v>81</v>
      </c>
      <c r="D1013" t="s">
        <v>19</v>
      </c>
      <c r="E1013" t="s">
        <v>20</v>
      </c>
      <c r="F1013">
        <v>850</v>
      </c>
      <c r="G1013">
        <v>1</v>
      </c>
      <c r="H1013">
        <v>850</v>
      </c>
      <c r="I1013">
        <v>850</v>
      </c>
    </row>
    <row r="1014" spans="1:9" x14ac:dyDescent="0.3">
      <c r="A1014">
        <v>1011</v>
      </c>
      <c r="B1014" s="24">
        <v>44476</v>
      </c>
      <c r="C1014" t="s">
        <v>81</v>
      </c>
      <c r="D1014" t="s">
        <v>16</v>
      </c>
      <c r="E1014" t="s">
        <v>17</v>
      </c>
      <c r="F1014">
        <v>800</v>
      </c>
      <c r="G1014">
        <v>1</v>
      </c>
      <c r="H1014">
        <v>800</v>
      </c>
      <c r="I1014">
        <v>800</v>
      </c>
    </row>
    <row r="1015" spans="1:9" x14ac:dyDescent="0.3">
      <c r="A1015">
        <v>1012</v>
      </c>
      <c r="B1015" s="24">
        <v>44477</v>
      </c>
      <c r="C1015" t="s">
        <v>81</v>
      </c>
      <c r="D1015" t="s">
        <v>12</v>
      </c>
      <c r="E1015" t="s">
        <v>11</v>
      </c>
      <c r="F1015">
        <v>900</v>
      </c>
      <c r="G1015">
        <v>1</v>
      </c>
      <c r="H1015">
        <v>900</v>
      </c>
      <c r="I1015">
        <v>765</v>
      </c>
    </row>
    <row r="1016" spans="1:9" x14ac:dyDescent="0.3">
      <c r="A1016">
        <v>1013</v>
      </c>
      <c r="B1016" s="24">
        <v>44478</v>
      </c>
      <c r="C1016" t="s">
        <v>81</v>
      </c>
      <c r="D1016" t="s">
        <v>12</v>
      </c>
      <c r="E1016" t="s">
        <v>11</v>
      </c>
      <c r="F1016">
        <v>900</v>
      </c>
      <c r="G1016">
        <v>1</v>
      </c>
      <c r="H1016">
        <v>900</v>
      </c>
      <c r="I1016">
        <v>765</v>
      </c>
    </row>
    <row r="1017" spans="1:9" x14ac:dyDescent="0.3">
      <c r="A1017">
        <v>1014</v>
      </c>
      <c r="B1017" s="24">
        <v>44479</v>
      </c>
      <c r="C1017" t="s">
        <v>81</v>
      </c>
      <c r="D1017" t="s">
        <v>10</v>
      </c>
      <c r="E1017" t="s">
        <v>11</v>
      </c>
      <c r="F1017">
        <v>1100</v>
      </c>
      <c r="G1017">
        <v>1</v>
      </c>
      <c r="H1017">
        <v>1100</v>
      </c>
      <c r="I1017">
        <v>1100</v>
      </c>
    </row>
    <row r="1018" spans="1:9" x14ac:dyDescent="0.3">
      <c r="A1018">
        <v>1015</v>
      </c>
      <c r="B1018" s="24">
        <v>44480</v>
      </c>
      <c r="C1018" t="s">
        <v>81</v>
      </c>
      <c r="D1018" t="s">
        <v>14</v>
      </c>
      <c r="E1018" t="s">
        <v>11</v>
      </c>
      <c r="F1018">
        <v>900</v>
      </c>
      <c r="G1018">
        <v>1</v>
      </c>
      <c r="H1018">
        <v>900</v>
      </c>
      <c r="I1018">
        <v>900</v>
      </c>
    </row>
    <row r="1019" spans="1:9" x14ac:dyDescent="0.3">
      <c r="A1019">
        <v>1016</v>
      </c>
      <c r="B1019" s="24">
        <v>44481</v>
      </c>
      <c r="C1019" t="s">
        <v>81</v>
      </c>
      <c r="D1019" t="s">
        <v>18</v>
      </c>
      <c r="E1019" t="s">
        <v>17</v>
      </c>
      <c r="F1019">
        <v>600</v>
      </c>
      <c r="G1019">
        <v>1</v>
      </c>
      <c r="H1019">
        <v>600</v>
      </c>
      <c r="I1019">
        <v>600</v>
      </c>
    </row>
    <row r="1020" spans="1:9" x14ac:dyDescent="0.3">
      <c r="A1020">
        <v>1017</v>
      </c>
      <c r="B1020" s="24">
        <v>44482</v>
      </c>
      <c r="C1020" t="s">
        <v>81</v>
      </c>
      <c r="D1020" t="s">
        <v>18</v>
      </c>
      <c r="E1020" t="s">
        <v>17</v>
      </c>
      <c r="F1020">
        <v>600</v>
      </c>
      <c r="G1020">
        <v>1</v>
      </c>
      <c r="H1020">
        <v>600</v>
      </c>
      <c r="I1020">
        <v>600</v>
      </c>
    </row>
    <row r="1021" spans="1:9" x14ac:dyDescent="0.3">
      <c r="A1021">
        <v>1018</v>
      </c>
      <c r="B1021" s="24">
        <v>44483</v>
      </c>
      <c r="C1021" t="s">
        <v>81</v>
      </c>
      <c r="D1021" t="s">
        <v>14</v>
      </c>
      <c r="E1021" t="s">
        <v>11</v>
      </c>
      <c r="F1021">
        <v>900</v>
      </c>
      <c r="G1021">
        <v>1</v>
      </c>
      <c r="H1021">
        <v>900</v>
      </c>
      <c r="I1021">
        <v>900</v>
      </c>
    </row>
    <row r="1022" spans="1:9" x14ac:dyDescent="0.3">
      <c r="A1022">
        <v>1019</v>
      </c>
      <c r="B1022" s="24">
        <v>44484</v>
      </c>
      <c r="C1022" t="s">
        <v>81</v>
      </c>
      <c r="D1022" t="s">
        <v>19</v>
      </c>
      <c r="E1022" t="s">
        <v>20</v>
      </c>
      <c r="F1022">
        <v>850</v>
      </c>
      <c r="G1022">
        <v>1</v>
      </c>
      <c r="H1022">
        <v>850</v>
      </c>
      <c r="I1022">
        <v>850</v>
      </c>
    </row>
    <row r="1023" spans="1:9" x14ac:dyDescent="0.3">
      <c r="A1023">
        <v>1020</v>
      </c>
      <c r="B1023" s="24">
        <v>44485</v>
      </c>
      <c r="C1023" t="s">
        <v>81</v>
      </c>
      <c r="D1023" t="s">
        <v>14</v>
      </c>
      <c r="E1023" t="s">
        <v>11</v>
      </c>
      <c r="F1023">
        <v>900</v>
      </c>
      <c r="G1023">
        <v>1</v>
      </c>
      <c r="H1023">
        <v>900</v>
      </c>
      <c r="I1023">
        <v>900</v>
      </c>
    </row>
    <row r="1024" spans="1:9" x14ac:dyDescent="0.3">
      <c r="A1024">
        <v>1021</v>
      </c>
      <c r="B1024" s="24">
        <v>44486</v>
      </c>
      <c r="C1024" t="s">
        <v>81</v>
      </c>
      <c r="D1024" t="s">
        <v>18</v>
      </c>
      <c r="E1024" t="s">
        <v>17</v>
      </c>
      <c r="F1024">
        <v>600</v>
      </c>
      <c r="G1024">
        <v>1</v>
      </c>
      <c r="H1024">
        <v>600</v>
      </c>
      <c r="I1024">
        <v>600</v>
      </c>
    </row>
    <row r="1025" spans="1:9" x14ac:dyDescent="0.3">
      <c r="A1025">
        <v>1022</v>
      </c>
      <c r="B1025" s="24">
        <v>44487</v>
      </c>
      <c r="C1025" t="s">
        <v>80</v>
      </c>
      <c r="D1025" t="s">
        <v>18</v>
      </c>
      <c r="E1025" t="s">
        <v>17</v>
      </c>
      <c r="F1025">
        <v>600</v>
      </c>
      <c r="G1025">
        <v>1</v>
      </c>
      <c r="H1025">
        <v>600</v>
      </c>
      <c r="I1025">
        <v>600</v>
      </c>
    </row>
    <row r="1026" spans="1:9" x14ac:dyDescent="0.3">
      <c r="A1026">
        <v>1023</v>
      </c>
      <c r="B1026" s="24">
        <v>44488</v>
      </c>
      <c r="C1026" t="s">
        <v>80</v>
      </c>
      <c r="D1026" t="s">
        <v>10</v>
      </c>
      <c r="E1026" t="s">
        <v>11</v>
      </c>
      <c r="F1026">
        <v>1100</v>
      </c>
      <c r="G1026">
        <v>1</v>
      </c>
      <c r="H1026">
        <v>1100</v>
      </c>
      <c r="I1026">
        <v>1100</v>
      </c>
    </row>
    <row r="1027" spans="1:9" x14ac:dyDescent="0.3">
      <c r="A1027">
        <v>1024</v>
      </c>
      <c r="B1027" s="24">
        <v>44489</v>
      </c>
      <c r="C1027" t="s">
        <v>80</v>
      </c>
      <c r="D1027" t="s">
        <v>12</v>
      </c>
      <c r="E1027" t="s">
        <v>11</v>
      </c>
      <c r="F1027">
        <v>900</v>
      </c>
      <c r="G1027">
        <v>1</v>
      </c>
      <c r="H1027">
        <v>900</v>
      </c>
      <c r="I1027">
        <v>765</v>
      </c>
    </row>
    <row r="1028" spans="1:9" x14ac:dyDescent="0.3">
      <c r="A1028">
        <v>1025</v>
      </c>
      <c r="B1028" s="24">
        <v>44490</v>
      </c>
      <c r="C1028" t="s">
        <v>80</v>
      </c>
      <c r="D1028" t="s">
        <v>10</v>
      </c>
      <c r="E1028" t="s">
        <v>11</v>
      </c>
      <c r="F1028">
        <v>1100</v>
      </c>
      <c r="G1028">
        <v>1</v>
      </c>
      <c r="H1028">
        <v>1100</v>
      </c>
      <c r="I1028">
        <v>1100</v>
      </c>
    </row>
    <row r="1029" spans="1:9" x14ac:dyDescent="0.3">
      <c r="A1029">
        <v>1026</v>
      </c>
      <c r="B1029" s="24">
        <v>44491</v>
      </c>
      <c r="C1029" t="s">
        <v>80</v>
      </c>
      <c r="D1029" t="s">
        <v>18</v>
      </c>
      <c r="E1029" t="s">
        <v>17</v>
      </c>
      <c r="F1029">
        <v>600</v>
      </c>
      <c r="G1029">
        <v>1</v>
      </c>
      <c r="H1029">
        <v>600</v>
      </c>
      <c r="I1029">
        <v>600</v>
      </c>
    </row>
    <row r="1030" spans="1:9" x14ac:dyDescent="0.3">
      <c r="A1030">
        <v>1027</v>
      </c>
      <c r="B1030" s="24">
        <v>44492</v>
      </c>
      <c r="C1030" t="s">
        <v>80</v>
      </c>
      <c r="D1030" t="s">
        <v>21</v>
      </c>
      <c r="E1030" t="s">
        <v>20</v>
      </c>
      <c r="F1030">
        <v>1200</v>
      </c>
      <c r="G1030">
        <v>1</v>
      </c>
      <c r="H1030">
        <v>1200</v>
      </c>
      <c r="I1030">
        <v>1200</v>
      </c>
    </row>
    <row r="1031" spans="1:9" x14ac:dyDescent="0.3">
      <c r="A1031">
        <v>1028</v>
      </c>
      <c r="B1031" s="24">
        <v>44493</v>
      </c>
      <c r="C1031" t="s">
        <v>80</v>
      </c>
      <c r="D1031" t="s">
        <v>24</v>
      </c>
      <c r="E1031" t="s">
        <v>23</v>
      </c>
      <c r="F1031">
        <v>600</v>
      </c>
      <c r="G1031">
        <v>1</v>
      </c>
      <c r="H1031">
        <v>600</v>
      </c>
      <c r="I1031">
        <v>600</v>
      </c>
    </row>
    <row r="1032" spans="1:9" x14ac:dyDescent="0.3">
      <c r="A1032">
        <v>1029</v>
      </c>
      <c r="B1032" s="24">
        <v>44494</v>
      </c>
      <c r="C1032" t="s">
        <v>80</v>
      </c>
      <c r="D1032" t="s">
        <v>10</v>
      </c>
      <c r="E1032" t="s">
        <v>11</v>
      </c>
      <c r="F1032">
        <v>1100</v>
      </c>
      <c r="G1032">
        <v>1</v>
      </c>
      <c r="H1032">
        <v>1100</v>
      </c>
      <c r="I1032">
        <v>1100</v>
      </c>
    </row>
    <row r="1033" spans="1:9" x14ac:dyDescent="0.3">
      <c r="A1033">
        <v>1030</v>
      </c>
      <c r="B1033" s="24">
        <v>44495</v>
      </c>
      <c r="C1033" t="s">
        <v>80</v>
      </c>
      <c r="D1033" t="s">
        <v>22</v>
      </c>
      <c r="E1033" t="s">
        <v>23</v>
      </c>
      <c r="F1033">
        <v>500</v>
      </c>
      <c r="G1033">
        <v>1</v>
      </c>
      <c r="H1033">
        <v>500</v>
      </c>
      <c r="I1033">
        <v>500</v>
      </c>
    </row>
    <row r="1034" spans="1:9" x14ac:dyDescent="0.3">
      <c r="A1034">
        <v>1031</v>
      </c>
      <c r="B1034" s="24">
        <v>44496</v>
      </c>
      <c r="C1034" t="s">
        <v>81</v>
      </c>
      <c r="D1034" t="s">
        <v>12</v>
      </c>
      <c r="E1034" t="s">
        <v>11</v>
      </c>
      <c r="F1034">
        <v>900</v>
      </c>
      <c r="G1034">
        <v>1</v>
      </c>
      <c r="H1034">
        <v>900</v>
      </c>
      <c r="I1034">
        <v>765</v>
      </c>
    </row>
    <row r="1035" spans="1:9" x14ac:dyDescent="0.3">
      <c r="A1035">
        <v>1032</v>
      </c>
      <c r="B1035" s="24">
        <v>44497</v>
      </c>
      <c r="C1035" t="s">
        <v>81</v>
      </c>
      <c r="D1035" t="s">
        <v>19</v>
      </c>
      <c r="E1035" t="s">
        <v>20</v>
      </c>
      <c r="F1035">
        <v>850</v>
      </c>
      <c r="G1035">
        <v>1</v>
      </c>
      <c r="H1035">
        <v>850</v>
      </c>
      <c r="I1035">
        <v>850</v>
      </c>
    </row>
    <row r="1036" spans="1:9" x14ac:dyDescent="0.3">
      <c r="A1036">
        <v>1033</v>
      </c>
      <c r="B1036" s="24">
        <v>44498</v>
      </c>
      <c r="C1036" t="s">
        <v>81</v>
      </c>
      <c r="D1036" t="s">
        <v>18</v>
      </c>
      <c r="E1036" t="s">
        <v>17</v>
      </c>
      <c r="F1036">
        <v>600</v>
      </c>
      <c r="G1036">
        <v>1</v>
      </c>
      <c r="H1036">
        <v>600</v>
      </c>
      <c r="I1036">
        <v>600</v>
      </c>
    </row>
    <row r="1037" spans="1:9" x14ac:dyDescent="0.3">
      <c r="A1037">
        <v>1034</v>
      </c>
      <c r="B1037" s="24">
        <v>44499</v>
      </c>
      <c r="C1037" t="s">
        <v>81</v>
      </c>
      <c r="D1037" t="s">
        <v>10</v>
      </c>
      <c r="E1037" t="s">
        <v>11</v>
      </c>
      <c r="F1037">
        <v>1100</v>
      </c>
      <c r="G1037">
        <v>1</v>
      </c>
      <c r="H1037">
        <v>1100</v>
      </c>
      <c r="I1037">
        <v>1100</v>
      </c>
    </row>
    <row r="1038" spans="1:9" x14ac:dyDescent="0.3">
      <c r="A1038">
        <v>1035</v>
      </c>
      <c r="B1038" s="24">
        <v>44500</v>
      </c>
      <c r="C1038" t="s">
        <v>81</v>
      </c>
      <c r="D1038" t="s">
        <v>22</v>
      </c>
      <c r="E1038" t="s">
        <v>23</v>
      </c>
      <c r="F1038">
        <v>500</v>
      </c>
      <c r="G1038">
        <v>1</v>
      </c>
      <c r="H1038">
        <v>500</v>
      </c>
      <c r="I1038">
        <v>500</v>
      </c>
    </row>
    <row r="1039" spans="1:9" x14ac:dyDescent="0.3">
      <c r="A1039">
        <v>1036</v>
      </c>
      <c r="B1039" s="24">
        <v>44501</v>
      </c>
      <c r="C1039" t="s">
        <v>81</v>
      </c>
      <c r="D1039" t="s">
        <v>18</v>
      </c>
      <c r="E1039" t="s">
        <v>17</v>
      </c>
      <c r="F1039">
        <v>600</v>
      </c>
      <c r="G1039">
        <v>1</v>
      </c>
      <c r="H1039">
        <v>600</v>
      </c>
      <c r="I1039">
        <v>600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59DF6-4BD7-4116-90BE-A7ACADF8F157}">
  <dimension ref="A1:I1039"/>
  <sheetViews>
    <sheetView workbookViewId="0">
      <selection activeCell="A3" sqref="A3:I1039"/>
    </sheetView>
  </sheetViews>
  <sheetFormatPr defaultRowHeight="14.4" x14ac:dyDescent="0.3"/>
  <cols>
    <col min="1" max="1" width="12.5546875" bestFit="1" customWidth="1"/>
    <col min="2" max="2" width="12.6640625" bestFit="1" customWidth="1"/>
    <col min="3" max="3" width="17.109375" bestFit="1" customWidth="1"/>
    <col min="4" max="4" width="12.6640625" bestFit="1" customWidth="1"/>
    <col min="5" max="5" width="16.109375" bestFit="1" customWidth="1"/>
    <col min="6" max="6" width="13.21875" bestFit="1" customWidth="1"/>
    <col min="7" max="7" width="14.6640625" bestFit="1" customWidth="1"/>
    <col min="8" max="8" width="12.109375" bestFit="1" customWidth="1"/>
    <col min="9" max="9" width="20.6640625" bestFit="1" customWidth="1"/>
  </cols>
  <sheetData>
    <row r="1" spans="1:9" x14ac:dyDescent="0.3">
      <c r="A1" s="25" t="s">
        <v>99</v>
      </c>
    </row>
    <row r="3" spans="1:9" x14ac:dyDescent="0.3">
      <c r="A3" t="s">
        <v>1</v>
      </c>
      <c r="B3" t="s">
        <v>2</v>
      </c>
      <c r="C3" t="s">
        <v>3</v>
      </c>
      <c r="D3" t="s">
        <v>4</v>
      </c>
      <c r="E3" t="s">
        <v>5</v>
      </c>
      <c r="F3" t="s">
        <v>6</v>
      </c>
      <c r="G3" t="s">
        <v>7</v>
      </c>
      <c r="H3" t="s">
        <v>79</v>
      </c>
      <c r="I3" t="s">
        <v>82</v>
      </c>
    </row>
    <row r="4" spans="1:9" x14ac:dyDescent="0.3">
      <c r="A4">
        <v>1</v>
      </c>
      <c r="B4" s="24">
        <v>43466</v>
      </c>
      <c r="C4" t="s">
        <v>81</v>
      </c>
      <c r="D4" t="s">
        <v>10</v>
      </c>
      <c r="E4" t="s">
        <v>11</v>
      </c>
      <c r="F4">
        <v>1100</v>
      </c>
      <c r="G4">
        <v>1</v>
      </c>
      <c r="H4">
        <v>1100</v>
      </c>
      <c r="I4">
        <v>1100</v>
      </c>
    </row>
    <row r="5" spans="1:9" x14ac:dyDescent="0.3">
      <c r="A5">
        <v>2</v>
      </c>
      <c r="B5" s="24">
        <v>43467</v>
      </c>
      <c r="C5" t="s">
        <v>81</v>
      </c>
      <c r="D5" t="s">
        <v>10</v>
      </c>
      <c r="E5" t="s">
        <v>11</v>
      </c>
      <c r="F5">
        <v>1100</v>
      </c>
      <c r="G5">
        <v>1</v>
      </c>
      <c r="H5">
        <v>1100</v>
      </c>
      <c r="I5">
        <v>1100</v>
      </c>
    </row>
    <row r="6" spans="1:9" x14ac:dyDescent="0.3">
      <c r="A6">
        <v>3</v>
      </c>
      <c r="B6" s="24">
        <v>43468</v>
      </c>
      <c r="C6" t="s">
        <v>81</v>
      </c>
      <c r="D6" t="s">
        <v>10</v>
      </c>
      <c r="E6" t="s">
        <v>11</v>
      </c>
      <c r="F6">
        <v>1100</v>
      </c>
      <c r="G6">
        <v>1</v>
      </c>
      <c r="H6">
        <v>1100</v>
      </c>
      <c r="I6">
        <v>1100</v>
      </c>
    </row>
    <row r="7" spans="1:9" x14ac:dyDescent="0.3">
      <c r="A7">
        <v>4</v>
      </c>
      <c r="B7" s="24">
        <v>43469</v>
      </c>
      <c r="C7" t="s">
        <v>81</v>
      </c>
      <c r="D7" t="s">
        <v>10</v>
      </c>
      <c r="E7" t="s">
        <v>11</v>
      </c>
      <c r="F7">
        <v>1100</v>
      </c>
      <c r="G7">
        <v>1</v>
      </c>
      <c r="H7">
        <v>1100</v>
      </c>
      <c r="I7">
        <v>1100</v>
      </c>
    </row>
    <row r="8" spans="1:9" x14ac:dyDescent="0.3">
      <c r="A8">
        <v>5</v>
      </c>
      <c r="B8" s="24">
        <v>43470</v>
      </c>
      <c r="C8" t="s">
        <v>81</v>
      </c>
      <c r="D8" t="s">
        <v>10</v>
      </c>
      <c r="E8" t="s">
        <v>11</v>
      </c>
      <c r="F8">
        <v>1100</v>
      </c>
      <c r="G8">
        <v>1</v>
      </c>
      <c r="H8">
        <v>1100</v>
      </c>
      <c r="I8">
        <v>1100</v>
      </c>
    </row>
    <row r="9" spans="1:9" x14ac:dyDescent="0.3">
      <c r="A9">
        <v>6</v>
      </c>
      <c r="B9" s="24">
        <v>43471</v>
      </c>
      <c r="C9" t="s">
        <v>81</v>
      </c>
      <c r="D9" t="s">
        <v>10</v>
      </c>
      <c r="E9" t="s">
        <v>11</v>
      </c>
      <c r="F9">
        <v>1100</v>
      </c>
      <c r="G9">
        <v>1</v>
      </c>
      <c r="H9">
        <v>1100</v>
      </c>
      <c r="I9">
        <v>1100</v>
      </c>
    </row>
    <row r="10" spans="1:9" x14ac:dyDescent="0.3">
      <c r="A10">
        <v>7</v>
      </c>
      <c r="B10" s="24">
        <v>43472</v>
      </c>
      <c r="C10" t="s">
        <v>81</v>
      </c>
      <c r="D10" t="s">
        <v>10</v>
      </c>
      <c r="E10" t="s">
        <v>11</v>
      </c>
      <c r="F10">
        <v>1100</v>
      </c>
      <c r="G10">
        <v>2</v>
      </c>
      <c r="H10">
        <v>2200</v>
      </c>
      <c r="I10">
        <v>2200</v>
      </c>
    </row>
    <row r="11" spans="1:9" x14ac:dyDescent="0.3">
      <c r="A11">
        <v>8</v>
      </c>
      <c r="B11" s="24">
        <v>43473</v>
      </c>
      <c r="C11" t="s">
        <v>81</v>
      </c>
      <c r="D11" t="s">
        <v>10</v>
      </c>
      <c r="E11" t="s">
        <v>11</v>
      </c>
      <c r="F11">
        <v>1100</v>
      </c>
      <c r="G11">
        <v>1</v>
      </c>
      <c r="H11">
        <v>1100</v>
      </c>
      <c r="I11">
        <v>1100</v>
      </c>
    </row>
    <row r="12" spans="1:9" x14ac:dyDescent="0.3">
      <c r="A12">
        <v>9</v>
      </c>
      <c r="B12" s="24">
        <v>43474</v>
      </c>
      <c r="C12" t="s">
        <v>81</v>
      </c>
      <c r="D12" t="s">
        <v>10</v>
      </c>
      <c r="E12" t="s">
        <v>11</v>
      </c>
      <c r="F12">
        <v>1100</v>
      </c>
      <c r="G12">
        <v>1</v>
      </c>
      <c r="H12">
        <v>1100</v>
      </c>
      <c r="I12">
        <v>1100</v>
      </c>
    </row>
    <row r="13" spans="1:9" x14ac:dyDescent="0.3">
      <c r="A13">
        <v>10</v>
      </c>
      <c r="B13" s="24">
        <v>43475</v>
      </c>
      <c r="C13" t="s">
        <v>81</v>
      </c>
      <c r="D13" t="s">
        <v>12</v>
      </c>
      <c r="E13" t="s">
        <v>11</v>
      </c>
      <c r="F13">
        <v>900</v>
      </c>
      <c r="G13">
        <v>1</v>
      </c>
      <c r="H13">
        <v>900</v>
      </c>
      <c r="I13">
        <v>765</v>
      </c>
    </row>
    <row r="14" spans="1:9" x14ac:dyDescent="0.3">
      <c r="A14">
        <v>11</v>
      </c>
      <c r="B14" s="24">
        <v>43476</v>
      </c>
      <c r="C14" t="s">
        <v>80</v>
      </c>
      <c r="D14" t="s">
        <v>12</v>
      </c>
      <c r="E14" t="s">
        <v>11</v>
      </c>
      <c r="F14">
        <v>900</v>
      </c>
      <c r="G14">
        <v>1</v>
      </c>
      <c r="H14">
        <v>900</v>
      </c>
      <c r="I14">
        <v>765</v>
      </c>
    </row>
    <row r="15" spans="1:9" x14ac:dyDescent="0.3">
      <c r="A15">
        <v>12</v>
      </c>
      <c r="B15" s="24">
        <v>43477</v>
      </c>
      <c r="C15" t="s">
        <v>80</v>
      </c>
      <c r="D15" t="s">
        <v>12</v>
      </c>
      <c r="E15" t="s">
        <v>11</v>
      </c>
      <c r="F15">
        <v>900</v>
      </c>
      <c r="G15">
        <v>1</v>
      </c>
      <c r="H15">
        <v>900</v>
      </c>
      <c r="I15">
        <v>765</v>
      </c>
    </row>
    <row r="16" spans="1:9" x14ac:dyDescent="0.3">
      <c r="A16">
        <v>13</v>
      </c>
      <c r="B16" s="24">
        <v>43478</v>
      </c>
      <c r="C16" t="s">
        <v>80</v>
      </c>
      <c r="D16" t="s">
        <v>12</v>
      </c>
      <c r="E16" t="s">
        <v>11</v>
      </c>
      <c r="F16">
        <v>900</v>
      </c>
      <c r="G16">
        <v>2</v>
      </c>
      <c r="H16">
        <v>1800</v>
      </c>
      <c r="I16">
        <v>1530</v>
      </c>
    </row>
    <row r="17" spans="1:9" x14ac:dyDescent="0.3">
      <c r="A17">
        <v>14</v>
      </c>
      <c r="B17" s="24">
        <v>43479</v>
      </c>
      <c r="C17" t="s">
        <v>80</v>
      </c>
      <c r="D17" t="s">
        <v>12</v>
      </c>
      <c r="E17" t="s">
        <v>11</v>
      </c>
      <c r="F17">
        <v>900</v>
      </c>
      <c r="G17">
        <v>1</v>
      </c>
      <c r="H17">
        <v>900</v>
      </c>
      <c r="I17">
        <v>765</v>
      </c>
    </row>
    <row r="18" spans="1:9" x14ac:dyDescent="0.3">
      <c r="A18">
        <v>15</v>
      </c>
      <c r="B18" s="24">
        <v>43480</v>
      </c>
      <c r="C18" t="s">
        <v>80</v>
      </c>
      <c r="D18" t="s">
        <v>12</v>
      </c>
      <c r="E18" t="s">
        <v>11</v>
      </c>
      <c r="F18">
        <v>900</v>
      </c>
      <c r="G18">
        <v>1</v>
      </c>
      <c r="H18">
        <v>900</v>
      </c>
      <c r="I18">
        <v>765</v>
      </c>
    </row>
    <row r="19" spans="1:9" x14ac:dyDescent="0.3">
      <c r="A19">
        <v>16</v>
      </c>
      <c r="B19" s="24">
        <v>43481</v>
      </c>
      <c r="C19" t="s">
        <v>80</v>
      </c>
      <c r="D19" t="s">
        <v>10</v>
      </c>
      <c r="E19" t="s">
        <v>11</v>
      </c>
      <c r="F19">
        <v>1100</v>
      </c>
      <c r="G19">
        <v>1</v>
      </c>
      <c r="H19">
        <v>1100</v>
      </c>
      <c r="I19">
        <v>1100</v>
      </c>
    </row>
    <row r="20" spans="1:9" x14ac:dyDescent="0.3">
      <c r="A20">
        <v>17</v>
      </c>
      <c r="B20" s="24">
        <v>43482</v>
      </c>
      <c r="C20" t="s">
        <v>80</v>
      </c>
      <c r="D20" t="s">
        <v>12</v>
      </c>
      <c r="E20" t="s">
        <v>11</v>
      </c>
      <c r="F20">
        <v>900</v>
      </c>
      <c r="G20">
        <v>1</v>
      </c>
      <c r="H20">
        <v>900</v>
      </c>
      <c r="I20">
        <v>765</v>
      </c>
    </row>
    <row r="21" spans="1:9" x14ac:dyDescent="0.3">
      <c r="A21">
        <v>18</v>
      </c>
      <c r="B21" s="24">
        <v>43483</v>
      </c>
      <c r="C21" t="s">
        <v>80</v>
      </c>
      <c r="D21" t="s">
        <v>10</v>
      </c>
      <c r="E21" t="s">
        <v>11</v>
      </c>
      <c r="F21">
        <v>1100</v>
      </c>
      <c r="G21">
        <v>2</v>
      </c>
      <c r="H21">
        <v>2200</v>
      </c>
      <c r="I21">
        <v>2200</v>
      </c>
    </row>
    <row r="22" spans="1:9" x14ac:dyDescent="0.3">
      <c r="A22">
        <v>19</v>
      </c>
      <c r="B22" s="24">
        <v>43484</v>
      </c>
      <c r="C22" t="s">
        <v>80</v>
      </c>
      <c r="D22" t="s">
        <v>10</v>
      </c>
      <c r="E22" t="s">
        <v>11</v>
      </c>
      <c r="F22">
        <v>1100</v>
      </c>
      <c r="G22">
        <v>1</v>
      </c>
      <c r="H22">
        <v>1100</v>
      </c>
      <c r="I22">
        <v>1100</v>
      </c>
    </row>
    <row r="23" spans="1:9" x14ac:dyDescent="0.3">
      <c r="A23">
        <v>20</v>
      </c>
      <c r="B23" s="24">
        <v>43485</v>
      </c>
      <c r="C23" t="s">
        <v>81</v>
      </c>
      <c r="D23" t="s">
        <v>12</v>
      </c>
      <c r="E23" t="s">
        <v>11</v>
      </c>
      <c r="F23">
        <v>900</v>
      </c>
      <c r="G23">
        <v>1</v>
      </c>
      <c r="H23">
        <v>900</v>
      </c>
      <c r="I23">
        <v>765</v>
      </c>
    </row>
    <row r="24" spans="1:9" x14ac:dyDescent="0.3">
      <c r="A24">
        <v>21</v>
      </c>
      <c r="B24" s="24">
        <v>43486</v>
      </c>
      <c r="C24" t="s">
        <v>81</v>
      </c>
      <c r="D24" t="s">
        <v>12</v>
      </c>
      <c r="E24" t="s">
        <v>11</v>
      </c>
      <c r="F24">
        <v>900</v>
      </c>
      <c r="G24">
        <v>1</v>
      </c>
      <c r="H24">
        <v>900</v>
      </c>
      <c r="I24">
        <v>765</v>
      </c>
    </row>
    <row r="25" spans="1:9" x14ac:dyDescent="0.3">
      <c r="A25">
        <v>22</v>
      </c>
      <c r="B25" s="24">
        <v>43487</v>
      </c>
      <c r="C25" t="s">
        <v>81</v>
      </c>
      <c r="D25" t="s">
        <v>14</v>
      </c>
      <c r="E25" t="s">
        <v>11</v>
      </c>
      <c r="F25">
        <v>900</v>
      </c>
      <c r="G25">
        <v>1</v>
      </c>
      <c r="H25">
        <v>900</v>
      </c>
      <c r="I25">
        <v>900</v>
      </c>
    </row>
    <row r="26" spans="1:9" x14ac:dyDescent="0.3">
      <c r="A26">
        <v>23</v>
      </c>
      <c r="B26" s="24">
        <v>43488</v>
      </c>
      <c r="C26" t="s">
        <v>81</v>
      </c>
      <c r="D26" t="s">
        <v>10</v>
      </c>
      <c r="E26" t="s">
        <v>11</v>
      </c>
      <c r="F26">
        <v>1100</v>
      </c>
      <c r="G26">
        <v>1</v>
      </c>
      <c r="H26">
        <v>1100</v>
      </c>
      <c r="I26">
        <v>1100</v>
      </c>
    </row>
    <row r="27" spans="1:9" x14ac:dyDescent="0.3">
      <c r="A27">
        <v>24</v>
      </c>
      <c r="B27" s="24">
        <v>43489</v>
      </c>
      <c r="C27" t="s">
        <v>81</v>
      </c>
      <c r="D27" t="s">
        <v>10</v>
      </c>
      <c r="E27" t="s">
        <v>11</v>
      </c>
      <c r="F27">
        <v>1100</v>
      </c>
      <c r="G27">
        <v>1</v>
      </c>
      <c r="H27">
        <v>1100</v>
      </c>
      <c r="I27">
        <v>1100</v>
      </c>
    </row>
    <row r="28" spans="1:9" x14ac:dyDescent="0.3">
      <c r="A28">
        <v>25</v>
      </c>
      <c r="B28" s="24">
        <v>43490</v>
      </c>
      <c r="C28" t="s">
        <v>81</v>
      </c>
      <c r="D28" t="s">
        <v>14</v>
      </c>
      <c r="E28" t="s">
        <v>11</v>
      </c>
      <c r="F28">
        <v>900</v>
      </c>
      <c r="G28">
        <v>1</v>
      </c>
      <c r="H28">
        <v>900</v>
      </c>
      <c r="I28">
        <v>900</v>
      </c>
    </row>
    <row r="29" spans="1:9" x14ac:dyDescent="0.3">
      <c r="A29">
        <v>26</v>
      </c>
      <c r="B29" s="24">
        <v>43491</v>
      </c>
      <c r="C29" t="s">
        <v>81</v>
      </c>
      <c r="D29" t="s">
        <v>12</v>
      </c>
      <c r="E29" t="s">
        <v>11</v>
      </c>
      <c r="F29">
        <v>900</v>
      </c>
      <c r="G29">
        <v>1</v>
      </c>
      <c r="H29">
        <v>900</v>
      </c>
      <c r="I29">
        <v>765</v>
      </c>
    </row>
    <row r="30" spans="1:9" x14ac:dyDescent="0.3">
      <c r="A30">
        <v>27</v>
      </c>
      <c r="B30" s="24">
        <v>43492</v>
      </c>
      <c r="C30" t="s">
        <v>81</v>
      </c>
      <c r="D30" t="s">
        <v>14</v>
      </c>
      <c r="E30" t="s">
        <v>11</v>
      </c>
      <c r="F30">
        <v>900</v>
      </c>
      <c r="G30">
        <v>1</v>
      </c>
      <c r="H30">
        <v>900</v>
      </c>
      <c r="I30">
        <v>900</v>
      </c>
    </row>
    <row r="31" spans="1:9" x14ac:dyDescent="0.3">
      <c r="A31">
        <v>28</v>
      </c>
      <c r="B31" s="24">
        <v>43493</v>
      </c>
      <c r="C31" t="s">
        <v>81</v>
      </c>
      <c r="D31" t="s">
        <v>10</v>
      </c>
      <c r="E31" t="s">
        <v>11</v>
      </c>
      <c r="F31">
        <v>1100</v>
      </c>
      <c r="G31">
        <v>1</v>
      </c>
      <c r="H31">
        <v>1100</v>
      </c>
      <c r="I31">
        <v>1100</v>
      </c>
    </row>
    <row r="32" spans="1:9" x14ac:dyDescent="0.3">
      <c r="A32">
        <v>29</v>
      </c>
      <c r="B32" s="24">
        <v>43494</v>
      </c>
      <c r="C32" t="s">
        <v>81</v>
      </c>
      <c r="D32" t="s">
        <v>10</v>
      </c>
      <c r="E32" t="s">
        <v>11</v>
      </c>
      <c r="F32">
        <v>1100</v>
      </c>
      <c r="G32">
        <v>1</v>
      </c>
      <c r="H32">
        <v>1100</v>
      </c>
      <c r="I32">
        <v>1100</v>
      </c>
    </row>
    <row r="33" spans="1:9" x14ac:dyDescent="0.3">
      <c r="A33">
        <v>30</v>
      </c>
      <c r="B33" s="24">
        <v>43495</v>
      </c>
      <c r="C33" t="s">
        <v>81</v>
      </c>
      <c r="D33" t="s">
        <v>14</v>
      </c>
      <c r="E33" t="s">
        <v>11</v>
      </c>
      <c r="F33">
        <v>900</v>
      </c>
      <c r="G33">
        <v>1</v>
      </c>
      <c r="H33">
        <v>900</v>
      </c>
      <c r="I33">
        <v>900</v>
      </c>
    </row>
    <row r="34" spans="1:9" x14ac:dyDescent="0.3">
      <c r="A34">
        <v>31</v>
      </c>
      <c r="B34" s="24">
        <v>43496</v>
      </c>
      <c r="C34" t="s">
        <v>81</v>
      </c>
      <c r="D34" t="s">
        <v>14</v>
      </c>
      <c r="E34" t="s">
        <v>11</v>
      </c>
      <c r="F34">
        <v>900</v>
      </c>
      <c r="G34">
        <v>1</v>
      </c>
      <c r="H34">
        <v>900</v>
      </c>
      <c r="I34">
        <v>900</v>
      </c>
    </row>
    <row r="35" spans="1:9" x14ac:dyDescent="0.3">
      <c r="A35">
        <v>32</v>
      </c>
      <c r="B35" s="24">
        <v>43497</v>
      </c>
      <c r="C35" t="s">
        <v>81</v>
      </c>
      <c r="D35" t="s">
        <v>14</v>
      </c>
      <c r="E35" t="s">
        <v>11</v>
      </c>
      <c r="F35">
        <v>900</v>
      </c>
      <c r="G35">
        <v>1</v>
      </c>
      <c r="H35">
        <v>900</v>
      </c>
      <c r="I35">
        <v>900</v>
      </c>
    </row>
    <row r="36" spans="1:9" x14ac:dyDescent="0.3">
      <c r="A36">
        <v>33</v>
      </c>
      <c r="B36" s="24">
        <v>43498</v>
      </c>
      <c r="C36" t="s">
        <v>81</v>
      </c>
      <c r="D36" t="s">
        <v>14</v>
      </c>
      <c r="E36" t="s">
        <v>11</v>
      </c>
      <c r="F36">
        <v>900</v>
      </c>
      <c r="G36">
        <v>1</v>
      </c>
      <c r="H36">
        <v>900</v>
      </c>
      <c r="I36">
        <v>900</v>
      </c>
    </row>
    <row r="37" spans="1:9" x14ac:dyDescent="0.3">
      <c r="A37">
        <v>34</v>
      </c>
      <c r="B37" s="24">
        <v>43499</v>
      </c>
      <c r="C37" t="s">
        <v>81</v>
      </c>
      <c r="D37" t="s">
        <v>14</v>
      </c>
      <c r="E37" t="s">
        <v>11</v>
      </c>
      <c r="F37">
        <v>900</v>
      </c>
      <c r="G37">
        <v>1</v>
      </c>
      <c r="H37">
        <v>900</v>
      </c>
      <c r="I37">
        <v>900</v>
      </c>
    </row>
    <row r="38" spans="1:9" x14ac:dyDescent="0.3">
      <c r="A38">
        <v>35</v>
      </c>
      <c r="B38" s="24">
        <v>43500</v>
      </c>
      <c r="C38" t="s">
        <v>81</v>
      </c>
      <c r="D38" t="s">
        <v>12</v>
      </c>
      <c r="E38" t="s">
        <v>11</v>
      </c>
      <c r="F38">
        <v>900</v>
      </c>
      <c r="G38">
        <v>1</v>
      </c>
      <c r="H38">
        <v>900</v>
      </c>
      <c r="I38">
        <v>765</v>
      </c>
    </row>
    <row r="39" spans="1:9" x14ac:dyDescent="0.3">
      <c r="A39">
        <v>36</v>
      </c>
      <c r="B39" s="24">
        <v>43501</v>
      </c>
      <c r="C39" t="s">
        <v>81</v>
      </c>
      <c r="D39" t="s">
        <v>12</v>
      </c>
      <c r="E39" t="s">
        <v>11</v>
      </c>
      <c r="F39">
        <v>900</v>
      </c>
      <c r="G39">
        <v>1</v>
      </c>
      <c r="H39">
        <v>900</v>
      </c>
      <c r="I39">
        <v>765</v>
      </c>
    </row>
    <row r="40" spans="1:9" x14ac:dyDescent="0.3">
      <c r="A40">
        <v>37</v>
      </c>
      <c r="B40" s="24">
        <v>43502</v>
      </c>
      <c r="C40" t="s">
        <v>81</v>
      </c>
      <c r="D40" t="s">
        <v>12</v>
      </c>
      <c r="E40" t="s">
        <v>11</v>
      </c>
      <c r="F40">
        <v>900</v>
      </c>
      <c r="G40">
        <v>1</v>
      </c>
      <c r="H40">
        <v>900</v>
      </c>
      <c r="I40">
        <v>765</v>
      </c>
    </row>
    <row r="41" spans="1:9" x14ac:dyDescent="0.3">
      <c r="A41">
        <v>38</v>
      </c>
      <c r="B41" s="24">
        <v>43503</v>
      </c>
      <c r="C41" t="s">
        <v>81</v>
      </c>
      <c r="D41" t="s">
        <v>10</v>
      </c>
      <c r="E41" t="s">
        <v>11</v>
      </c>
      <c r="F41">
        <v>1100</v>
      </c>
      <c r="G41">
        <v>1</v>
      </c>
      <c r="H41">
        <v>1100</v>
      </c>
      <c r="I41">
        <v>1100</v>
      </c>
    </row>
    <row r="42" spans="1:9" x14ac:dyDescent="0.3">
      <c r="A42">
        <v>39</v>
      </c>
      <c r="B42" s="24">
        <v>43504</v>
      </c>
      <c r="C42" t="s">
        <v>81</v>
      </c>
      <c r="D42" t="s">
        <v>10</v>
      </c>
      <c r="E42" t="s">
        <v>11</v>
      </c>
      <c r="F42">
        <v>1100</v>
      </c>
      <c r="G42">
        <v>1</v>
      </c>
      <c r="H42">
        <v>1100</v>
      </c>
      <c r="I42">
        <v>1100</v>
      </c>
    </row>
    <row r="43" spans="1:9" x14ac:dyDescent="0.3">
      <c r="A43">
        <v>40</v>
      </c>
      <c r="B43" s="24">
        <v>43505</v>
      </c>
      <c r="C43" t="s">
        <v>81</v>
      </c>
      <c r="D43" t="s">
        <v>15</v>
      </c>
      <c r="E43" t="s">
        <v>11</v>
      </c>
      <c r="F43">
        <v>1000</v>
      </c>
      <c r="G43">
        <v>1</v>
      </c>
      <c r="H43">
        <v>1000</v>
      </c>
      <c r="I43">
        <v>1000</v>
      </c>
    </row>
    <row r="44" spans="1:9" x14ac:dyDescent="0.3">
      <c r="A44">
        <v>41</v>
      </c>
      <c r="B44" s="24">
        <v>43506</v>
      </c>
      <c r="C44" t="s">
        <v>81</v>
      </c>
      <c r="D44" t="s">
        <v>15</v>
      </c>
      <c r="E44" t="s">
        <v>11</v>
      </c>
      <c r="F44">
        <v>1000</v>
      </c>
      <c r="G44">
        <v>1</v>
      </c>
      <c r="H44">
        <v>1000</v>
      </c>
      <c r="I44">
        <v>1000</v>
      </c>
    </row>
    <row r="45" spans="1:9" x14ac:dyDescent="0.3">
      <c r="A45">
        <v>42</v>
      </c>
      <c r="B45" s="24">
        <v>43507</v>
      </c>
      <c r="C45" t="s">
        <v>81</v>
      </c>
      <c r="D45" t="s">
        <v>10</v>
      </c>
      <c r="E45" t="s">
        <v>11</v>
      </c>
      <c r="F45">
        <v>1100</v>
      </c>
      <c r="G45">
        <v>1</v>
      </c>
      <c r="H45">
        <v>1100</v>
      </c>
      <c r="I45">
        <v>1100</v>
      </c>
    </row>
    <row r="46" spans="1:9" x14ac:dyDescent="0.3">
      <c r="A46">
        <v>43</v>
      </c>
      <c r="B46" s="24">
        <v>43508</v>
      </c>
      <c r="C46" t="s">
        <v>81</v>
      </c>
      <c r="D46" t="s">
        <v>15</v>
      </c>
      <c r="E46" t="s">
        <v>11</v>
      </c>
      <c r="F46">
        <v>1000</v>
      </c>
      <c r="G46">
        <v>1</v>
      </c>
      <c r="H46">
        <v>1000</v>
      </c>
      <c r="I46">
        <v>1000</v>
      </c>
    </row>
    <row r="47" spans="1:9" x14ac:dyDescent="0.3">
      <c r="A47">
        <v>44</v>
      </c>
      <c r="B47" s="24">
        <v>43509</v>
      </c>
      <c r="C47" t="s">
        <v>81</v>
      </c>
      <c r="D47" t="s">
        <v>12</v>
      </c>
      <c r="E47" t="s">
        <v>11</v>
      </c>
      <c r="F47">
        <v>900</v>
      </c>
      <c r="G47">
        <v>1</v>
      </c>
      <c r="H47">
        <v>900</v>
      </c>
      <c r="I47">
        <v>765</v>
      </c>
    </row>
    <row r="48" spans="1:9" x14ac:dyDescent="0.3">
      <c r="A48">
        <v>45</v>
      </c>
      <c r="B48" s="24">
        <v>43510</v>
      </c>
      <c r="C48" t="s">
        <v>81</v>
      </c>
      <c r="D48" t="s">
        <v>12</v>
      </c>
      <c r="E48" t="s">
        <v>11</v>
      </c>
      <c r="F48">
        <v>900</v>
      </c>
      <c r="G48">
        <v>2</v>
      </c>
      <c r="H48">
        <v>1800</v>
      </c>
      <c r="I48">
        <v>1530</v>
      </c>
    </row>
    <row r="49" spans="1:9" x14ac:dyDescent="0.3">
      <c r="A49">
        <v>46</v>
      </c>
      <c r="B49" s="24">
        <v>43511</v>
      </c>
      <c r="C49" t="s">
        <v>81</v>
      </c>
      <c r="D49" t="s">
        <v>10</v>
      </c>
      <c r="E49" t="s">
        <v>11</v>
      </c>
      <c r="F49">
        <v>1100</v>
      </c>
      <c r="G49">
        <v>1</v>
      </c>
      <c r="H49">
        <v>1100</v>
      </c>
      <c r="I49">
        <v>1100</v>
      </c>
    </row>
    <row r="50" spans="1:9" x14ac:dyDescent="0.3">
      <c r="A50">
        <v>47</v>
      </c>
      <c r="B50" s="24">
        <v>43512</v>
      </c>
      <c r="C50" t="s">
        <v>81</v>
      </c>
      <c r="D50" t="s">
        <v>12</v>
      </c>
      <c r="E50" t="s">
        <v>11</v>
      </c>
      <c r="F50">
        <v>900</v>
      </c>
      <c r="G50">
        <v>1</v>
      </c>
      <c r="H50">
        <v>900</v>
      </c>
      <c r="I50">
        <v>765</v>
      </c>
    </row>
    <row r="51" spans="1:9" x14ac:dyDescent="0.3">
      <c r="A51">
        <v>48</v>
      </c>
      <c r="B51" s="24">
        <v>43513</v>
      </c>
      <c r="C51" t="s">
        <v>81</v>
      </c>
      <c r="D51" t="s">
        <v>10</v>
      </c>
      <c r="E51" t="s">
        <v>11</v>
      </c>
      <c r="F51">
        <v>1100</v>
      </c>
      <c r="G51">
        <v>1</v>
      </c>
      <c r="H51">
        <v>1100</v>
      </c>
      <c r="I51">
        <v>1100</v>
      </c>
    </row>
    <row r="52" spans="1:9" x14ac:dyDescent="0.3">
      <c r="A52">
        <v>49</v>
      </c>
      <c r="B52" s="24">
        <v>43514</v>
      </c>
      <c r="C52" t="s">
        <v>81</v>
      </c>
      <c r="D52" t="s">
        <v>16</v>
      </c>
      <c r="E52" t="s">
        <v>17</v>
      </c>
      <c r="F52">
        <v>800</v>
      </c>
      <c r="G52">
        <v>1</v>
      </c>
      <c r="H52">
        <v>800</v>
      </c>
      <c r="I52">
        <v>800</v>
      </c>
    </row>
    <row r="53" spans="1:9" x14ac:dyDescent="0.3">
      <c r="A53">
        <v>50</v>
      </c>
      <c r="B53" s="24">
        <v>43515</v>
      </c>
      <c r="C53" t="s">
        <v>81</v>
      </c>
      <c r="D53" t="s">
        <v>16</v>
      </c>
      <c r="E53" t="s">
        <v>17</v>
      </c>
      <c r="F53">
        <v>800</v>
      </c>
      <c r="G53">
        <v>2</v>
      </c>
      <c r="H53">
        <v>1600</v>
      </c>
      <c r="I53">
        <v>1600</v>
      </c>
    </row>
    <row r="54" spans="1:9" x14ac:dyDescent="0.3">
      <c r="A54">
        <v>51</v>
      </c>
      <c r="B54" s="24">
        <v>43516</v>
      </c>
      <c r="C54" t="s">
        <v>81</v>
      </c>
      <c r="D54" t="s">
        <v>14</v>
      </c>
      <c r="E54" t="s">
        <v>11</v>
      </c>
      <c r="F54">
        <v>900</v>
      </c>
      <c r="G54">
        <v>1</v>
      </c>
      <c r="H54">
        <v>900</v>
      </c>
      <c r="I54">
        <v>900</v>
      </c>
    </row>
    <row r="55" spans="1:9" x14ac:dyDescent="0.3">
      <c r="A55">
        <v>52</v>
      </c>
      <c r="B55" s="24">
        <v>43517</v>
      </c>
      <c r="C55" t="s">
        <v>81</v>
      </c>
      <c r="D55" t="s">
        <v>10</v>
      </c>
      <c r="E55" t="s">
        <v>11</v>
      </c>
      <c r="F55">
        <v>1100</v>
      </c>
      <c r="G55">
        <v>1</v>
      </c>
      <c r="H55">
        <v>1100</v>
      </c>
      <c r="I55">
        <v>1100</v>
      </c>
    </row>
    <row r="56" spans="1:9" x14ac:dyDescent="0.3">
      <c r="A56">
        <v>53</v>
      </c>
      <c r="B56" s="24">
        <v>43518</v>
      </c>
      <c r="C56" t="s">
        <v>81</v>
      </c>
      <c r="D56" t="s">
        <v>16</v>
      </c>
      <c r="E56" t="s">
        <v>17</v>
      </c>
      <c r="F56">
        <v>800</v>
      </c>
      <c r="G56">
        <v>1</v>
      </c>
      <c r="H56">
        <v>800</v>
      </c>
      <c r="I56">
        <v>800</v>
      </c>
    </row>
    <row r="57" spans="1:9" x14ac:dyDescent="0.3">
      <c r="A57">
        <v>54</v>
      </c>
      <c r="B57" s="24">
        <v>43519</v>
      </c>
      <c r="C57" t="s">
        <v>81</v>
      </c>
      <c r="D57" t="s">
        <v>15</v>
      </c>
      <c r="E57" t="s">
        <v>11</v>
      </c>
      <c r="F57">
        <v>1000</v>
      </c>
      <c r="G57">
        <v>1</v>
      </c>
      <c r="H57">
        <v>1000</v>
      </c>
      <c r="I57">
        <v>1000</v>
      </c>
    </row>
    <row r="58" spans="1:9" x14ac:dyDescent="0.3">
      <c r="A58">
        <v>55</v>
      </c>
      <c r="B58" s="24">
        <v>43520</v>
      </c>
      <c r="C58" t="s">
        <v>81</v>
      </c>
      <c r="D58" t="s">
        <v>16</v>
      </c>
      <c r="E58" t="s">
        <v>17</v>
      </c>
      <c r="F58">
        <v>800</v>
      </c>
      <c r="G58">
        <v>1</v>
      </c>
      <c r="H58">
        <v>800</v>
      </c>
      <c r="I58">
        <v>800</v>
      </c>
    </row>
    <row r="59" spans="1:9" x14ac:dyDescent="0.3">
      <c r="A59">
        <v>56</v>
      </c>
      <c r="B59" s="24">
        <v>43521</v>
      </c>
      <c r="C59" t="s">
        <v>81</v>
      </c>
      <c r="D59" t="s">
        <v>18</v>
      </c>
      <c r="E59" t="s">
        <v>17</v>
      </c>
      <c r="F59">
        <v>600</v>
      </c>
      <c r="G59">
        <v>1</v>
      </c>
      <c r="H59">
        <v>600</v>
      </c>
      <c r="I59">
        <v>600</v>
      </c>
    </row>
    <row r="60" spans="1:9" x14ac:dyDescent="0.3">
      <c r="A60">
        <v>57</v>
      </c>
      <c r="B60" s="24">
        <v>43522</v>
      </c>
      <c r="C60" t="s">
        <v>81</v>
      </c>
      <c r="D60" t="s">
        <v>12</v>
      </c>
      <c r="E60" t="s">
        <v>11</v>
      </c>
      <c r="F60">
        <v>900</v>
      </c>
      <c r="G60">
        <v>1</v>
      </c>
      <c r="H60">
        <v>900</v>
      </c>
      <c r="I60">
        <v>765</v>
      </c>
    </row>
    <row r="61" spans="1:9" x14ac:dyDescent="0.3">
      <c r="A61">
        <v>58</v>
      </c>
      <c r="B61" s="24">
        <v>43523</v>
      </c>
      <c r="C61" t="s">
        <v>81</v>
      </c>
      <c r="D61" t="s">
        <v>10</v>
      </c>
      <c r="E61" t="s">
        <v>11</v>
      </c>
      <c r="F61">
        <v>1100</v>
      </c>
      <c r="G61">
        <v>1</v>
      </c>
      <c r="H61">
        <v>1100</v>
      </c>
      <c r="I61">
        <v>1100</v>
      </c>
    </row>
    <row r="62" spans="1:9" x14ac:dyDescent="0.3">
      <c r="A62">
        <v>59</v>
      </c>
      <c r="B62" s="24">
        <v>43524</v>
      </c>
      <c r="C62" t="s">
        <v>81</v>
      </c>
      <c r="D62" t="s">
        <v>15</v>
      </c>
      <c r="E62" t="s">
        <v>11</v>
      </c>
      <c r="F62">
        <v>1000</v>
      </c>
      <c r="G62">
        <v>1</v>
      </c>
      <c r="H62">
        <v>1000</v>
      </c>
      <c r="I62">
        <v>1000</v>
      </c>
    </row>
    <row r="63" spans="1:9" x14ac:dyDescent="0.3">
      <c r="A63">
        <v>60</v>
      </c>
      <c r="B63" s="24">
        <v>43525</v>
      </c>
      <c r="C63" t="s">
        <v>81</v>
      </c>
      <c r="D63" t="s">
        <v>12</v>
      </c>
      <c r="E63" t="s">
        <v>11</v>
      </c>
      <c r="F63">
        <v>900</v>
      </c>
      <c r="G63">
        <v>1</v>
      </c>
      <c r="H63">
        <v>900</v>
      </c>
      <c r="I63">
        <v>765</v>
      </c>
    </row>
    <row r="64" spans="1:9" x14ac:dyDescent="0.3">
      <c r="A64">
        <v>61</v>
      </c>
      <c r="B64" s="24">
        <v>43526</v>
      </c>
      <c r="C64" t="s">
        <v>81</v>
      </c>
      <c r="D64" t="s">
        <v>10</v>
      </c>
      <c r="E64" t="s">
        <v>11</v>
      </c>
      <c r="F64">
        <v>1100</v>
      </c>
      <c r="G64">
        <v>2</v>
      </c>
      <c r="H64">
        <v>2200</v>
      </c>
      <c r="I64">
        <v>2200</v>
      </c>
    </row>
    <row r="65" spans="1:9" x14ac:dyDescent="0.3">
      <c r="A65">
        <v>62</v>
      </c>
      <c r="B65" s="24">
        <v>43527</v>
      </c>
      <c r="C65" t="s">
        <v>81</v>
      </c>
      <c r="D65" t="s">
        <v>18</v>
      </c>
      <c r="E65" t="s">
        <v>17</v>
      </c>
      <c r="F65">
        <v>600</v>
      </c>
      <c r="G65">
        <v>1</v>
      </c>
      <c r="H65">
        <v>600</v>
      </c>
      <c r="I65">
        <v>600</v>
      </c>
    </row>
    <row r="66" spans="1:9" x14ac:dyDescent="0.3">
      <c r="A66">
        <v>63</v>
      </c>
      <c r="B66" s="24">
        <v>43528</v>
      </c>
      <c r="C66" t="s">
        <v>81</v>
      </c>
      <c r="D66" t="s">
        <v>18</v>
      </c>
      <c r="E66" t="s">
        <v>17</v>
      </c>
      <c r="F66">
        <v>600</v>
      </c>
      <c r="G66">
        <v>1</v>
      </c>
      <c r="H66">
        <v>600</v>
      </c>
      <c r="I66">
        <v>600</v>
      </c>
    </row>
    <row r="67" spans="1:9" x14ac:dyDescent="0.3">
      <c r="A67">
        <v>64</v>
      </c>
      <c r="B67" s="24">
        <v>43529</v>
      </c>
      <c r="C67" t="s">
        <v>81</v>
      </c>
      <c r="D67" t="s">
        <v>18</v>
      </c>
      <c r="E67" t="s">
        <v>17</v>
      </c>
      <c r="F67">
        <v>600</v>
      </c>
      <c r="G67">
        <v>1</v>
      </c>
      <c r="H67">
        <v>600</v>
      </c>
      <c r="I67">
        <v>600</v>
      </c>
    </row>
    <row r="68" spans="1:9" x14ac:dyDescent="0.3">
      <c r="A68">
        <v>65</v>
      </c>
      <c r="B68" s="24">
        <v>43530</v>
      </c>
      <c r="C68" t="s">
        <v>81</v>
      </c>
      <c r="D68" t="s">
        <v>12</v>
      </c>
      <c r="E68" t="s">
        <v>11</v>
      </c>
      <c r="F68">
        <v>900</v>
      </c>
      <c r="G68">
        <v>1</v>
      </c>
      <c r="H68">
        <v>900</v>
      </c>
      <c r="I68">
        <v>765</v>
      </c>
    </row>
    <row r="69" spans="1:9" x14ac:dyDescent="0.3">
      <c r="A69">
        <v>66</v>
      </c>
      <c r="B69" s="24">
        <v>43531</v>
      </c>
      <c r="C69" t="s">
        <v>81</v>
      </c>
      <c r="D69" t="s">
        <v>18</v>
      </c>
      <c r="E69" t="s">
        <v>17</v>
      </c>
      <c r="F69">
        <v>600</v>
      </c>
      <c r="G69">
        <v>1</v>
      </c>
      <c r="H69">
        <v>600</v>
      </c>
      <c r="I69">
        <v>600</v>
      </c>
    </row>
    <row r="70" spans="1:9" x14ac:dyDescent="0.3">
      <c r="A70">
        <v>67</v>
      </c>
      <c r="B70" s="24">
        <v>43532</v>
      </c>
      <c r="C70" t="s">
        <v>81</v>
      </c>
      <c r="D70" t="s">
        <v>18</v>
      </c>
      <c r="E70" t="s">
        <v>17</v>
      </c>
      <c r="F70">
        <v>600</v>
      </c>
      <c r="G70">
        <v>1</v>
      </c>
      <c r="H70">
        <v>600</v>
      </c>
      <c r="I70">
        <v>600</v>
      </c>
    </row>
    <row r="71" spans="1:9" x14ac:dyDescent="0.3">
      <c r="A71">
        <v>68</v>
      </c>
      <c r="B71" s="24">
        <v>43533</v>
      </c>
      <c r="C71" t="s">
        <v>81</v>
      </c>
      <c r="D71" t="s">
        <v>10</v>
      </c>
      <c r="E71" t="s">
        <v>11</v>
      </c>
      <c r="F71">
        <v>1100</v>
      </c>
      <c r="G71">
        <v>1</v>
      </c>
      <c r="H71">
        <v>1100</v>
      </c>
      <c r="I71">
        <v>1100</v>
      </c>
    </row>
    <row r="72" spans="1:9" x14ac:dyDescent="0.3">
      <c r="A72">
        <v>69</v>
      </c>
      <c r="B72" s="24">
        <v>43534</v>
      </c>
      <c r="C72" t="s">
        <v>81</v>
      </c>
      <c r="D72" t="s">
        <v>14</v>
      </c>
      <c r="E72" t="s">
        <v>11</v>
      </c>
      <c r="F72">
        <v>900</v>
      </c>
      <c r="G72">
        <v>3</v>
      </c>
      <c r="H72">
        <v>2700</v>
      </c>
      <c r="I72">
        <v>2700</v>
      </c>
    </row>
    <row r="73" spans="1:9" x14ac:dyDescent="0.3">
      <c r="A73">
        <v>70</v>
      </c>
      <c r="B73" s="24">
        <v>43535</v>
      </c>
      <c r="C73" t="s">
        <v>81</v>
      </c>
      <c r="D73" t="s">
        <v>10</v>
      </c>
      <c r="E73" t="s">
        <v>11</v>
      </c>
      <c r="F73">
        <v>1100</v>
      </c>
      <c r="G73">
        <v>2</v>
      </c>
      <c r="H73">
        <v>2200</v>
      </c>
      <c r="I73">
        <v>2200</v>
      </c>
    </row>
    <row r="74" spans="1:9" x14ac:dyDescent="0.3">
      <c r="A74">
        <v>71</v>
      </c>
      <c r="B74" s="24">
        <v>43536</v>
      </c>
      <c r="C74" t="s">
        <v>81</v>
      </c>
      <c r="D74" t="s">
        <v>10</v>
      </c>
      <c r="E74" t="s">
        <v>11</v>
      </c>
      <c r="F74">
        <v>1100</v>
      </c>
      <c r="G74">
        <v>1</v>
      </c>
      <c r="H74">
        <v>1100</v>
      </c>
      <c r="I74">
        <v>1100</v>
      </c>
    </row>
    <row r="75" spans="1:9" x14ac:dyDescent="0.3">
      <c r="A75">
        <v>72</v>
      </c>
      <c r="B75" s="24">
        <v>43537</v>
      </c>
      <c r="C75" t="s">
        <v>81</v>
      </c>
      <c r="D75" t="s">
        <v>18</v>
      </c>
      <c r="E75" t="s">
        <v>17</v>
      </c>
      <c r="F75">
        <v>600</v>
      </c>
      <c r="G75">
        <v>1</v>
      </c>
      <c r="H75">
        <v>600</v>
      </c>
      <c r="I75">
        <v>600</v>
      </c>
    </row>
    <row r="76" spans="1:9" x14ac:dyDescent="0.3">
      <c r="A76">
        <v>73</v>
      </c>
      <c r="B76" s="24">
        <v>43538</v>
      </c>
      <c r="C76" t="s">
        <v>81</v>
      </c>
      <c r="D76" t="s">
        <v>12</v>
      </c>
      <c r="E76" t="s">
        <v>11</v>
      </c>
      <c r="F76">
        <v>900</v>
      </c>
      <c r="G76">
        <v>1</v>
      </c>
      <c r="H76">
        <v>900</v>
      </c>
      <c r="I76">
        <v>765</v>
      </c>
    </row>
    <row r="77" spans="1:9" x14ac:dyDescent="0.3">
      <c r="A77">
        <v>74</v>
      </c>
      <c r="B77" s="24">
        <v>43539</v>
      </c>
      <c r="C77" t="s">
        <v>81</v>
      </c>
      <c r="D77" t="s">
        <v>18</v>
      </c>
      <c r="E77" t="s">
        <v>17</v>
      </c>
      <c r="F77">
        <v>600</v>
      </c>
      <c r="G77">
        <v>1</v>
      </c>
      <c r="H77">
        <v>600</v>
      </c>
      <c r="I77">
        <v>600</v>
      </c>
    </row>
    <row r="78" spans="1:9" x14ac:dyDescent="0.3">
      <c r="A78">
        <v>75</v>
      </c>
      <c r="B78" s="24">
        <v>43540</v>
      </c>
      <c r="C78" t="s">
        <v>81</v>
      </c>
      <c r="D78" t="s">
        <v>18</v>
      </c>
      <c r="E78" t="s">
        <v>17</v>
      </c>
      <c r="F78">
        <v>600</v>
      </c>
      <c r="G78">
        <v>1</v>
      </c>
      <c r="H78">
        <v>600</v>
      </c>
      <c r="I78">
        <v>600</v>
      </c>
    </row>
    <row r="79" spans="1:9" x14ac:dyDescent="0.3">
      <c r="A79">
        <v>76</v>
      </c>
      <c r="B79" s="24">
        <v>43541</v>
      </c>
      <c r="C79" t="s">
        <v>81</v>
      </c>
      <c r="D79" t="s">
        <v>12</v>
      </c>
      <c r="E79" t="s">
        <v>11</v>
      </c>
      <c r="F79">
        <v>900</v>
      </c>
      <c r="G79">
        <v>3</v>
      </c>
      <c r="H79">
        <v>2700</v>
      </c>
      <c r="I79">
        <v>2295</v>
      </c>
    </row>
    <row r="80" spans="1:9" x14ac:dyDescent="0.3">
      <c r="A80">
        <v>77</v>
      </c>
      <c r="B80" s="24">
        <v>43542</v>
      </c>
      <c r="C80" t="s">
        <v>81</v>
      </c>
      <c r="D80" t="s">
        <v>18</v>
      </c>
      <c r="E80" t="s">
        <v>17</v>
      </c>
      <c r="F80">
        <v>600</v>
      </c>
      <c r="G80">
        <v>1</v>
      </c>
      <c r="H80">
        <v>600</v>
      </c>
      <c r="I80">
        <v>600</v>
      </c>
    </row>
    <row r="81" spans="1:9" x14ac:dyDescent="0.3">
      <c r="A81">
        <v>78</v>
      </c>
      <c r="B81" s="24">
        <v>43543</v>
      </c>
      <c r="C81" t="s">
        <v>81</v>
      </c>
      <c r="D81" t="s">
        <v>16</v>
      </c>
      <c r="E81" t="s">
        <v>17</v>
      </c>
      <c r="F81">
        <v>800</v>
      </c>
      <c r="G81">
        <v>1</v>
      </c>
      <c r="H81">
        <v>800</v>
      </c>
      <c r="I81">
        <v>800</v>
      </c>
    </row>
    <row r="82" spans="1:9" x14ac:dyDescent="0.3">
      <c r="A82">
        <v>79</v>
      </c>
      <c r="B82" s="24">
        <v>43544</v>
      </c>
      <c r="C82" t="s">
        <v>81</v>
      </c>
      <c r="D82" t="s">
        <v>18</v>
      </c>
      <c r="E82" t="s">
        <v>17</v>
      </c>
      <c r="F82">
        <v>600</v>
      </c>
      <c r="G82">
        <v>1</v>
      </c>
      <c r="H82">
        <v>600</v>
      </c>
      <c r="I82">
        <v>600</v>
      </c>
    </row>
    <row r="83" spans="1:9" x14ac:dyDescent="0.3">
      <c r="A83">
        <v>80</v>
      </c>
      <c r="B83" s="24">
        <v>43545</v>
      </c>
      <c r="C83" t="s">
        <v>81</v>
      </c>
      <c r="D83" t="s">
        <v>10</v>
      </c>
      <c r="E83" t="s">
        <v>11</v>
      </c>
      <c r="F83">
        <v>1100</v>
      </c>
      <c r="G83">
        <v>1</v>
      </c>
      <c r="H83">
        <v>1100</v>
      </c>
      <c r="I83">
        <v>1100</v>
      </c>
    </row>
    <row r="84" spans="1:9" x14ac:dyDescent="0.3">
      <c r="A84">
        <v>81</v>
      </c>
      <c r="B84" s="24">
        <v>43546</v>
      </c>
      <c r="C84" t="s">
        <v>81</v>
      </c>
      <c r="D84" t="s">
        <v>14</v>
      </c>
      <c r="E84" t="s">
        <v>11</v>
      </c>
      <c r="F84">
        <v>900</v>
      </c>
      <c r="G84">
        <v>1</v>
      </c>
      <c r="H84">
        <v>900</v>
      </c>
      <c r="I84">
        <v>900</v>
      </c>
    </row>
    <row r="85" spans="1:9" x14ac:dyDescent="0.3">
      <c r="A85">
        <v>82</v>
      </c>
      <c r="B85" s="24">
        <v>43547</v>
      </c>
      <c r="C85" t="s">
        <v>81</v>
      </c>
      <c r="D85" t="s">
        <v>10</v>
      </c>
      <c r="E85" t="s">
        <v>11</v>
      </c>
      <c r="F85">
        <v>1100</v>
      </c>
      <c r="G85">
        <v>1</v>
      </c>
      <c r="H85">
        <v>1100</v>
      </c>
      <c r="I85">
        <v>1100</v>
      </c>
    </row>
    <row r="86" spans="1:9" x14ac:dyDescent="0.3">
      <c r="A86">
        <v>83</v>
      </c>
      <c r="B86" s="24">
        <v>43548</v>
      </c>
      <c r="C86" t="s">
        <v>81</v>
      </c>
      <c r="D86" t="s">
        <v>10</v>
      </c>
      <c r="E86" t="s">
        <v>11</v>
      </c>
      <c r="F86">
        <v>1100</v>
      </c>
      <c r="G86">
        <v>1</v>
      </c>
      <c r="H86">
        <v>1100</v>
      </c>
      <c r="I86">
        <v>1100</v>
      </c>
    </row>
    <row r="87" spans="1:9" x14ac:dyDescent="0.3">
      <c r="A87">
        <v>84</v>
      </c>
      <c r="B87" s="24">
        <v>43549</v>
      </c>
      <c r="C87" t="s">
        <v>81</v>
      </c>
      <c r="D87" t="s">
        <v>10</v>
      </c>
      <c r="E87" t="s">
        <v>11</v>
      </c>
      <c r="F87">
        <v>1100</v>
      </c>
      <c r="G87">
        <v>1</v>
      </c>
      <c r="H87">
        <v>1100</v>
      </c>
      <c r="I87">
        <v>1100</v>
      </c>
    </row>
    <row r="88" spans="1:9" x14ac:dyDescent="0.3">
      <c r="A88">
        <v>85</v>
      </c>
      <c r="B88" s="24">
        <v>43550</v>
      </c>
      <c r="C88" t="s">
        <v>81</v>
      </c>
      <c r="D88" t="s">
        <v>15</v>
      </c>
      <c r="E88" t="s">
        <v>11</v>
      </c>
      <c r="F88">
        <v>1000</v>
      </c>
      <c r="G88">
        <v>1</v>
      </c>
      <c r="H88">
        <v>1000</v>
      </c>
      <c r="I88">
        <v>1000</v>
      </c>
    </row>
    <row r="89" spans="1:9" x14ac:dyDescent="0.3">
      <c r="A89">
        <v>86</v>
      </c>
      <c r="B89" s="24">
        <v>43551</v>
      </c>
      <c r="C89" t="s">
        <v>81</v>
      </c>
      <c r="D89" t="s">
        <v>18</v>
      </c>
      <c r="E89" t="s">
        <v>17</v>
      </c>
      <c r="F89">
        <v>600</v>
      </c>
      <c r="G89">
        <v>1</v>
      </c>
      <c r="H89">
        <v>600</v>
      </c>
      <c r="I89">
        <v>600</v>
      </c>
    </row>
    <row r="90" spans="1:9" x14ac:dyDescent="0.3">
      <c r="A90">
        <v>87</v>
      </c>
      <c r="B90" s="24">
        <v>43552</v>
      </c>
      <c r="C90" t="s">
        <v>81</v>
      </c>
      <c r="D90" t="s">
        <v>16</v>
      </c>
      <c r="E90" t="s">
        <v>17</v>
      </c>
      <c r="F90">
        <v>800</v>
      </c>
      <c r="G90">
        <v>1</v>
      </c>
      <c r="H90">
        <v>800</v>
      </c>
      <c r="I90">
        <v>800</v>
      </c>
    </row>
    <row r="91" spans="1:9" x14ac:dyDescent="0.3">
      <c r="A91">
        <v>88</v>
      </c>
      <c r="B91" s="24">
        <v>43553</v>
      </c>
      <c r="C91" t="s">
        <v>81</v>
      </c>
      <c r="D91" t="s">
        <v>10</v>
      </c>
      <c r="E91" t="s">
        <v>11</v>
      </c>
      <c r="F91">
        <v>1100</v>
      </c>
      <c r="G91">
        <v>1</v>
      </c>
      <c r="H91">
        <v>1100</v>
      </c>
      <c r="I91">
        <v>1100</v>
      </c>
    </row>
    <row r="92" spans="1:9" x14ac:dyDescent="0.3">
      <c r="A92">
        <v>89</v>
      </c>
      <c r="B92" s="24">
        <v>43554</v>
      </c>
      <c r="C92" t="s">
        <v>81</v>
      </c>
      <c r="D92" t="s">
        <v>18</v>
      </c>
      <c r="E92" t="s">
        <v>17</v>
      </c>
      <c r="F92">
        <v>600</v>
      </c>
      <c r="G92">
        <v>1</v>
      </c>
      <c r="H92">
        <v>600</v>
      </c>
      <c r="I92">
        <v>600</v>
      </c>
    </row>
    <row r="93" spans="1:9" x14ac:dyDescent="0.3">
      <c r="A93">
        <v>90</v>
      </c>
      <c r="B93" s="24">
        <v>43555</v>
      </c>
      <c r="C93" t="s">
        <v>81</v>
      </c>
      <c r="D93" t="s">
        <v>19</v>
      </c>
      <c r="E93" t="s">
        <v>20</v>
      </c>
      <c r="F93">
        <v>850</v>
      </c>
      <c r="G93">
        <v>1</v>
      </c>
      <c r="H93">
        <v>850</v>
      </c>
      <c r="I93">
        <v>850</v>
      </c>
    </row>
    <row r="94" spans="1:9" x14ac:dyDescent="0.3">
      <c r="A94">
        <v>91</v>
      </c>
      <c r="B94" s="24">
        <v>43556</v>
      </c>
      <c r="C94" t="s">
        <v>81</v>
      </c>
      <c r="D94" t="s">
        <v>14</v>
      </c>
      <c r="E94" t="s">
        <v>11</v>
      </c>
      <c r="F94">
        <v>900</v>
      </c>
      <c r="G94">
        <v>1</v>
      </c>
      <c r="H94">
        <v>900</v>
      </c>
      <c r="I94">
        <v>900</v>
      </c>
    </row>
    <row r="95" spans="1:9" x14ac:dyDescent="0.3">
      <c r="A95">
        <v>92</v>
      </c>
      <c r="B95" s="24">
        <v>43557</v>
      </c>
      <c r="C95" t="s">
        <v>81</v>
      </c>
      <c r="D95" t="s">
        <v>15</v>
      </c>
      <c r="E95" t="s">
        <v>11</v>
      </c>
      <c r="F95">
        <v>1000</v>
      </c>
      <c r="G95">
        <v>1</v>
      </c>
      <c r="H95">
        <v>1000</v>
      </c>
      <c r="I95">
        <v>1000</v>
      </c>
    </row>
    <row r="96" spans="1:9" x14ac:dyDescent="0.3">
      <c r="A96">
        <v>93</v>
      </c>
      <c r="B96" s="24">
        <v>43558</v>
      </c>
      <c r="C96" t="s">
        <v>81</v>
      </c>
      <c r="D96" t="s">
        <v>19</v>
      </c>
      <c r="E96" t="s">
        <v>20</v>
      </c>
      <c r="F96">
        <v>850</v>
      </c>
      <c r="G96">
        <v>1</v>
      </c>
      <c r="H96">
        <v>850</v>
      </c>
      <c r="I96">
        <v>850</v>
      </c>
    </row>
    <row r="97" spans="1:9" x14ac:dyDescent="0.3">
      <c r="A97">
        <v>94</v>
      </c>
      <c r="B97" s="24">
        <v>43559</v>
      </c>
      <c r="C97" t="s">
        <v>81</v>
      </c>
      <c r="D97" t="s">
        <v>19</v>
      </c>
      <c r="E97" t="s">
        <v>20</v>
      </c>
      <c r="F97">
        <v>850</v>
      </c>
      <c r="G97">
        <v>1</v>
      </c>
      <c r="H97">
        <v>850</v>
      </c>
      <c r="I97">
        <v>850</v>
      </c>
    </row>
    <row r="98" spans="1:9" x14ac:dyDescent="0.3">
      <c r="A98">
        <v>95</v>
      </c>
      <c r="B98" s="24">
        <v>43560</v>
      </c>
      <c r="C98" t="s">
        <v>81</v>
      </c>
      <c r="D98" t="s">
        <v>15</v>
      </c>
      <c r="E98" t="s">
        <v>11</v>
      </c>
      <c r="F98">
        <v>1000</v>
      </c>
      <c r="G98">
        <v>1</v>
      </c>
      <c r="H98">
        <v>1000</v>
      </c>
      <c r="I98">
        <v>1000</v>
      </c>
    </row>
    <row r="99" spans="1:9" x14ac:dyDescent="0.3">
      <c r="A99">
        <v>96</v>
      </c>
      <c r="B99" s="24">
        <v>43561</v>
      </c>
      <c r="C99" t="s">
        <v>81</v>
      </c>
      <c r="D99" t="s">
        <v>16</v>
      </c>
      <c r="E99" t="s">
        <v>17</v>
      </c>
      <c r="F99">
        <v>800</v>
      </c>
      <c r="G99">
        <v>1</v>
      </c>
      <c r="H99">
        <v>800</v>
      </c>
      <c r="I99">
        <v>800</v>
      </c>
    </row>
    <row r="100" spans="1:9" x14ac:dyDescent="0.3">
      <c r="A100">
        <v>97</v>
      </c>
      <c r="B100" s="24">
        <v>43562</v>
      </c>
      <c r="C100" t="s">
        <v>81</v>
      </c>
      <c r="D100" t="s">
        <v>18</v>
      </c>
      <c r="E100" t="s">
        <v>17</v>
      </c>
      <c r="F100">
        <v>600</v>
      </c>
      <c r="G100">
        <v>1</v>
      </c>
      <c r="H100">
        <v>600</v>
      </c>
      <c r="I100">
        <v>600</v>
      </c>
    </row>
    <row r="101" spans="1:9" x14ac:dyDescent="0.3">
      <c r="A101">
        <v>98</v>
      </c>
      <c r="B101" s="24">
        <v>43563</v>
      </c>
      <c r="C101" t="s">
        <v>81</v>
      </c>
      <c r="D101" t="s">
        <v>16</v>
      </c>
      <c r="E101" t="s">
        <v>17</v>
      </c>
      <c r="F101">
        <v>800</v>
      </c>
      <c r="G101">
        <v>1</v>
      </c>
      <c r="H101">
        <v>800</v>
      </c>
      <c r="I101">
        <v>800</v>
      </c>
    </row>
    <row r="102" spans="1:9" x14ac:dyDescent="0.3">
      <c r="A102">
        <v>99</v>
      </c>
      <c r="B102" s="24">
        <v>43564</v>
      </c>
      <c r="C102" t="s">
        <v>81</v>
      </c>
      <c r="D102" t="s">
        <v>10</v>
      </c>
      <c r="E102" t="s">
        <v>11</v>
      </c>
      <c r="F102">
        <v>1100</v>
      </c>
      <c r="G102">
        <v>1</v>
      </c>
      <c r="H102">
        <v>1100</v>
      </c>
      <c r="I102">
        <v>1100</v>
      </c>
    </row>
    <row r="103" spans="1:9" x14ac:dyDescent="0.3">
      <c r="A103">
        <v>100</v>
      </c>
      <c r="B103" s="24">
        <v>43565</v>
      </c>
      <c r="C103" t="s">
        <v>81</v>
      </c>
      <c r="D103" t="s">
        <v>19</v>
      </c>
      <c r="E103" t="s">
        <v>20</v>
      </c>
      <c r="F103">
        <v>850</v>
      </c>
      <c r="G103">
        <v>1</v>
      </c>
      <c r="H103">
        <v>850</v>
      </c>
      <c r="I103">
        <v>850</v>
      </c>
    </row>
    <row r="104" spans="1:9" x14ac:dyDescent="0.3">
      <c r="A104">
        <v>101</v>
      </c>
      <c r="B104" s="24">
        <v>43566</v>
      </c>
      <c r="C104" t="s">
        <v>81</v>
      </c>
      <c r="D104" t="s">
        <v>19</v>
      </c>
      <c r="E104" t="s">
        <v>20</v>
      </c>
      <c r="F104">
        <v>850</v>
      </c>
      <c r="G104">
        <v>1</v>
      </c>
      <c r="H104">
        <v>850</v>
      </c>
      <c r="I104">
        <v>850</v>
      </c>
    </row>
    <row r="105" spans="1:9" x14ac:dyDescent="0.3">
      <c r="A105">
        <v>102</v>
      </c>
      <c r="B105" s="24">
        <v>43567</v>
      </c>
      <c r="C105" t="s">
        <v>81</v>
      </c>
      <c r="D105" t="s">
        <v>19</v>
      </c>
      <c r="E105" t="s">
        <v>20</v>
      </c>
      <c r="F105">
        <v>850</v>
      </c>
      <c r="G105">
        <v>1</v>
      </c>
      <c r="H105">
        <v>850</v>
      </c>
      <c r="I105">
        <v>850</v>
      </c>
    </row>
    <row r="106" spans="1:9" x14ac:dyDescent="0.3">
      <c r="A106">
        <v>103</v>
      </c>
      <c r="B106" s="24">
        <v>43568</v>
      </c>
      <c r="C106" t="s">
        <v>81</v>
      </c>
      <c r="D106" t="s">
        <v>18</v>
      </c>
      <c r="E106" t="s">
        <v>17</v>
      </c>
      <c r="F106">
        <v>600</v>
      </c>
      <c r="G106">
        <v>1</v>
      </c>
      <c r="H106">
        <v>600</v>
      </c>
      <c r="I106">
        <v>600</v>
      </c>
    </row>
    <row r="107" spans="1:9" x14ac:dyDescent="0.3">
      <c r="A107">
        <v>104</v>
      </c>
      <c r="B107" s="24">
        <v>43569</v>
      </c>
      <c r="C107" t="s">
        <v>81</v>
      </c>
      <c r="D107" t="s">
        <v>19</v>
      </c>
      <c r="E107" t="s">
        <v>20</v>
      </c>
      <c r="F107">
        <v>850</v>
      </c>
      <c r="G107">
        <v>1</v>
      </c>
      <c r="H107">
        <v>850</v>
      </c>
      <c r="I107">
        <v>850</v>
      </c>
    </row>
    <row r="108" spans="1:9" x14ac:dyDescent="0.3">
      <c r="A108">
        <v>105</v>
      </c>
      <c r="B108" s="24">
        <v>43570</v>
      </c>
      <c r="C108" t="s">
        <v>81</v>
      </c>
      <c r="D108" t="s">
        <v>19</v>
      </c>
      <c r="E108" t="s">
        <v>20</v>
      </c>
      <c r="F108">
        <v>850</v>
      </c>
      <c r="G108">
        <v>1</v>
      </c>
      <c r="H108">
        <v>850</v>
      </c>
      <c r="I108">
        <v>850</v>
      </c>
    </row>
    <row r="109" spans="1:9" x14ac:dyDescent="0.3">
      <c r="A109">
        <v>106</v>
      </c>
      <c r="B109" s="24">
        <v>43571</v>
      </c>
      <c r="C109" t="s">
        <v>81</v>
      </c>
      <c r="D109" t="s">
        <v>10</v>
      </c>
      <c r="E109" t="s">
        <v>11</v>
      </c>
      <c r="F109">
        <v>1100</v>
      </c>
      <c r="G109">
        <v>1</v>
      </c>
      <c r="H109">
        <v>1100</v>
      </c>
      <c r="I109">
        <v>1100</v>
      </c>
    </row>
    <row r="110" spans="1:9" x14ac:dyDescent="0.3">
      <c r="A110">
        <v>107</v>
      </c>
      <c r="B110" s="24">
        <v>43572</v>
      </c>
      <c r="C110" t="s">
        <v>81</v>
      </c>
      <c r="D110" t="s">
        <v>15</v>
      </c>
      <c r="E110" t="s">
        <v>11</v>
      </c>
      <c r="F110">
        <v>1000</v>
      </c>
      <c r="G110">
        <v>1</v>
      </c>
      <c r="H110">
        <v>1000</v>
      </c>
      <c r="I110">
        <v>1000</v>
      </c>
    </row>
    <row r="111" spans="1:9" x14ac:dyDescent="0.3">
      <c r="A111">
        <v>108</v>
      </c>
      <c r="B111" s="24">
        <v>43573</v>
      </c>
      <c r="C111" t="s">
        <v>81</v>
      </c>
      <c r="D111" t="s">
        <v>10</v>
      </c>
      <c r="E111" t="s">
        <v>11</v>
      </c>
      <c r="F111">
        <v>1100</v>
      </c>
      <c r="G111">
        <v>1</v>
      </c>
      <c r="H111">
        <v>1100</v>
      </c>
      <c r="I111">
        <v>1100</v>
      </c>
    </row>
    <row r="112" spans="1:9" x14ac:dyDescent="0.3">
      <c r="A112">
        <v>109</v>
      </c>
      <c r="B112" s="24">
        <v>43574</v>
      </c>
      <c r="C112" t="s">
        <v>81</v>
      </c>
      <c r="D112" t="s">
        <v>18</v>
      </c>
      <c r="E112" t="s">
        <v>17</v>
      </c>
      <c r="F112">
        <v>600</v>
      </c>
      <c r="G112">
        <v>1</v>
      </c>
      <c r="H112">
        <v>600</v>
      </c>
      <c r="I112">
        <v>600</v>
      </c>
    </row>
    <row r="113" spans="1:9" x14ac:dyDescent="0.3">
      <c r="A113">
        <v>110</v>
      </c>
      <c r="B113" s="24">
        <v>43575</v>
      </c>
      <c r="C113" t="s">
        <v>81</v>
      </c>
      <c r="D113" t="s">
        <v>18</v>
      </c>
      <c r="E113" t="s">
        <v>17</v>
      </c>
      <c r="F113">
        <v>600</v>
      </c>
      <c r="G113">
        <v>2</v>
      </c>
      <c r="H113">
        <v>1200</v>
      </c>
      <c r="I113">
        <v>1200</v>
      </c>
    </row>
    <row r="114" spans="1:9" x14ac:dyDescent="0.3">
      <c r="A114">
        <v>111</v>
      </c>
      <c r="B114" s="24">
        <v>43576</v>
      </c>
      <c r="C114" t="s">
        <v>81</v>
      </c>
      <c r="D114" t="s">
        <v>18</v>
      </c>
      <c r="E114" t="s">
        <v>17</v>
      </c>
      <c r="F114">
        <v>600</v>
      </c>
      <c r="G114">
        <v>1</v>
      </c>
      <c r="H114">
        <v>600</v>
      </c>
      <c r="I114">
        <v>600</v>
      </c>
    </row>
    <row r="115" spans="1:9" x14ac:dyDescent="0.3">
      <c r="A115">
        <v>112</v>
      </c>
      <c r="B115" s="24">
        <v>43577</v>
      </c>
      <c r="C115" t="s">
        <v>81</v>
      </c>
      <c r="D115" t="s">
        <v>18</v>
      </c>
      <c r="E115" t="s">
        <v>17</v>
      </c>
      <c r="F115">
        <v>600</v>
      </c>
      <c r="G115">
        <v>1</v>
      </c>
      <c r="H115">
        <v>600</v>
      </c>
      <c r="I115">
        <v>600</v>
      </c>
    </row>
    <row r="116" spans="1:9" x14ac:dyDescent="0.3">
      <c r="A116">
        <v>113</v>
      </c>
      <c r="B116" s="24">
        <v>43578</v>
      </c>
      <c r="C116" t="s">
        <v>81</v>
      </c>
      <c r="D116" t="s">
        <v>10</v>
      </c>
      <c r="E116" t="s">
        <v>11</v>
      </c>
      <c r="F116">
        <v>1100</v>
      </c>
      <c r="G116">
        <v>1</v>
      </c>
      <c r="H116">
        <v>1100</v>
      </c>
      <c r="I116">
        <v>1100</v>
      </c>
    </row>
    <row r="117" spans="1:9" x14ac:dyDescent="0.3">
      <c r="A117">
        <v>114</v>
      </c>
      <c r="B117" s="24">
        <v>43579</v>
      </c>
      <c r="C117" t="s">
        <v>81</v>
      </c>
      <c r="D117" t="s">
        <v>14</v>
      </c>
      <c r="E117" t="s">
        <v>11</v>
      </c>
      <c r="F117">
        <v>900</v>
      </c>
      <c r="G117">
        <v>1</v>
      </c>
      <c r="H117">
        <v>900</v>
      </c>
      <c r="I117">
        <v>900</v>
      </c>
    </row>
    <row r="118" spans="1:9" x14ac:dyDescent="0.3">
      <c r="A118">
        <v>115</v>
      </c>
      <c r="B118" s="24">
        <v>43580</v>
      </c>
      <c r="C118" t="s">
        <v>81</v>
      </c>
      <c r="D118" t="s">
        <v>18</v>
      </c>
      <c r="E118" t="s">
        <v>17</v>
      </c>
      <c r="F118">
        <v>600</v>
      </c>
      <c r="G118">
        <v>1</v>
      </c>
      <c r="H118">
        <v>600</v>
      </c>
      <c r="I118">
        <v>600</v>
      </c>
    </row>
    <row r="119" spans="1:9" x14ac:dyDescent="0.3">
      <c r="A119">
        <v>116</v>
      </c>
      <c r="B119" s="24">
        <v>43581</v>
      </c>
      <c r="C119" t="s">
        <v>81</v>
      </c>
      <c r="D119" t="s">
        <v>14</v>
      </c>
      <c r="E119" t="s">
        <v>11</v>
      </c>
      <c r="F119">
        <v>900</v>
      </c>
      <c r="G119">
        <v>1</v>
      </c>
      <c r="H119">
        <v>900</v>
      </c>
      <c r="I119">
        <v>900</v>
      </c>
    </row>
    <row r="120" spans="1:9" x14ac:dyDescent="0.3">
      <c r="A120">
        <v>117</v>
      </c>
      <c r="B120" s="24">
        <v>43582</v>
      </c>
      <c r="C120" t="s">
        <v>81</v>
      </c>
      <c r="D120" t="s">
        <v>12</v>
      </c>
      <c r="E120" t="s">
        <v>11</v>
      </c>
      <c r="F120">
        <v>900</v>
      </c>
      <c r="G120">
        <v>1</v>
      </c>
      <c r="H120">
        <v>900</v>
      </c>
      <c r="I120">
        <v>765</v>
      </c>
    </row>
    <row r="121" spans="1:9" x14ac:dyDescent="0.3">
      <c r="A121">
        <v>118</v>
      </c>
      <c r="B121" s="24">
        <v>43583</v>
      </c>
      <c r="C121" t="s">
        <v>81</v>
      </c>
      <c r="D121" t="s">
        <v>18</v>
      </c>
      <c r="E121" t="s">
        <v>17</v>
      </c>
      <c r="F121">
        <v>600</v>
      </c>
      <c r="G121">
        <v>1</v>
      </c>
      <c r="H121">
        <v>600</v>
      </c>
      <c r="I121">
        <v>600</v>
      </c>
    </row>
    <row r="122" spans="1:9" x14ac:dyDescent="0.3">
      <c r="A122">
        <v>119</v>
      </c>
      <c r="B122" s="24">
        <v>43584</v>
      </c>
      <c r="C122" t="s">
        <v>81</v>
      </c>
      <c r="D122" t="s">
        <v>18</v>
      </c>
      <c r="E122" t="s">
        <v>17</v>
      </c>
      <c r="F122">
        <v>600</v>
      </c>
      <c r="G122">
        <v>1</v>
      </c>
      <c r="H122">
        <v>600</v>
      </c>
      <c r="I122">
        <v>600</v>
      </c>
    </row>
    <row r="123" spans="1:9" x14ac:dyDescent="0.3">
      <c r="A123">
        <v>120</v>
      </c>
      <c r="B123" s="24">
        <v>43585</v>
      </c>
      <c r="C123" t="s">
        <v>81</v>
      </c>
      <c r="D123" t="s">
        <v>18</v>
      </c>
      <c r="E123" t="s">
        <v>17</v>
      </c>
      <c r="F123">
        <v>600</v>
      </c>
      <c r="G123">
        <v>1</v>
      </c>
      <c r="H123">
        <v>600</v>
      </c>
      <c r="I123">
        <v>600</v>
      </c>
    </row>
    <row r="124" spans="1:9" x14ac:dyDescent="0.3">
      <c r="A124">
        <v>121</v>
      </c>
      <c r="B124" s="24">
        <v>43586</v>
      </c>
      <c r="C124" t="s">
        <v>81</v>
      </c>
      <c r="D124" t="s">
        <v>10</v>
      </c>
      <c r="E124" t="s">
        <v>11</v>
      </c>
      <c r="F124">
        <v>1100</v>
      </c>
      <c r="G124">
        <v>1</v>
      </c>
      <c r="H124">
        <v>1100</v>
      </c>
      <c r="I124">
        <v>1100</v>
      </c>
    </row>
    <row r="125" spans="1:9" x14ac:dyDescent="0.3">
      <c r="A125">
        <v>122</v>
      </c>
      <c r="B125" s="24">
        <v>43587</v>
      </c>
      <c r="C125" t="s">
        <v>81</v>
      </c>
      <c r="D125" t="s">
        <v>18</v>
      </c>
      <c r="E125" t="s">
        <v>17</v>
      </c>
      <c r="F125">
        <v>600</v>
      </c>
      <c r="G125">
        <v>1</v>
      </c>
      <c r="H125">
        <v>600</v>
      </c>
      <c r="I125">
        <v>600</v>
      </c>
    </row>
    <row r="126" spans="1:9" x14ac:dyDescent="0.3">
      <c r="A126">
        <v>123</v>
      </c>
      <c r="B126" s="24">
        <v>43588</v>
      </c>
      <c r="C126" t="s">
        <v>81</v>
      </c>
      <c r="D126" t="s">
        <v>18</v>
      </c>
      <c r="E126" t="s">
        <v>17</v>
      </c>
      <c r="F126">
        <v>600</v>
      </c>
      <c r="G126">
        <v>1</v>
      </c>
      <c r="H126">
        <v>600</v>
      </c>
      <c r="I126">
        <v>600</v>
      </c>
    </row>
    <row r="127" spans="1:9" x14ac:dyDescent="0.3">
      <c r="A127">
        <v>124</v>
      </c>
      <c r="B127" s="24">
        <v>43589</v>
      </c>
      <c r="C127" t="s">
        <v>81</v>
      </c>
      <c r="D127" t="s">
        <v>18</v>
      </c>
      <c r="E127" t="s">
        <v>17</v>
      </c>
      <c r="F127">
        <v>600</v>
      </c>
      <c r="G127">
        <v>1</v>
      </c>
      <c r="H127">
        <v>600</v>
      </c>
      <c r="I127">
        <v>600</v>
      </c>
    </row>
    <row r="128" spans="1:9" x14ac:dyDescent="0.3">
      <c r="A128">
        <v>125</v>
      </c>
      <c r="B128" s="24">
        <v>43590</v>
      </c>
      <c r="C128" t="s">
        <v>81</v>
      </c>
      <c r="D128" t="s">
        <v>12</v>
      </c>
      <c r="E128" t="s">
        <v>11</v>
      </c>
      <c r="F128">
        <v>900</v>
      </c>
      <c r="G128">
        <v>1</v>
      </c>
      <c r="H128">
        <v>900</v>
      </c>
      <c r="I128">
        <v>765</v>
      </c>
    </row>
    <row r="129" spans="1:9" x14ac:dyDescent="0.3">
      <c r="A129">
        <v>126</v>
      </c>
      <c r="B129" s="24">
        <v>43591</v>
      </c>
      <c r="C129" t="s">
        <v>81</v>
      </c>
      <c r="D129" t="s">
        <v>18</v>
      </c>
      <c r="E129" t="s">
        <v>17</v>
      </c>
      <c r="F129">
        <v>600</v>
      </c>
      <c r="G129">
        <v>1</v>
      </c>
      <c r="H129">
        <v>600</v>
      </c>
      <c r="I129">
        <v>600</v>
      </c>
    </row>
    <row r="130" spans="1:9" x14ac:dyDescent="0.3">
      <c r="A130">
        <v>127</v>
      </c>
      <c r="B130" s="24">
        <v>43592</v>
      </c>
      <c r="C130" t="s">
        <v>81</v>
      </c>
      <c r="D130" t="s">
        <v>14</v>
      </c>
      <c r="E130" t="s">
        <v>11</v>
      </c>
      <c r="F130">
        <v>900</v>
      </c>
      <c r="G130">
        <v>1</v>
      </c>
      <c r="H130">
        <v>900</v>
      </c>
      <c r="I130">
        <v>900</v>
      </c>
    </row>
    <row r="131" spans="1:9" x14ac:dyDescent="0.3">
      <c r="A131">
        <v>128</v>
      </c>
      <c r="B131" s="24">
        <v>43593</v>
      </c>
      <c r="C131" t="s">
        <v>81</v>
      </c>
      <c r="D131" t="s">
        <v>21</v>
      </c>
      <c r="E131" t="s">
        <v>20</v>
      </c>
      <c r="F131">
        <v>1200</v>
      </c>
      <c r="G131">
        <v>1</v>
      </c>
      <c r="H131">
        <v>1200</v>
      </c>
      <c r="I131">
        <v>1200</v>
      </c>
    </row>
    <row r="132" spans="1:9" x14ac:dyDescent="0.3">
      <c r="A132">
        <v>129</v>
      </c>
      <c r="B132" s="24">
        <v>43594</v>
      </c>
      <c r="C132" t="s">
        <v>81</v>
      </c>
      <c r="D132" t="s">
        <v>10</v>
      </c>
      <c r="E132" t="s">
        <v>11</v>
      </c>
      <c r="F132">
        <v>1100</v>
      </c>
      <c r="G132">
        <v>1</v>
      </c>
      <c r="H132">
        <v>1100</v>
      </c>
      <c r="I132">
        <v>1100</v>
      </c>
    </row>
    <row r="133" spans="1:9" x14ac:dyDescent="0.3">
      <c r="A133">
        <v>130</v>
      </c>
      <c r="B133" s="24">
        <v>43595</v>
      </c>
      <c r="C133" t="s">
        <v>81</v>
      </c>
      <c r="D133" t="s">
        <v>10</v>
      </c>
      <c r="E133" t="s">
        <v>11</v>
      </c>
      <c r="F133">
        <v>1100</v>
      </c>
      <c r="G133">
        <v>1</v>
      </c>
      <c r="H133">
        <v>1100</v>
      </c>
      <c r="I133">
        <v>1100</v>
      </c>
    </row>
    <row r="134" spans="1:9" x14ac:dyDescent="0.3">
      <c r="A134">
        <v>131</v>
      </c>
      <c r="B134" s="24">
        <v>43596</v>
      </c>
      <c r="C134" t="s">
        <v>81</v>
      </c>
      <c r="D134" t="s">
        <v>18</v>
      </c>
      <c r="E134" t="s">
        <v>17</v>
      </c>
      <c r="F134">
        <v>600</v>
      </c>
      <c r="G134">
        <v>1</v>
      </c>
      <c r="H134">
        <v>600</v>
      </c>
      <c r="I134">
        <v>600</v>
      </c>
    </row>
    <row r="135" spans="1:9" x14ac:dyDescent="0.3">
      <c r="A135">
        <v>132</v>
      </c>
      <c r="B135" s="24">
        <v>43597</v>
      </c>
      <c r="C135" t="s">
        <v>81</v>
      </c>
      <c r="D135" t="s">
        <v>18</v>
      </c>
      <c r="E135" t="s">
        <v>17</v>
      </c>
      <c r="F135">
        <v>600</v>
      </c>
      <c r="G135">
        <v>2</v>
      </c>
      <c r="H135">
        <v>1200</v>
      </c>
      <c r="I135">
        <v>1200</v>
      </c>
    </row>
    <row r="136" spans="1:9" x14ac:dyDescent="0.3">
      <c r="A136">
        <v>133</v>
      </c>
      <c r="B136" s="24">
        <v>43598</v>
      </c>
      <c r="C136" t="s">
        <v>81</v>
      </c>
      <c r="D136" t="s">
        <v>21</v>
      </c>
      <c r="E136" t="s">
        <v>20</v>
      </c>
      <c r="F136">
        <v>1200</v>
      </c>
      <c r="G136">
        <v>1</v>
      </c>
      <c r="H136">
        <v>1200</v>
      </c>
      <c r="I136">
        <v>1200</v>
      </c>
    </row>
    <row r="137" spans="1:9" x14ac:dyDescent="0.3">
      <c r="A137">
        <v>134</v>
      </c>
      <c r="B137" s="24">
        <v>43599</v>
      </c>
      <c r="C137" t="s">
        <v>81</v>
      </c>
      <c r="D137" t="s">
        <v>21</v>
      </c>
      <c r="E137" t="s">
        <v>20</v>
      </c>
      <c r="F137">
        <v>1200</v>
      </c>
      <c r="G137">
        <v>1</v>
      </c>
      <c r="H137">
        <v>1200</v>
      </c>
      <c r="I137">
        <v>1200</v>
      </c>
    </row>
    <row r="138" spans="1:9" x14ac:dyDescent="0.3">
      <c r="A138">
        <v>135</v>
      </c>
      <c r="B138" s="24">
        <v>43600</v>
      </c>
      <c r="C138" t="s">
        <v>81</v>
      </c>
      <c r="D138" t="s">
        <v>15</v>
      </c>
      <c r="E138" t="s">
        <v>11</v>
      </c>
      <c r="F138">
        <v>1000</v>
      </c>
      <c r="G138">
        <v>1</v>
      </c>
      <c r="H138">
        <v>1000</v>
      </c>
      <c r="I138">
        <v>1000</v>
      </c>
    </row>
    <row r="139" spans="1:9" x14ac:dyDescent="0.3">
      <c r="A139">
        <v>136</v>
      </c>
      <c r="B139" s="24">
        <v>43601</v>
      </c>
      <c r="C139" t="s">
        <v>81</v>
      </c>
      <c r="D139" t="s">
        <v>16</v>
      </c>
      <c r="E139" t="s">
        <v>17</v>
      </c>
      <c r="F139">
        <v>800</v>
      </c>
      <c r="G139">
        <v>2</v>
      </c>
      <c r="H139">
        <v>1600</v>
      </c>
      <c r="I139">
        <v>1600</v>
      </c>
    </row>
    <row r="140" spans="1:9" x14ac:dyDescent="0.3">
      <c r="A140">
        <v>137</v>
      </c>
      <c r="B140" s="24">
        <v>43602</v>
      </c>
      <c r="C140" t="s">
        <v>81</v>
      </c>
      <c r="D140" t="s">
        <v>21</v>
      </c>
      <c r="E140" t="s">
        <v>20</v>
      </c>
      <c r="F140">
        <v>1200</v>
      </c>
      <c r="G140">
        <v>1</v>
      </c>
      <c r="H140">
        <v>1200</v>
      </c>
      <c r="I140">
        <v>1200</v>
      </c>
    </row>
    <row r="141" spans="1:9" x14ac:dyDescent="0.3">
      <c r="A141">
        <v>138</v>
      </c>
      <c r="B141" s="24">
        <v>43603</v>
      </c>
      <c r="C141" t="s">
        <v>81</v>
      </c>
      <c r="D141" t="s">
        <v>14</v>
      </c>
      <c r="E141" t="s">
        <v>11</v>
      </c>
      <c r="F141">
        <v>900</v>
      </c>
      <c r="G141">
        <v>1</v>
      </c>
      <c r="H141">
        <v>900</v>
      </c>
      <c r="I141">
        <v>900</v>
      </c>
    </row>
    <row r="142" spans="1:9" x14ac:dyDescent="0.3">
      <c r="A142">
        <v>139</v>
      </c>
      <c r="B142" s="24">
        <v>43604</v>
      </c>
      <c r="C142" t="s">
        <v>81</v>
      </c>
      <c r="D142" t="s">
        <v>15</v>
      </c>
      <c r="E142" t="s">
        <v>11</v>
      </c>
      <c r="F142">
        <v>1000</v>
      </c>
      <c r="G142">
        <v>1</v>
      </c>
      <c r="H142">
        <v>1000</v>
      </c>
      <c r="I142">
        <v>1000</v>
      </c>
    </row>
    <row r="143" spans="1:9" x14ac:dyDescent="0.3">
      <c r="A143">
        <v>140</v>
      </c>
      <c r="B143" s="24">
        <v>43605</v>
      </c>
      <c r="C143" t="s">
        <v>81</v>
      </c>
      <c r="D143" t="s">
        <v>16</v>
      </c>
      <c r="E143" t="s">
        <v>17</v>
      </c>
      <c r="F143">
        <v>800</v>
      </c>
      <c r="G143">
        <v>1</v>
      </c>
      <c r="H143">
        <v>800</v>
      </c>
      <c r="I143">
        <v>800</v>
      </c>
    </row>
    <row r="144" spans="1:9" x14ac:dyDescent="0.3">
      <c r="A144">
        <v>141</v>
      </c>
      <c r="B144" s="24">
        <v>43606</v>
      </c>
      <c r="C144" t="s">
        <v>81</v>
      </c>
      <c r="D144" t="s">
        <v>21</v>
      </c>
      <c r="E144" t="s">
        <v>20</v>
      </c>
      <c r="F144">
        <v>1200</v>
      </c>
      <c r="G144">
        <v>1</v>
      </c>
      <c r="H144">
        <v>1200</v>
      </c>
      <c r="I144">
        <v>1200</v>
      </c>
    </row>
    <row r="145" spans="1:9" x14ac:dyDescent="0.3">
      <c r="A145">
        <v>142</v>
      </c>
      <c r="B145" s="24">
        <v>43607</v>
      </c>
      <c r="C145" t="s">
        <v>81</v>
      </c>
      <c r="D145" t="s">
        <v>21</v>
      </c>
      <c r="E145" t="s">
        <v>20</v>
      </c>
      <c r="F145">
        <v>1200</v>
      </c>
      <c r="G145">
        <v>1</v>
      </c>
      <c r="H145">
        <v>1200</v>
      </c>
      <c r="I145">
        <v>1200</v>
      </c>
    </row>
    <row r="146" spans="1:9" x14ac:dyDescent="0.3">
      <c r="A146">
        <v>143</v>
      </c>
      <c r="B146" s="24">
        <v>43608</v>
      </c>
      <c r="C146" t="s">
        <v>81</v>
      </c>
      <c r="D146" t="s">
        <v>16</v>
      </c>
      <c r="E146" t="s">
        <v>17</v>
      </c>
      <c r="F146">
        <v>800</v>
      </c>
      <c r="G146">
        <v>2</v>
      </c>
      <c r="H146">
        <v>1600</v>
      </c>
      <c r="I146">
        <v>1600</v>
      </c>
    </row>
    <row r="147" spans="1:9" x14ac:dyDescent="0.3">
      <c r="A147">
        <v>144</v>
      </c>
      <c r="B147" s="24">
        <v>43609</v>
      </c>
      <c r="C147" t="s">
        <v>81</v>
      </c>
      <c r="D147" t="s">
        <v>12</v>
      </c>
      <c r="E147" t="s">
        <v>11</v>
      </c>
      <c r="F147">
        <v>900</v>
      </c>
      <c r="G147">
        <v>1</v>
      </c>
      <c r="H147">
        <v>900</v>
      </c>
      <c r="I147">
        <v>765</v>
      </c>
    </row>
    <row r="148" spans="1:9" x14ac:dyDescent="0.3">
      <c r="A148">
        <v>145</v>
      </c>
      <c r="B148" s="24">
        <v>43610</v>
      </c>
      <c r="C148" t="s">
        <v>81</v>
      </c>
      <c r="D148" t="s">
        <v>15</v>
      </c>
      <c r="E148" t="s">
        <v>11</v>
      </c>
      <c r="F148">
        <v>1000</v>
      </c>
      <c r="G148">
        <v>1</v>
      </c>
      <c r="H148">
        <v>1000</v>
      </c>
      <c r="I148">
        <v>1000</v>
      </c>
    </row>
    <row r="149" spans="1:9" x14ac:dyDescent="0.3">
      <c r="A149">
        <v>146</v>
      </c>
      <c r="B149" s="24">
        <v>43611</v>
      </c>
      <c r="C149" t="s">
        <v>81</v>
      </c>
      <c r="D149" t="s">
        <v>15</v>
      </c>
      <c r="E149" t="s">
        <v>11</v>
      </c>
      <c r="F149">
        <v>1000</v>
      </c>
      <c r="G149">
        <v>1</v>
      </c>
      <c r="H149">
        <v>1000</v>
      </c>
      <c r="I149">
        <v>1000</v>
      </c>
    </row>
    <row r="150" spans="1:9" x14ac:dyDescent="0.3">
      <c r="A150">
        <v>147</v>
      </c>
      <c r="B150" s="24">
        <v>43612</v>
      </c>
      <c r="C150" t="s">
        <v>81</v>
      </c>
      <c r="D150" t="s">
        <v>18</v>
      </c>
      <c r="E150" t="s">
        <v>17</v>
      </c>
      <c r="F150">
        <v>600</v>
      </c>
      <c r="G150">
        <v>1</v>
      </c>
      <c r="H150">
        <v>600</v>
      </c>
      <c r="I150">
        <v>600</v>
      </c>
    </row>
    <row r="151" spans="1:9" x14ac:dyDescent="0.3">
      <c r="A151">
        <v>148</v>
      </c>
      <c r="B151" s="24">
        <v>43613</v>
      </c>
      <c r="C151" t="s">
        <v>81</v>
      </c>
      <c r="D151" t="s">
        <v>19</v>
      </c>
      <c r="E151" t="s">
        <v>20</v>
      </c>
      <c r="F151">
        <v>850</v>
      </c>
      <c r="G151">
        <v>1</v>
      </c>
      <c r="H151">
        <v>850</v>
      </c>
      <c r="I151">
        <v>850</v>
      </c>
    </row>
    <row r="152" spans="1:9" x14ac:dyDescent="0.3">
      <c r="A152">
        <v>149</v>
      </c>
      <c r="B152" s="24">
        <v>43614</v>
      </c>
      <c r="C152" t="s">
        <v>81</v>
      </c>
      <c r="D152" t="s">
        <v>18</v>
      </c>
      <c r="E152" t="s">
        <v>17</v>
      </c>
      <c r="F152">
        <v>600</v>
      </c>
      <c r="G152">
        <v>1</v>
      </c>
      <c r="H152">
        <v>600</v>
      </c>
      <c r="I152">
        <v>600</v>
      </c>
    </row>
    <row r="153" spans="1:9" x14ac:dyDescent="0.3">
      <c r="A153">
        <v>150</v>
      </c>
      <c r="B153" s="24">
        <v>43615</v>
      </c>
      <c r="C153" t="s">
        <v>81</v>
      </c>
      <c r="D153" t="s">
        <v>19</v>
      </c>
      <c r="E153" t="s">
        <v>20</v>
      </c>
      <c r="F153">
        <v>850</v>
      </c>
      <c r="G153">
        <v>1</v>
      </c>
      <c r="H153">
        <v>850</v>
      </c>
      <c r="I153">
        <v>850</v>
      </c>
    </row>
    <row r="154" spans="1:9" x14ac:dyDescent="0.3">
      <c r="A154">
        <v>151</v>
      </c>
      <c r="B154" s="24">
        <v>43616</v>
      </c>
      <c r="C154" t="s">
        <v>81</v>
      </c>
      <c r="D154" t="s">
        <v>19</v>
      </c>
      <c r="E154" t="s">
        <v>20</v>
      </c>
      <c r="F154">
        <v>850</v>
      </c>
      <c r="G154">
        <v>1</v>
      </c>
      <c r="H154">
        <v>850</v>
      </c>
      <c r="I154">
        <v>850</v>
      </c>
    </row>
    <row r="155" spans="1:9" x14ac:dyDescent="0.3">
      <c r="A155">
        <v>152</v>
      </c>
      <c r="B155" s="24">
        <v>43617</v>
      </c>
      <c r="C155" t="s">
        <v>81</v>
      </c>
      <c r="D155" t="s">
        <v>12</v>
      </c>
      <c r="E155" t="s">
        <v>11</v>
      </c>
      <c r="F155">
        <v>900</v>
      </c>
      <c r="G155">
        <v>1</v>
      </c>
      <c r="H155">
        <v>900</v>
      </c>
      <c r="I155">
        <v>765</v>
      </c>
    </row>
    <row r="156" spans="1:9" x14ac:dyDescent="0.3">
      <c r="A156">
        <v>153</v>
      </c>
      <c r="B156" s="24">
        <v>43618</v>
      </c>
      <c r="C156" t="s">
        <v>81</v>
      </c>
      <c r="D156" t="s">
        <v>21</v>
      </c>
      <c r="E156" t="s">
        <v>20</v>
      </c>
      <c r="F156">
        <v>1200</v>
      </c>
      <c r="G156">
        <v>2</v>
      </c>
      <c r="H156">
        <v>2400</v>
      </c>
      <c r="I156">
        <v>2400</v>
      </c>
    </row>
    <row r="157" spans="1:9" x14ac:dyDescent="0.3">
      <c r="A157">
        <v>154</v>
      </c>
      <c r="B157" s="24">
        <v>43619</v>
      </c>
      <c r="C157" t="s">
        <v>81</v>
      </c>
      <c r="D157" t="s">
        <v>16</v>
      </c>
      <c r="E157" t="s">
        <v>17</v>
      </c>
      <c r="F157">
        <v>800</v>
      </c>
      <c r="G157">
        <v>1</v>
      </c>
      <c r="H157">
        <v>800</v>
      </c>
      <c r="I157">
        <v>800</v>
      </c>
    </row>
    <row r="158" spans="1:9" x14ac:dyDescent="0.3">
      <c r="A158">
        <v>155</v>
      </c>
      <c r="B158" s="24">
        <v>43620</v>
      </c>
      <c r="C158" t="s">
        <v>81</v>
      </c>
      <c r="D158" t="s">
        <v>16</v>
      </c>
      <c r="E158" t="s">
        <v>17</v>
      </c>
      <c r="F158">
        <v>800</v>
      </c>
      <c r="G158">
        <v>1</v>
      </c>
      <c r="H158">
        <v>800</v>
      </c>
      <c r="I158">
        <v>800</v>
      </c>
    </row>
    <row r="159" spans="1:9" x14ac:dyDescent="0.3">
      <c r="A159">
        <v>156</v>
      </c>
      <c r="B159" s="24">
        <v>43621</v>
      </c>
      <c r="C159" t="s">
        <v>81</v>
      </c>
      <c r="D159" t="s">
        <v>14</v>
      </c>
      <c r="E159" t="s">
        <v>11</v>
      </c>
      <c r="F159">
        <v>900</v>
      </c>
      <c r="G159">
        <v>1</v>
      </c>
      <c r="H159">
        <v>900</v>
      </c>
      <c r="I159">
        <v>900</v>
      </c>
    </row>
    <row r="160" spans="1:9" x14ac:dyDescent="0.3">
      <c r="A160">
        <v>157</v>
      </c>
      <c r="B160" s="24">
        <v>43622</v>
      </c>
      <c r="C160" t="s">
        <v>81</v>
      </c>
      <c r="D160" t="s">
        <v>16</v>
      </c>
      <c r="E160" t="s">
        <v>17</v>
      </c>
      <c r="F160">
        <v>800</v>
      </c>
      <c r="G160">
        <v>1</v>
      </c>
      <c r="H160">
        <v>800</v>
      </c>
      <c r="I160">
        <v>800</v>
      </c>
    </row>
    <row r="161" spans="1:9" x14ac:dyDescent="0.3">
      <c r="A161">
        <v>158</v>
      </c>
      <c r="B161" s="24">
        <v>43623</v>
      </c>
      <c r="C161" t="s">
        <v>81</v>
      </c>
      <c r="D161" t="s">
        <v>18</v>
      </c>
      <c r="E161" t="s">
        <v>17</v>
      </c>
      <c r="F161">
        <v>600</v>
      </c>
      <c r="G161">
        <v>1</v>
      </c>
      <c r="H161">
        <v>600</v>
      </c>
      <c r="I161">
        <v>600</v>
      </c>
    </row>
    <row r="162" spans="1:9" x14ac:dyDescent="0.3">
      <c r="A162">
        <v>159</v>
      </c>
      <c r="B162" s="24">
        <v>43624</v>
      </c>
      <c r="C162" t="s">
        <v>81</v>
      </c>
      <c r="D162" t="s">
        <v>12</v>
      </c>
      <c r="E162" t="s">
        <v>11</v>
      </c>
      <c r="F162">
        <v>900</v>
      </c>
      <c r="G162">
        <v>3</v>
      </c>
      <c r="H162">
        <v>2700</v>
      </c>
      <c r="I162">
        <v>2295</v>
      </c>
    </row>
    <row r="163" spans="1:9" x14ac:dyDescent="0.3">
      <c r="A163">
        <v>160</v>
      </c>
      <c r="B163" s="24">
        <v>43625</v>
      </c>
      <c r="C163" t="s">
        <v>81</v>
      </c>
      <c r="D163" t="s">
        <v>18</v>
      </c>
      <c r="E163" t="s">
        <v>17</v>
      </c>
      <c r="F163">
        <v>600</v>
      </c>
      <c r="G163">
        <v>1</v>
      </c>
      <c r="H163">
        <v>600</v>
      </c>
      <c r="I163">
        <v>600</v>
      </c>
    </row>
    <row r="164" spans="1:9" x14ac:dyDescent="0.3">
      <c r="A164">
        <v>161</v>
      </c>
      <c r="B164" s="24">
        <v>43626</v>
      </c>
      <c r="C164" t="s">
        <v>81</v>
      </c>
      <c r="D164" t="s">
        <v>16</v>
      </c>
      <c r="E164" t="s">
        <v>17</v>
      </c>
      <c r="F164">
        <v>800</v>
      </c>
      <c r="G164">
        <v>1</v>
      </c>
      <c r="H164">
        <v>800</v>
      </c>
      <c r="I164">
        <v>800</v>
      </c>
    </row>
    <row r="165" spans="1:9" x14ac:dyDescent="0.3">
      <c r="A165">
        <v>162</v>
      </c>
      <c r="B165" s="24">
        <v>43627</v>
      </c>
      <c r="C165" t="s">
        <v>81</v>
      </c>
      <c r="D165" t="s">
        <v>18</v>
      </c>
      <c r="E165" t="s">
        <v>17</v>
      </c>
      <c r="F165">
        <v>600</v>
      </c>
      <c r="G165">
        <v>1</v>
      </c>
      <c r="H165">
        <v>600</v>
      </c>
      <c r="I165">
        <v>600</v>
      </c>
    </row>
    <row r="166" spans="1:9" x14ac:dyDescent="0.3">
      <c r="A166">
        <v>163</v>
      </c>
      <c r="B166" s="24">
        <v>43628</v>
      </c>
      <c r="C166" t="s">
        <v>81</v>
      </c>
      <c r="D166" t="s">
        <v>10</v>
      </c>
      <c r="E166" t="s">
        <v>11</v>
      </c>
      <c r="F166">
        <v>1100</v>
      </c>
      <c r="G166">
        <v>1</v>
      </c>
      <c r="H166">
        <v>1100</v>
      </c>
      <c r="I166">
        <v>1100</v>
      </c>
    </row>
    <row r="167" spans="1:9" x14ac:dyDescent="0.3">
      <c r="A167">
        <v>164</v>
      </c>
      <c r="B167" s="24">
        <v>43629</v>
      </c>
      <c r="C167" t="s">
        <v>81</v>
      </c>
      <c r="D167" t="s">
        <v>14</v>
      </c>
      <c r="E167" t="s">
        <v>11</v>
      </c>
      <c r="F167">
        <v>900</v>
      </c>
      <c r="G167">
        <v>1</v>
      </c>
      <c r="H167">
        <v>900</v>
      </c>
      <c r="I167">
        <v>900</v>
      </c>
    </row>
    <row r="168" spans="1:9" x14ac:dyDescent="0.3">
      <c r="A168">
        <v>165</v>
      </c>
      <c r="B168" s="24">
        <v>43630</v>
      </c>
      <c r="C168" t="s">
        <v>81</v>
      </c>
      <c r="D168" t="s">
        <v>10</v>
      </c>
      <c r="E168" t="s">
        <v>11</v>
      </c>
      <c r="F168">
        <v>1100</v>
      </c>
      <c r="G168">
        <v>1</v>
      </c>
      <c r="H168">
        <v>1100</v>
      </c>
      <c r="I168">
        <v>1100</v>
      </c>
    </row>
    <row r="169" spans="1:9" x14ac:dyDescent="0.3">
      <c r="A169">
        <v>166</v>
      </c>
      <c r="B169" s="24">
        <v>43631</v>
      </c>
      <c r="C169" t="s">
        <v>81</v>
      </c>
      <c r="D169" t="s">
        <v>10</v>
      </c>
      <c r="E169" t="s">
        <v>11</v>
      </c>
      <c r="F169">
        <v>1100</v>
      </c>
      <c r="G169">
        <v>1</v>
      </c>
      <c r="H169">
        <v>1100</v>
      </c>
      <c r="I169">
        <v>1100</v>
      </c>
    </row>
    <row r="170" spans="1:9" x14ac:dyDescent="0.3">
      <c r="A170">
        <v>167</v>
      </c>
      <c r="B170" s="24">
        <v>43632</v>
      </c>
      <c r="C170" t="s">
        <v>81</v>
      </c>
      <c r="D170" t="s">
        <v>21</v>
      </c>
      <c r="E170" t="s">
        <v>20</v>
      </c>
      <c r="F170">
        <v>1200</v>
      </c>
      <c r="G170">
        <v>1</v>
      </c>
      <c r="H170">
        <v>1200</v>
      </c>
      <c r="I170">
        <v>1200</v>
      </c>
    </row>
    <row r="171" spans="1:9" x14ac:dyDescent="0.3">
      <c r="A171">
        <v>168</v>
      </c>
      <c r="B171" s="24">
        <v>43633</v>
      </c>
      <c r="C171" t="s">
        <v>81</v>
      </c>
      <c r="D171" t="s">
        <v>21</v>
      </c>
      <c r="E171" t="s">
        <v>20</v>
      </c>
      <c r="F171">
        <v>1200</v>
      </c>
      <c r="G171">
        <v>1</v>
      </c>
      <c r="H171">
        <v>1200</v>
      </c>
      <c r="I171">
        <v>1200</v>
      </c>
    </row>
    <row r="172" spans="1:9" x14ac:dyDescent="0.3">
      <c r="A172">
        <v>169</v>
      </c>
      <c r="B172" s="24">
        <v>43634</v>
      </c>
      <c r="C172" t="s">
        <v>81</v>
      </c>
      <c r="D172" t="s">
        <v>10</v>
      </c>
      <c r="E172" t="s">
        <v>11</v>
      </c>
      <c r="F172">
        <v>1100</v>
      </c>
      <c r="G172">
        <v>1</v>
      </c>
      <c r="H172">
        <v>1100</v>
      </c>
      <c r="I172">
        <v>1100</v>
      </c>
    </row>
    <row r="173" spans="1:9" x14ac:dyDescent="0.3">
      <c r="A173">
        <v>170</v>
      </c>
      <c r="B173" s="24">
        <v>43635</v>
      </c>
      <c r="C173" t="s">
        <v>81</v>
      </c>
      <c r="D173" t="s">
        <v>10</v>
      </c>
      <c r="E173" t="s">
        <v>11</v>
      </c>
      <c r="F173">
        <v>1100</v>
      </c>
      <c r="G173">
        <v>1</v>
      </c>
      <c r="H173">
        <v>1100</v>
      </c>
      <c r="I173">
        <v>1100</v>
      </c>
    </row>
    <row r="174" spans="1:9" x14ac:dyDescent="0.3">
      <c r="A174">
        <v>171</v>
      </c>
      <c r="B174" s="24">
        <v>43636</v>
      </c>
      <c r="C174" t="s">
        <v>81</v>
      </c>
      <c r="D174" t="s">
        <v>22</v>
      </c>
      <c r="E174" t="s">
        <v>23</v>
      </c>
      <c r="F174">
        <v>900</v>
      </c>
      <c r="G174">
        <v>1</v>
      </c>
      <c r="H174">
        <v>900</v>
      </c>
      <c r="I174">
        <v>900</v>
      </c>
    </row>
    <row r="175" spans="1:9" x14ac:dyDescent="0.3">
      <c r="A175">
        <v>172</v>
      </c>
      <c r="B175" s="24">
        <v>43637</v>
      </c>
      <c r="C175" t="s">
        <v>81</v>
      </c>
      <c r="D175" t="s">
        <v>14</v>
      </c>
      <c r="E175" t="s">
        <v>11</v>
      </c>
      <c r="F175">
        <v>900</v>
      </c>
      <c r="G175">
        <v>1</v>
      </c>
      <c r="H175">
        <v>900</v>
      </c>
      <c r="I175">
        <v>900</v>
      </c>
    </row>
    <row r="176" spans="1:9" x14ac:dyDescent="0.3">
      <c r="A176">
        <v>173</v>
      </c>
      <c r="B176" s="24">
        <v>43638</v>
      </c>
      <c r="C176" t="s">
        <v>81</v>
      </c>
      <c r="D176" t="s">
        <v>22</v>
      </c>
      <c r="E176" t="s">
        <v>23</v>
      </c>
      <c r="F176">
        <v>800</v>
      </c>
      <c r="G176">
        <v>1</v>
      </c>
      <c r="H176">
        <v>800</v>
      </c>
      <c r="I176">
        <v>800</v>
      </c>
    </row>
    <row r="177" spans="1:9" x14ac:dyDescent="0.3">
      <c r="A177">
        <v>174</v>
      </c>
      <c r="B177" s="24">
        <v>43639</v>
      </c>
      <c r="C177" t="s">
        <v>81</v>
      </c>
      <c r="D177" t="s">
        <v>18</v>
      </c>
      <c r="E177" t="s">
        <v>17</v>
      </c>
      <c r="F177">
        <v>600</v>
      </c>
      <c r="G177">
        <v>1</v>
      </c>
      <c r="H177">
        <v>600</v>
      </c>
      <c r="I177">
        <v>600</v>
      </c>
    </row>
    <row r="178" spans="1:9" x14ac:dyDescent="0.3">
      <c r="A178">
        <v>175</v>
      </c>
      <c r="B178" s="24">
        <v>43640</v>
      </c>
      <c r="C178" t="s">
        <v>81</v>
      </c>
      <c r="D178" t="s">
        <v>22</v>
      </c>
      <c r="E178" t="s">
        <v>23</v>
      </c>
      <c r="F178">
        <v>800</v>
      </c>
      <c r="G178">
        <v>1</v>
      </c>
      <c r="H178">
        <v>800</v>
      </c>
      <c r="I178">
        <v>800</v>
      </c>
    </row>
    <row r="179" spans="1:9" x14ac:dyDescent="0.3">
      <c r="A179">
        <v>176</v>
      </c>
      <c r="B179" s="24">
        <v>43641</v>
      </c>
      <c r="C179" t="s">
        <v>81</v>
      </c>
      <c r="D179" t="s">
        <v>14</v>
      </c>
      <c r="E179" t="s">
        <v>11</v>
      </c>
      <c r="F179">
        <v>900</v>
      </c>
      <c r="G179">
        <v>1</v>
      </c>
      <c r="H179">
        <v>900</v>
      </c>
      <c r="I179">
        <v>900</v>
      </c>
    </row>
    <row r="180" spans="1:9" x14ac:dyDescent="0.3">
      <c r="A180">
        <v>177</v>
      </c>
      <c r="B180" s="24">
        <v>43642</v>
      </c>
      <c r="C180" t="s">
        <v>81</v>
      </c>
      <c r="D180" t="s">
        <v>21</v>
      </c>
      <c r="E180" t="s">
        <v>20</v>
      </c>
      <c r="F180">
        <v>1200</v>
      </c>
      <c r="G180">
        <v>1</v>
      </c>
      <c r="H180">
        <v>1200</v>
      </c>
      <c r="I180">
        <v>1200</v>
      </c>
    </row>
    <row r="181" spans="1:9" x14ac:dyDescent="0.3">
      <c r="A181">
        <v>178</v>
      </c>
      <c r="B181" s="24">
        <v>43643</v>
      </c>
      <c r="C181" t="s">
        <v>81</v>
      </c>
      <c r="D181" t="s">
        <v>22</v>
      </c>
      <c r="E181" t="s">
        <v>23</v>
      </c>
      <c r="F181">
        <v>800</v>
      </c>
      <c r="G181">
        <v>1</v>
      </c>
      <c r="H181">
        <v>800</v>
      </c>
      <c r="I181">
        <v>800</v>
      </c>
    </row>
    <row r="182" spans="1:9" x14ac:dyDescent="0.3">
      <c r="A182">
        <v>179</v>
      </c>
      <c r="B182" s="24">
        <v>43644</v>
      </c>
      <c r="C182" t="s">
        <v>81</v>
      </c>
      <c r="D182" t="s">
        <v>12</v>
      </c>
      <c r="E182" t="s">
        <v>11</v>
      </c>
      <c r="F182">
        <v>900</v>
      </c>
      <c r="G182">
        <v>1</v>
      </c>
      <c r="H182">
        <v>900</v>
      </c>
      <c r="I182">
        <v>765</v>
      </c>
    </row>
    <row r="183" spans="1:9" x14ac:dyDescent="0.3">
      <c r="A183">
        <v>180</v>
      </c>
      <c r="B183" s="24">
        <v>43645</v>
      </c>
      <c r="C183" t="s">
        <v>81</v>
      </c>
      <c r="D183" t="s">
        <v>21</v>
      </c>
      <c r="E183" t="s">
        <v>20</v>
      </c>
      <c r="F183">
        <v>1200</v>
      </c>
      <c r="G183">
        <v>1</v>
      </c>
      <c r="H183">
        <v>1200</v>
      </c>
      <c r="I183">
        <v>1200</v>
      </c>
    </row>
    <row r="184" spans="1:9" x14ac:dyDescent="0.3">
      <c r="A184">
        <v>181</v>
      </c>
      <c r="B184" s="24">
        <v>43646</v>
      </c>
      <c r="C184" t="s">
        <v>81</v>
      </c>
      <c r="D184" t="s">
        <v>10</v>
      </c>
      <c r="E184" t="s">
        <v>11</v>
      </c>
      <c r="F184">
        <v>1100</v>
      </c>
      <c r="G184">
        <v>1</v>
      </c>
      <c r="H184">
        <v>1100</v>
      </c>
      <c r="I184">
        <v>1100</v>
      </c>
    </row>
    <row r="185" spans="1:9" x14ac:dyDescent="0.3">
      <c r="A185">
        <v>182</v>
      </c>
      <c r="B185" s="24">
        <v>43647</v>
      </c>
      <c r="C185" t="s">
        <v>81</v>
      </c>
      <c r="D185" t="s">
        <v>21</v>
      </c>
      <c r="E185" t="s">
        <v>20</v>
      </c>
      <c r="F185">
        <v>1200</v>
      </c>
      <c r="G185">
        <v>1</v>
      </c>
      <c r="H185">
        <v>1200</v>
      </c>
      <c r="I185">
        <v>1200</v>
      </c>
    </row>
    <row r="186" spans="1:9" x14ac:dyDescent="0.3">
      <c r="A186">
        <v>183</v>
      </c>
      <c r="B186" s="24">
        <v>43648</v>
      </c>
      <c r="C186" t="s">
        <v>81</v>
      </c>
      <c r="D186" t="s">
        <v>14</v>
      </c>
      <c r="E186" t="s">
        <v>11</v>
      </c>
      <c r="F186">
        <v>900</v>
      </c>
      <c r="G186">
        <v>1</v>
      </c>
      <c r="H186">
        <v>900</v>
      </c>
      <c r="I186">
        <v>900</v>
      </c>
    </row>
    <row r="187" spans="1:9" x14ac:dyDescent="0.3">
      <c r="A187">
        <v>184</v>
      </c>
      <c r="B187" s="24">
        <v>43649</v>
      </c>
      <c r="C187" t="s">
        <v>81</v>
      </c>
      <c r="D187" t="s">
        <v>10</v>
      </c>
      <c r="E187" t="s">
        <v>11</v>
      </c>
      <c r="F187">
        <v>1100</v>
      </c>
      <c r="G187">
        <v>2</v>
      </c>
      <c r="H187">
        <v>2200</v>
      </c>
      <c r="I187">
        <v>2200</v>
      </c>
    </row>
    <row r="188" spans="1:9" x14ac:dyDescent="0.3">
      <c r="A188">
        <v>185</v>
      </c>
      <c r="B188" s="24">
        <v>43650</v>
      </c>
      <c r="C188" t="s">
        <v>81</v>
      </c>
      <c r="D188" t="s">
        <v>21</v>
      </c>
      <c r="E188" t="s">
        <v>20</v>
      </c>
      <c r="F188">
        <v>1200</v>
      </c>
      <c r="G188">
        <v>1</v>
      </c>
      <c r="H188">
        <v>1200</v>
      </c>
      <c r="I188">
        <v>1200</v>
      </c>
    </row>
    <row r="189" spans="1:9" x14ac:dyDescent="0.3">
      <c r="A189">
        <v>186</v>
      </c>
      <c r="B189" s="24">
        <v>43651</v>
      </c>
      <c r="C189" t="s">
        <v>81</v>
      </c>
      <c r="D189" t="s">
        <v>10</v>
      </c>
      <c r="E189" t="s">
        <v>11</v>
      </c>
      <c r="F189">
        <v>1100</v>
      </c>
      <c r="G189">
        <v>1</v>
      </c>
      <c r="H189">
        <v>1100</v>
      </c>
      <c r="I189">
        <v>1100</v>
      </c>
    </row>
    <row r="190" spans="1:9" x14ac:dyDescent="0.3">
      <c r="A190">
        <v>187</v>
      </c>
      <c r="B190" s="24">
        <v>43652</v>
      </c>
      <c r="C190" t="s">
        <v>81</v>
      </c>
      <c r="D190" t="s">
        <v>12</v>
      </c>
      <c r="E190" t="s">
        <v>11</v>
      </c>
      <c r="F190">
        <v>900</v>
      </c>
      <c r="G190">
        <v>1</v>
      </c>
      <c r="H190">
        <v>900</v>
      </c>
      <c r="I190">
        <v>765</v>
      </c>
    </row>
    <row r="191" spans="1:9" x14ac:dyDescent="0.3">
      <c r="A191">
        <v>188</v>
      </c>
      <c r="B191" s="24">
        <v>43653</v>
      </c>
      <c r="C191" t="s">
        <v>81</v>
      </c>
      <c r="D191" t="s">
        <v>18</v>
      </c>
      <c r="E191" t="s">
        <v>17</v>
      </c>
      <c r="F191">
        <v>600</v>
      </c>
      <c r="G191">
        <v>1</v>
      </c>
      <c r="H191">
        <v>600</v>
      </c>
      <c r="I191">
        <v>600</v>
      </c>
    </row>
    <row r="192" spans="1:9" x14ac:dyDescent="0.3">
      <c r="A192">
        <v>189</v>
      </c>
      <c r="B192" s="24">
        <v>43654</v>
      </c>
      <c r="C192" t="s">
        <v>81</v>
      </c>
      <c r="D192" t="s">
        <v>22</v>
      </c>
      <c r="E192" t="s">
        <v>23</v>
      </c>
      <c r="F192">
        <v>900</v>
      </c>
      <c r="G192">
        <v>1</v>
      </c>
      <c r="H192">
        <v>900</v>
      </c>
      <c r="I192">
        <v>900</v>
      </c>
    </row>
    <row r="193" spans="1:9" x14ac:dyDescent="0.3">
      <c r="A193">
        <v>190</v>
      </c>
      <c r="B193" s="24">
        <v>43655</v>
      </c>
      <c r="C193" t="s">
        <v>81</v>
      </c>
      <c r="D193" t="s">
        <v>16</v>
      </c>
      <c r="E193" t="s">
        <v>17</v>
      </c>
      <c r="F193">
        <v>800</v>
      </c>
      <c r="G193">
        <v>1</v>
      </c>
      <c r="H193">
        <v>800</v>
      </c>
      <c r="I193">
        <v>800</v>
      </c>
    </row>
    <row r="194" spans="1:9" x14ac:dyDescent="0.3">
      <c r="A194">
        <v>191</v>
      </c>
      <c r="B194" s="24">
        <v>43656</v>
      </c>
      <c r="C194" t="s">
        <v>81</v>
      </c>
      <c r="D194" t="s">
        <v>10</v>
      </c>
      <c r="E194" t="s">
        <v>11</v>
      </c>
      <c r="F194">
        <v>1100</v>
      </c>
      <c r="G194">
        <v>1</v>
      </c>
      <c r="H194">
        <v>1100</v>
      </c>
      <c r="I194">
        <v>1100</v>
      </c>
    </row>
    <row r="195" spans="1:9" x14ac:dyDescent="0.3">
      <c r="A195">
        <v>192</v>
      </c>
      <c r="B195" s="24">
        <v>43657</v>
      </c>
      <c r="C195" t="s">
        <v>81</v>
      </c>
      <c r="D195" t="s">
        <v>14</v>
      </c>
      <c r="E195" t="s">
        <v>11</v>
      </c>
      <c r="F195">
        <v>900</v>
      </c>
      <c r="G195">
        <v>1</v>
      </c>
      <c r="H195">
        <v>900</v>
      </c>
      <c r="I195">
        <v>900</v>
      </c>
    </row>
    <row r="196" spans="1:9" x14ac:dyDescent="0.3">
      <c r="A196">
        <v>193</v>
      </c>
      <c r="B196" s="24">
        <v>43658</v>
      </c>
      <c r="C196" t="s">
        <v>81</v>
      </c>
      <c r="D196" t="s">
        <v>15</v>
      </c>
      <c r="E196" t="s">
        <v>11</v>
      </c>
      <c r="F196">
        <v>1000</v>
      </c>
      <c r="G196">
        <v>1</v>
      </c>
      <c r="H196">
        <v>1000</v>
      </c>
      <c r="I196">
        <v>1000</v>
      </c>
    </row>
    <row r="197" spans="1:9" x14ac:dyDescent="0.3">
      <c r="A197">
        <v>194</v>
      </c>
      <c r="B197" s="24">
        <v>43659</v>
      </c>
      <c r="C197" t="s">
        <v>81</v>
      </c>
      <c r="D197" t="s">
        <v>19</v>
      </c>
      <c r="E197" t="s">
        <v>20</v>
      </c>
      <c r="F197">
        <v>850</v>
      </c>
      <c r="G197">
        <v>1</v>
      </c>
      <c r="H197">
        <v>850</v>
      </c>
      <c r="I197">
        <v>850</v>
      </c>
    </row>
    <row r="198" spans="1:9" x14ac:dyDescent="0.3">
      <c r="A198">
        <v>195</v>
      </c>
      <c r="B198" s="24">
        <v>43660</v>
      </c>
      <c r="C198" t="s">
        <v>81</v>
      </c>
      <c r="D198" t="s">
        <v>18</v>
      </c>
      <c r="E198" t="s">
        <v>17</v>
      </c>
      <c r="F198">
        <v>600</v>
      </c>
      <c r="G198">
        <v>1</v>
      </c>
      <c r="H198">
        <v>600</v>
      </c>
      <c r="I198">
        <v>600</v>
      </c>
    </row>
    <row r="199" spans="1:9" x14ac:dyDescent="0.3">
      <c r="A199">
        <v>196</v>
      </c>
      <c r="B199" s="24">
        <v>43661</v>
      </c>
      <c r="C199" t="s">
        <v>81</v>
      </c>
      <c r="D199" t="s">
        <v>14</v>
      </c>
      <c r="E199" t="s">
        <v>11</v>
      </c>
      <c r="F199">
        <v>900</v>
      </c>
      <c r="G199">
        <v>1</v>
      </c>
      <c r="H199">
        <v>900</v>
      </c>
      <c r="I199">
        <v>900</v>
      </c>
    </row>
    <row r="200" spans="1:9" x14ac:dyDescent="0.3">
      <c r="A200">
        <v>197</v>
      </c>
      <c r="B200" s="24">
        <v>43662</v>
      </c>
      <c r="C200" t="s">
        <v>81</v>
      </c>
      <c r="D200" t="s">
        <v>15</v>
      </c>
      <c r="E200" t="s">
        <v>11</v>
      </c>
      <c r="F200">
        <v>1000</v>
      </c>
      <c r="G200">
        <v>1</v>
      </c>
      <c r="H200">
        <v>1000</v>
      </c>
      <c r="I200">
        <v>1000</v>
      </c>
    </row>
    <row r="201" spans="1:9" x14ac:dyDescent="0.3">
      <c r="A201">
        <v>198</v>
      </c>
      <c r="B201" s="24">
        <v>43663</v>
      </c>
      <c r="C201" t="s">
        <v>81</v>
      </c>
      <c r="D201" t="s">
        <v>14</v>
      </c>
      <c r="E201" t="s">
        <v>11</v>
      </c>
      <c r="F201">
        <v>900</v>
      </c>
      <c r="G201">
        <v>1</v>
      </c>
      <c r="H201">
        <v>900</v>
      </c>
      <c r="I201">
        <v>900</v>
      </c>
    </row>
    <row r="202" spans="1:9" x14ac:dyDescent="0.3">
      <c r="A202">
        <v>199</v>
      </c>
      <c r="B202" s="24">
        <v>43664</v>
      </c>
      <c r="C202" t="s">
        <v>81</v>
      </c>
      <c r="D202" t="s">
        <v>12</v>
      </c>
      <c r="E202" t="s">
        <v>11</v>
      </c>
      <c r="F202">
        <v>900</v>
      </c>
      <c r="G202">
        <v>1</v>
      </c>
      <c r="H202">
        <v>900</v>
      </c>
      <c r="I202">
        <v>765</v>
      </c>
    </row>
    <row r="203" spans="1:9" x14ac:dyDescent="0.3">
      <c r="A203">
        <v>200</v>
      </c>
      <c r="B203" s="24">
        <v>43665</v>
      </c>
      <c r="C203" t="s">
        <v>81</v>
      </c>
      <c r="D203" t="s">
        <v>18</v>
      </c>
      <c r="E203" t="s">
        <v>17</v>
      </c>
      <c r="F203">
        <v>600</v>
      </c>
      <c r="G203">
        <v>1</v>
      </c>
      <c r="H203">
        <v>600</v>
      </c>
      <c r="I203">
        <v>600</v>
      </c>
    </row>
    <row r="204" spans="1:9" x14ac:dyDescent="0.3">
      <c r="A204">
        <v>201</v>
      </c>
      <c r="B204" s="24">
        <v>43666</v>
      </c>
      <c r="C204" t="s">
        <v>81</v>
      </c>
      <c r="D204" t="s">
        <v>22</v>
      </c>
      <c r="E204" t="s">
        <v>23</v>
      </c>
      <c r="F204">
        <v>900</v>
      </c>
      <c r="G204">
        <v>1</v>
      </c>
      <c r="H204">
        <v>900</v>
      </c>
      <c r="I204">
        <v>900</v>
      </c>
    </row>
    <row r="205" spans="1:9" x14ac:dyDescent="0.3">
      <c r="A205">
        <v>202</v>
      </c>
      <c r="B205" s="24">
        <v>43667</v>
      </c>
      <c r="C205" t="s">
        <v>81</v>
      </c>
      <c r="D205" t="s">
        <v>22</v>
      </c>
      <c r="E205" t="s">
        <v>23</v>
      </c>
      <c r="F205">
        <v>800</v>
      </c>
      <c r="G205">
        <v>1</v>
      </c>
      <c r="H205">
        <v>800</v>
      </c>
      <c r="I205">
        <v>800</v>
      </c>
    </row>
    <row r="206" spans="1:9" x14ac:dyDescent="0.3">
      <c r="A206">
        <v>203</v>
      </c>
      <c r="B206" s="24">
        <v>43668</v>
      </c>
      <c r="C206" t="s">
        <v>81</v>
      </c>
      <c r="D206" t="s">
        <v>16</v>
      </c>
      <c r="E206" t="s">
        <v>17</v>
      </c>
      <c r="F206">
        <v>800</v>
      </c>
      <c r="G206">
        <v>1</v>
      </c>
      <c r="H206">
        <v>800</v>
      </c>
      <c r="I206">
        <v>800</v>
      </c>
    </row>
    <row r="207" spans="1:9" x14ac:dyDescent="0.3">
      <c r="A207">
        <v>204</v>
      </c>
      <c r="B207" s="24">
        <v>43669</v>
      </c>
      <c r="C207" t="s">
        <v>81</v>
      </c>
      <c r="D207" t="s">
        <v>18</v>
      </c>
      <c r="E207" t="s">
        <v>17</v>
      </c>
      <c r="F207">
        <v>600</v>
      </c>
      <c r="G207">
        <v>1</v>
      </c>
      <c r="H207">
        <v>600</v>
      </c>
      <c r="I207">
        <v>600</v>
      </c>
    </row>
    <row r="208" spans="1:9" x14ac:dyDescent="0.3">
      <c r="A208">
        <v>205</v>
      </c>
      <c r="B208" s="24">
        <v>43670</v>
      </c>
      <c r="C208" t="s">
        <v>81</v>
      </c>
      <c r="D208" t="s">
        <v>22</v>
      </c>
      <c r="E208" t="s">
        <v>23</v>
      </c>
      <c r="F208">
        <v>500</v>
      </c>
      <c r="G208">
        <v>1</v>
      </c>
      <c r="H208">
        <v>500</v>
      </c>
      <c r="I208">
        <v>500</v>
      </c>
    </row>
    <row r="209" spans="1:9" x14ac:dyDescent="0.3">
      <c r="A209">
        <v>206</v>
      </c>
      <c r="B209" s="24">
        <v>43671</v>
      </c>
      <c r="C209" t="s">
        <v>81</v>
      </c>
      <c r="D209" t="s">
        <v>14</v>
      </c>
      <c r="E209" t="s">
        <v>11</v>
      </c>
      <c r="F209">
        <v>900</v>
      </c>
      <c r="G209">
        <v>1</v>
      </c>
      <c r="H209">
        <v>900</v>
      </c>
      <c r="I209">
        <v>900</v>
      </c>
    </row>
    <row r="210" spans="1:9" x14ac:dyDescent="0.3">
      <c r="A210">
        <v>207</v>
      </c>
      <c r="B210" s="24">
        <v>43672</v>
      </c>
      <c r="C210" t="s">
        <v>81</v>
      </c>
      <c r="D210" t="s">
        <v>10</v>
      </c>
      <c r="E210" t="s">
        <v>11</v>
      </c>
      <c r="F210">
        <v>1100</v>
      </c>
      <c r="G210">
        <v>1</v>
      </c>
      <c r="H210">
        <v>1100</v>
      </c>
      <c r="I210">
        <v>1100</v>
      </c>
    </row>
    <row r="211" spans="1:9" x14ac:dyDescent="0.3">
      <c r="A211">
        <v>208</v>
      </c>
      <c r="B211" s="24">
        <v>43673</v>
      </c>
      <c r="C211" t="s">
        <v>81</v>
      </c>
      <c r="D211" t="s">
        <v>22</v>
      </c>
      <c r="E211" t="s">
        <v>23</v>
      </c>
      <c r="F211">
        <v>500</v>
      </c>
      <c r="G211">
        <v>1</v>
      </c>
      <c r="H211">
        <v>500</v>
      </c>
      <c r="I211">
        <v>500</v>
      </c>
    </row>
    <row r="212" spans="1:9" x14ac:dyDescent="0.3">
      <c r="A212">
        <v>209</v>
      </c>
      <c r="B212" s="24">
        <v>43674</v>
      </c>
      <c r="C212" t="s">
        <v>81</v>
      </c>
      <c r="D212" t="s">
        <v>18</v>
      </c>
      <c r="E212" t="s">
        <v>17</v>
      </c>
      <c r="F212">
        <v>600</v>
      </c>
      <c r="G212">
        <v>1</v>
      </c>
      <c r="H212">
        <v>600</v>
      </c>
      <c r="I212">
        <v>600</v>
      </c>
    </row>
    <row r="213" spans="1:9" x14ac:dyDescent="0.3">
      <c r="A213">
        <v>210</v>
      </c>
      <c r="B213" s="24">
        <v>43675</v>
      </c>
      <c r="C213" t="s">
        <v>81</v>
      </c>
      <c r="D213" t="s">
        <v>14</v>
      </c>
      <c r="E213" t="s">
        <v>11</v>
      </c>
      <c r="F213">
        <v>900</v>
      </c>
      <c r="G213">
        <v>1</v>
      </c>
      <c r="H213">
        <v>900</v>
      </c>
      <c r="I213">
        <v>900</v>
      </c>
    </row>
    <row r="214" spans="1:9" x14ac:dyDescent="0.3">
      <c r="A214">
        <v>211</v>
      </c>
      <c r="B214" s="24">
        <v>43676</v>
      </c>
      <c r="C214" t="s">
        <v>81</v>
      </c>
      <c r="D214" t="s">
        <v>22</v>
      </c>
      <c r="E214" t="s">
        <v>23</v>
      </c>
      <c r="F214">
        <v>500</v>
      </c>
      <c r="G214">
        <v>1</v>
      </c>
      <c r="H214">
        <v>500</v>
      </c>
      <c r="I214">
        <v>500</v>
      </c>
    </row>
    <row r="215" spans="1:9" x14ac:dyDescent="0.3">
      <c r="A215">
        <v>212</v>
      </c>
      <c r="B215" s="24">
        <v>43677</v>
      </c>
      <c r="C215" t="s">
        <v>81</v>
      </c>
      <c r="D215" t="s">
        <v>22</v>
      </c>
      <c r="E215" t="s">
        <v>23</v>
      </c>
      <c r="F215">
        <v>500</v>
      </c>
      <c r="G215">
        <v>1</v>
      </c>
      <c r="H215">
        <v>500</v>
      </c>
      <c r="I215">
        <v>500</v>
      </c>
    </row>
    <row r="216" spans="1:9" x14ac:dyDescent="0.3">
      <c r="A216">
        <v>213</v>
      </c>
      <c r="B216" s="24">
        <v>43678</v>
      </c>
      <c r="C216" t="s">
        <v>81</v>
      </c>
      <c r="D216" t="s">
        <v>18</v>
      </c>
      <c r="E216" t="s">
        <v>17</v>
      </c>
      <c r="F216">
        <v>600</v>
      </c>
      <c r="G216">
        <v>1</v>
      </c>
      <c r="H216">
        <v>600</v>
      </c>
      <c r="I216">
        <v>600</v>
      </c>
    </row>
    <row r="217" spans="1:9" x14ac:dyDescent="0.3">
      <c r="A217">
        <v>214</v>
      </c>
      <c r="B217" s="24">
        <v>43679</v>
      </c>
      <c r="C217" t="s">
        <v>81</v>
      </c>
      <c r="D217" t="s">
        <v>18</v>
      </c>
      <c r="E217" t="s">
        <v>17</v>
      </c>
      <c r="F217">
        <v>600</v>
      </c>
      <c r="G217">
        <v>1</v>
      </c>
      <c r="H217">
        <v>600</v>
      </c>
      <c r="I217">
        <v>600</v>
      </c>
    </row>
    <row r="218" spans="1:9" x14ac:dyDescent="0.3">
      <c r="A218">
        <v>215</v>
      </c>
      <c r="B218" s="24">
        <v>43680</v>
      </c>
      <c r="C218" t="s">
        <v>81</v>
      </c>
      <c r="D218" t="s">
        <v>16</v>
      </c>
      <c r="E218" t="s">
        <v>17</v>
      </c>
      <c r="F218">
        <v>800</v>
      </c>
      <c r="G218">
        <v>1</v>
      </c>
      <c r="H218">
        <v>800</v>
      </c>
      <c r="I218">
        <v>800</v>
      </c>
    </row>
    <row r="219" spans="1:9" x14ac:dyDescent="0.3">
      <c r="A219">
        <v>216</v>
      </c>
      <c r="B219" s="24">
        <v>43681</v>
      </c>
      <c r="C219" t="s">
        <v>81</v>
      </c>
      <c r="D219" t="s">
        <v>19</v>
      </c>
      <c r="E219" t="s">
        <v>20</v>
      </c>
      <c r="F219">
        <v>850</v>
      </c>
      <c r="G219">
        <v>1</v>
      </c>
      <c r="H219">
        <v>850</v>
      </c>
      <c r="I219">
        <v>850</v>
      </c>
    </row>
    <row r="220" spans="1:9" x14ac:dyDescent="0.3">
      <c r="A220">
        <v>217</v>
      </c>
      <c r="B220" s="24">
        <v>43682</v>
      </c>
      <c r="C220" t="s">
        <v>81</v>
      </c>
      <c r="D220" t="s">
        <v>22</v>
      </c>
      <c r="E220" t="s">
        <v>23</v>
      </c>
      <c r="F220">
        <v>500</v>
      </c>
      <c r="G220">
        <v>1</v>
      </c>
      <c r="H220">
        <v>500</v>
      </c>
      <c r="I220">
        <v>500</v>
      </c>
    </row>
    <row r="221" spans="1:9" x14ac:dyDescent="0.3">
      <c r="A221">
        <v>218</v>
      </c>
      <c r="B221" s="24">
        <v>43683</v>
      </c>
      <c r="C221" t="s">
        <v>81</v>
      </c>
      <c r="D221" t="s">
        <v>22</v>
      </c>
      <c r="E221" t="s">
        <v>23</v>
      </c>
      <c r="F221">
        <v>500</v>
      </c>
      <c r="G221">
        <v>1</v>
      </c>
      <c r="H221">
        <v>500</v>
      </c>
      <c r="I221">
        <v>500</v>
      </c>
    </row>
    <row r="222" spans="1:9" x14ac:dyDescent="0.3">
      <c r="A222">
        <v>219</v>
      </c>
      <c r="B222" s="24">
        <v>43684</v>
      </c>
      <c r="C222" t="s">
        <v>81</v>
      </c>
      <c r="D222" t="s">
        <v>10</v>
      </c>
      <c r="E222" t="s">
        <v>11</v>
      </c>
      <c r="F222">
        <v>1100</v>
      </c>
      <c r="G222">
        <v>1</v>
      </c>
      <c r="H222">
        <v>1100</v>
      </c>
      <c r="I222">
        <v>1100</v>
      </c>
    </row>
    <row r="223" spans="1:9" x14ac:dyDescent="0.3">
      <c r="A223">
        <v>220</v>
      </c>
      <c r="B223" s="24">
        <v>43685</v>
      </c>
      <c r="C223" t="s">
        <v>81</v>
      </c>
      <c r="D223" t="s">
        <v>22</v>
      </c>
      <c r="E223" t="s">
        <v>23</v>
      </c>
      <c r="F223">
        <v>500</v>
      </c>
      <c r="G223">
        <v>1</v>
      </c>
      <c r="H223">
        <v>500</v>
      </c>
      <c r="I223">
        <v>500</v>
      </c>
    </row>
    <row r="224" spans="1:9" x14ac:dyDescent="0.3">
      <c r="A224">
        <v>221</v>
      </c>
      <c r="B224" s="24">
        <v>43686</v>
      </c>
      <c r="C224" t="s">
        <v>81</v>
      </c>
      <c r="D224" t="s">
        <v>15</v>
      </c>
      <c r="E224" t="s">
        <v>11</v>
      </c>
      <c r="F224">
        <v>1000</v>
      </c>
      <c r="G224">
        <v>1</v>
      </c>
      <c r="H224">
        <v>1000</v>
      </c>
      <c r="I224">
        <v>1000</v>
      </c>
    </row>
    <row r="225" spans="1:9" x14ac:dyDescent="0.3">
      <c r="A225">
        <v>222</v>
      </c>
      <c r="B225" s="24">
        <v>43687</v>
      </c>
      <c r="C225" t="s">
        <v>81</v>
      </c>
      <c r="D225" t="s">
        <v>16</v>
      </c>
      <c r="E225" t="s">
        <v>17</v>
      </c>
      <c r="F225">
        <v>800</v>
      </c>
      <c r="G225">
        <v>1</v>
      </c>
      <c r="H225">
        <v>800</v>
      </c>
      <c r="I225">
        <v>800</v>
      </c>
    </row>
    <row r="226" spans="1:9" x14ac:dyDescent="0.3">
      <c r="A226">
        <v>223</v>
      </c>
      <c r="B226" s="24">
        <v>43688</v>
      </c>
      <c r="C226" t="s">
        <v>81</v>
      </c>
      <c r="D226" t="s">
        <v>24</v>
      </c>
      <c r="E226" t="s">
        <v>23</v>
      </c>
      <c r="F226">
        <v>600</v>
      </c>
      <c r="G226">
        <v>1</v>
      </c>
      <c r="H226">
        <v>600</v>
      </c>
      <c r="I226">
        <v>600</v>
      </c>
    </row>
    <row r="227" spans="1:9" x14ac:dyDescent="0.3">
      <c r="A227">
        <v>224</v>
      </c>
      <c r="B227" s="24">
        <v>43689</v>
      </c>
      <c r="C227" t="s">
        <v>81</v>
      </c>
      <c r="D227" t="s">
        <v>24</v>
      </c>
      <c r="E227" t="s">
        <v>23</v>
      </c>
      <c r="F227">
        <v>600</v>
      </c>
      <c r="G227">
        <v>1</v>
      </c>
      <c r="H227">
        <v>600</v>
      </c>
      <c r="I227">
        <v>600</v>
      </c>
    </row>
    <row r="228" spans="1:9" x14ac:dyDescent="0.3">
      <c r="A228">
        <v>225</v>
      </c>
      <c r="B228" s="24">
        <v>43690</v>
      </c>
      <c r="C228" t="s">
        <v>81</v>
      </c>
      <c r="D228" t="s">
        <v>19</v>
      </c>
      <c r="E228" t="s">
        <v>20</v>
      </c>
      <c r="F228">
        <v>850</v>
      </c>
      <c r="G228">
        <v>1</v>
      </c>
      <c r="H228">
        <v>850</v>
      </c>
      <c r="I228">
        <v>850</v>
      </c>
    </row>
    <row r="229" spans="1:9" x14ac:dyDescent="0.3">
      <c r="A229">
        <v>226</v>
      </c>
      <c r="B229" s="24">
        <v>43691</v>
      </c>
      <c r="C229" t="s">
        <v>81</v>
      </c>
      <c r="D229" t="s">
        <v>24</v>
      </c>
      <c r="E229" t="s">
        <v>23</v>
      </c>
      <c r="F229">
        <v>600</v>
      </c>
      <c r="G229">
        <v>1</v>
      </c>
      <c r="H229">
        <v>600</v>
      </c>
      <c r="I229">
        <v>600</v>
      </c>
    </row>
    <row r="230" spans="1:9" x14ac:dyDescent="0.3">
      <c r="A230">
        <v>227</v>
      </c>
      <c r="B230" s="24">
        <v>43692</v>
      </c>
      <c r="C230" t="s">
        <v>81</v>
      </c>
      <c r="D230" t="s">
        <v>18</v>
      </c>
      <c r="E230" t="s">
        <v>17</v>
      </c>
      <c r="F230">
        <v>600</v>
      </c>
      <c r="G230">
        <v>1</v>
      </c>
      <c r="H230">
        <v>600</v>
      </c>
      <c r="I230">
        <v>600</v>
      </c>
    </row>
    <row r="231" spans="1:9" x14ac:dyDescent="0.3">
      <c r="A231">
        <v>228</v>
      </c>
      <c r="B231" s="24">
        <v>43693</v>
      </c>
      <c r="C231" t="s">
        <v>81</v>
      </c>
      <c r="D231" t="s">
        <v>24</v>
      </c>
      <c r="E231" t="s">
        <v>23</v>
      </c>
      <c r="F231">
        <v>600</v>
      </c>
      <c r="G231">
        <v>1</v>
      </c>
      <c r="H231">
        <v>600</v>
      </c>
      <c r="I231">
        <v>600</v>
      </c>
    </row>
    <row r="232" spans="1:9" x14ac:dyDescent="0.3">
      <c r="A232">
        <v>229</v>
      </c>
      <c r="B232" s="24">
        <v>43694</v>
      </c>
      <c r="C232" t="s">
        <v>81</v>
      </c>
      <c r="D232" t="s">
        <v>10</v>
      </c>
      <c r="E232" t="s">
        <v>11</v>
      </c>
      <c r="F232">
        <v>1100</v>
      </c>
      <c r="G232">
        <v>1</v>
      </c>
      <c r="H232">
        <v>1100</v>
      </c>
      <c r="I232">
        <v>1100</v>
      </c>
    </row>
    <row r="233" spans="1:9" x14ac:dyDescent="0.3">
      <c r="A233">
        <v>230</v>
      </c>
      <c r="B233" s="24">
        <v>43695</v>
      </c>
      <c r="C233" t="s">
        <v>81</v>
      </c>
      <c r="D233" t="s">
        <v>18</v>
      </c>
      <c r="E233" t="s">
        <v>17</v>
      </c>
      <c r="F233">
        <v>600</v>
      </c>
      <c r="G233">
        <v>1</v>
      </c>
      <c r="H233">
        <v>600</v>
      </c>
      <c r="I233">
        <v>600</v>
      </c>
    </row>
    <row r="234" spans="1:9" x14ac:dyDescent="0.3">
      <c r="A234">
        <v>231</v>
      </c>
      <c r="B234" s="24">
        <v>43696</v>
      </c>
      <c r="C234" t="s">
        <v>81</v>
      </c>
      <c r="D234" t="s">
        <v>10</v>
      </c>
      <c r="E234" t="s">
        <v>11</v>
      </c>
      <c r="F234">
        <v>1100</v>
      </c>
      <c r="G234">
        <v>1</v>
      </c>
      <c r="H234">
        <v>1100</v>
      </c>
      <c r="I234">
        <v>1100</v>
      </c>
    </row>
    <row r="235" spans="1:9" x14ac:dyDescent="0.3">
      <c r="A235">
        <v>232</v>
      </c>
      <c r="B235" s="24">
        <v>43697</v>
      </c>
      <c r="C235" t="s">
        <v>81</v>
      </c>
      <c r="D235" t="s">
        <v>10</v>
      </c>
      <c r="E235" t="s">
        <v>11</v>
      </c>
      <c r="F235">
        <v>1100</v>
      </c>
      <c r="G235">
        <v>1</v>
      </c>
      <c r="H235">
        <v>1100</v>
      </c>
      <c r="I235">
        <v>1100</v>
      </c>
    </row>
    <row r="236" spans="1:9" x14ac:dyDescent="0.3">
      <c r="A236">
        <v>233</v>
      </c>
      <c r="B236" s="24">
        <v>43698</v>
      </c>
      <c r="C236" t="s">
        <v>81</v>
      </c>
      <c r="D236" t="s">
        <v>10</v>
      </c>
      <c r="E236" t="s">
        <v>11</v>
      </c>
      <c r="F236">
        <v>1100</v>
      </c>
      <c r="G236">
        <v>1</v>
      </c>
      <c r="H236">
        <v>1100</v>
      </c>
      <c r="I236">
        <v>1100</v>
      </c>
    </row>
    <row r="237" spans="1:9" x14ac:dyDescent="0.3">
      <c r="A237">
        <v>234</v>
      </c>
      <c r="B237" s="24">
        <v>43699</v>
      </c>
      <c r="C237" t="s">
        <v>81</v>
      </c>
      <c r="D237" t="s">
        <v>19</v>
      </c>
      <c r="E237" t="s">
        <v>20</v>
      </c>
      <c r="F237">
        <v>850</v>
      </c>
      <c r="G237">
        <v>1</v>
      </c>
      <c r="H237">
        <v>850</v>
      </c>
      <c r="I237">
        <v>850</v>
      </c>
    </row>
    <row r="238" spans="1:9" x14ac:dyDescent="0.3">
      <c r="A238">
        <v>235</v>
      </c>
      <c r="B238" s="24">
        <v>43700</v>
      </c>
      <c r="C238" t="s">
        <v>81</v>
      </c>
      <c r="D238" t="s">
        <v>18</v>
      </c>
      <c r="E238" t="s">
        <v>17</v>
      </c>
      <c r="F238">
        <v>600</v>
      </c>
      <c r="G238">
        <v>1</v>
      </c>
      <c r="H238">
        <v>600</v>
      </c>
      <c r="I238">
        <v>600</v>
      </c>
    </row>
    <row r="239" spans="1:9" x14ac:dyDescent="0.3">
      <c r="A239">
        <v>236</v>
      </c>
      <c r="B239" s="24">
        <v>43701</v>
      </c>
      <c r="C239" t="s">
        <v>81</v>
      </c>
      <c r="D239" t="s">
        <v>18</v>
      </c>
      <c r="E239" t="s">
        <v>17</v>
      </c>
      <c r="F239">
        <v>600</v>
      </c>
      <c r="G239">
        <v>1</v>
      </c>
      <c r="H239">
        <v>600</v>
      </c>
      <c r="I239">
        <v>600</v>
      </c>
    </row>
    <row r="240" spans="1:9" x14ac:dyDescent="0.3">
      <c r="A240">
        <v>237</v>
      </c>
      <c r="B240" s="24">
        <v>43702</v>
      </c>
      <c r="C240" t="s">
        <v>81</v>
      </c>
      <c r="D240" t="s">
        <v>16</v>
      </c>
      <c r="E240" t="s">
        <v>17</v>
      </c>
      <c r="F240">
        <v>800</v>
      </c>
      <c r="G240">
        <v>1</v>
      </c>
      <c r="H240">
        <v>800</v>
      </c>
      <c r="I240">
        <v>800</v>
      </c>
    </row>
    <row r="241" spans="1:9" x14ac:dyDescent="0.3">
      <c r="A241">
        <v>238</v>
      </c>
      <c r="B241" s="24">
        <v>43703</v>
      </c>
      <c r="C241" t="s">
        <v>81</v>
      </c>
      <c r="D241" t="s">
        <v>21</v>
      </c>
      <c r="E241" t="s">
        <v>20</v>
      </c>
      <c r="F241">
        <v>1200</v>
      </c>
      <c r="G241">
        <v>1</v>
      </c>
      <c r="H241">
        <v>1200</v>
      </c>
      <c r="I241">
        <v>1200</v>
      </c>
    </row>
    <row r="242" spans="1:9" x14ac:dyDescent="0.3">
      <c r="A242">
        <v>239</v>
      </c>
      <c r="B242" s="24">
        <v>43704</v>
      </c>
      <c r="C242" t="s">
        <v>81</v>
      </c>
      <c r="D242" t="s">
        <v>15</v>
      </c>
      <c r="E242" t="s">
        <v>11</v>
      </c>
      <c r="F242">
        <v>1000</v>
      </c>
      <c r="G242">
        <v>1</v>
      </c>
      <c r="H242">
        <v>1000</v>
      </c>
      <c r="I242">
        <v>1000</v>
      </c>
    </row>
    <row r="243" spans="1:9" x14ac:dyDescent="0.3">
      <c r="A243">
        <v>240</v>
      </c>
      <c r="B243" s="24">
        <v>43705</v>
      </c>
      <c r="C243" t="s">
        <v>81</v>
      </c>
      <c r="D243" t="s">
        <v>24</v>
      </c>
      <c r="E243" t="s">
        <v>23</v>
      </c>
      <c r="F243">
        <v>600</v>
      </c>
      <c r="G243">
        <v>1</v>
      </c>
      <c r="H243">
        <v>600</v>
      </c>
      <c r="I243">
        <v>600</v>
      </c>
    </row>
    <row r="244" spans="1:9" x14ac:dyDescent="0.3">
      <c r="A244">
        <v>241</v>
      </c>
      <c r="B244" s="24">
        <v>43706</v>
      </c>
      <c r="C244" t="s">
        <v>81</v>
      </c>
      <c r="D244" t="s">
        <v>14</v>
      </c>
      <c r="E244" t="s">
        <v>11</v>
      </c>
      <c r="F244">
        <v>900</v>
      </c>
      <c r="G244">
        <v>1</v>
      </c>
      <c r="H244">
        <v>900</v>
      </c>
      <c r="I244">
        <v>900</v>
      </c>
    </row>
    <row r="245" spans="1:9" x14ac:dyDescent="0.3">
      <c r="A245">
        <v>242</v>
      </c>
      <c r="B245" s="24">
        <v>43707</v>
      </c>
      <c r="C245" t="s">
        <v>81</v>
      </c>
      <c r="D245" t="s">
        <v>18</v>
      </c>
      <c r="E245" t="s">
        <v>17</v>
      </c>
      <c r="F245">
        <v>600</v>
      </c>
      <c r="G245">
        <v>1</v>
      </c>
      <c r="H245">
        <v>600</v>
      </c>
      <c r="I245">
        <v>600</v>
      </c>
    </row>
    <row r="246" spans="1:9" x14ac:dyDescent="0.3">
      <c r="A246">
        <v>243</v>
      </c>
      <c r="B246" s="24">
        <v>43708</v>
      </c>
      <c r="C246" t="s">
        <v>81</v>
      </c>
      <c r="D246" t="s">
        <v>12</v>
      </c>
      <c r="E246" t="s">
        <v>11</v>
      </c>
      <c r="F246">
        <v>900</v>
      </c>
      <c r="G246">
        <v>1</v>
      </c>
      <c r="H246">
        <v>900</v>
      </c>
      <c r="I246">
        <v>765</v>
      </c>
    </row>
    <row r="247" spans="1:9" x14ac:dyDescent="0.3">
      <c r="A247">
        <v>244</v>
      </c>
      <c r="B247" s="24">
        <v>43709</v>
      </c>
      <c r="C247" t="s">
        <v>81</v>
      </c>
      <c r="D247" t="s">
        <v>24</v>
      </c>
      <c r="E247" t="s">
        <v>23</v>
      </c>
      <c r="F247">
        <v>600</v>
      </c>
      <c r="G247">
        <v>1</v>
      </c>
      <c r="H247">
        <v>600</v>
      </c>
      <c r="I247">
        <v>600</v>
      </c>
    </row>
    <row r="248" spans="1:9" x14ac:dyDescent="0.3">
      <c r="A248">
        <v>245</v>
      </c>
      <c r="B248" s="24">
        <v>43710</v>
      </c>
      <c r="C248" t="s">
        <v>81</v>
      </c>
      <c r="D248" t="s">
        <v>19</v>
      </c>
      <c r="E248" t="s">
        <v>20</v>
      </c>
      <c r="F248">
        <v>850</v>
      </c>
      <c r="G248">
        <v>1</v>
      </c>
      <c r="H248">
        <v>850</v>
      </c>
      <c r="I248">
        <v>850</v>
      </c>
    </row>
    <row r="249" spans="1:9" x14ac:dyDescent="0.3">
      <c r="A249">
        <v>246</v>
      </c>
      <c r="B249" s="24">
        <v>43711</v>
      </c>
      <c r="C249" t="s">
        <v>81</v>
      </c>
      <c r="D249" t="s">
        <v>14</v>
      </c>
      <c r="E249" t="s">
        <v>11</v>
      </c>
      <c r="F249">
        <v>900</v>
      </c>
      <c r="G249">
        <v>1</v>
      </c>
      <c r="H249">
        <v>900</v>
      </c>
      <c r="I249">
        <v>900</v>
      </c>
    </row>
    <row r="250" spans="1:9" x14ac:dyDescent="0.3">
      <c r="A250">
        <v>247</v>
      </c>
      <c r="B250" s="24">
        <v>43712</v>
      </c>
      <c r="C250" t="s">
        <v>81</v>
      </c>
      <c r="D250" t="s">
        <v>10</v>
      </c>
      <c r="E250" t="s">
        <v>11</v>
      </c>
      <c r="F250">
        <v>1100</v>
      </c>
      <c r="G250">
        <v>1</v>
      </c>
      <c r="H250">
        <v>1100</v>
      </c>
      <c r="I250">
        <v>1100</v>
      </c>
    </row>
    <row r="251" spans="1:9" x14ac:dyDescent="0.3">
      <c r="A251">
        <v>248</v>
      </c>
      <c r="B251" s="24">
        <v>43713</v>
      </c>
      <c r="C251" t="s">
        <v>81</v>
      </c>
      <c r="D251" t="s">
        <v>14</v>
      </c>
      <c r="E251" t="s">
        <v>11</v>
      </c>
      <c r="F251">
        <v>900</v>
      </c>
      <c r="G251">
        <v>1</v>
      </c>
      <c r="H251">
        <v>900</v>
      </c>
      <c r="I251">
        <v>900</v>
      </c>
    </row>
    <row r="252" spans="1:9" x14ac:dyDescent="0.3">
      <c r="A252">
        <v>249</v>
      </c>
      <c r="B252" s="24">
        <v>43714</v>
      </c>
      <c r="C252" t="s">
        <v>81</v>
      </c>
      <c r="D252" t="s">
        <v>15</v>
      </c>
      <c r="E252" t="s">
        <v>11</v>
      </c>
      <c r="F252">
        <v>1000</v>
      </c>
      <c r="G252">
        <v>1</v>
      </c>
      <c r="H252">
        <v>1000</v>
      </c>
      <c r="I252">
        <v>1000</v>
      </c>
    </row>
    <row r="253" spans="1:9" x14ac:dyDescent="0.3">
      <c r="A253">
        <v>250</v>
      </c>
      <c r="B253" s="24">
        <v>43715</v>
      </c>
      <c r="C253" t="s">
        <v>81</v>
      </c>
      <c r="D253" t="s">
        <v>10</v>
      </c>
      <c r="E253" t="s">
        <v>11</v>
      </c>
      <c r="F253">
        <v>1100</v>
      </c>
      <c r="G253">
        <v>1</v>
      </c>
      <c r="H253">
        <v>1100</v>
      </c>
      <c r="I253">
        <v>1100</v>
      </c>
    </row>
    <row r="254" spans="1:9" x14ac:dyDescent="0.3">
      <c r="A254">
        <v>251</v>
      </c>
      <c r="B254" s="24">
        <v>43716</v>
      </c>
      <c r="C254" t="s">
        <v>81</v>
      </c>
      <c r="D254" t="s">
        <v>15</v>
      </c>
      <c r="E254" t="s">
        <v>11</v>
      </c>
      <c r="F254">
        <v>1000</v>
      </c>
      <c r="G254">
        <v>1</v>
      </c>
      <c r="H254">
        <v>1000</v>
      </c>
      <c r="I254">
        <v>1000</v>
      </c>
    </row>
    <row r="255" spans="1:9" x14ac:dyDescent="0.3">
      <c r="A255">
        <v>252</v>
      </c>
      <c r="B255" s="24">
        <v>43717</v>
      </c>
      <c r="C255" t="s">
        <v>81</v>
      </c>
      <c r="D255" t="s">
        <v>10</v>
      </c>
      <c r="E255" t="s">
        <v>11</v>
      </c>
      <c r="F255">
        <v>1100</v>
      </c>
      <c r="G255">
        <v>1</v>
      </c>
      <c r="H255">
        <v>1100</v>
      </c>
      <c r="I255">
        <v>1100</v>
      </c>
    </row>
    <row r="256" spans="1:9" x14ac:dyDescent="0.3">
      <c r="A256">
        <v>253</v>
      </c>
      <c r="B256" s="24">
        <v>43718</v>
      </c>
      <c r="C256" t="s">
        <v>81</v>
      </c>
      <c r="D256" t="s">
        <v>14</v>
      </c>
      <c r="E256" t="s">
        <v>11</v>
      </c>
      <c r="F256">
        <v>900</v>
      </c>
      <c r="G256">
        <v>1</v>
      </c>
      <c r="H256">
        <v>900</v>
      </c>
      <c r="I256">
        <v>900</v>
      </c>
    </row>
    <row r="257" spans="1:9" x14ac:dyDescent="0.3">
      <c r="A257">
        <v>254</v>
      </c>
      <c r="B257" s="24">
        <v>43719</v>
      </c>
      <c r="C257" t="s">
        <v>81</v>
      </c>
      <c r="D257" t="s">
        <v>12</v>
      </c>
      <c r="E257" t="s">
        <v>11</v>
      </c>
      <c r="F257">
        <v>900</v>
      </c>
      <c r="G257">
        <v>1</v>
      </c>
      <c r="H257">
        <v>900</v>
      </c>
      <c r="I257">
        <v>765</v>
      </c>
    </row>
    <row r="258" spans="1:9" x14ac:dyDescent="0.3">
      <c r="A258">
        <v>255</v>
      </c>
      <c r="B258" s="24">
        <v>43720</v>
      </c>
      <c r="C258" t="s">
        <v>81</v>
      </c>
      <c r="D258" t="s">
        <v>10</v>
      </c>
      <c r="E258" t="s">
        <v>11</v>
      </c>
      <c r="F258">
        <v>1100</v>
      </c>
      <c r="G258">
        <v>1</v>
      </c>
      <c r="H258">
        <v>1100</v>
      </c>
      <c r="I258">
        <v>1100</v>
      </c>
    </row>
    <row r="259" spans="1:9" x14ac:dyDescent="0.3">
      <c r="A259">
        <v>256</v>
      </c>
      <c r="B259" s="24">
        <v>43721</v>
      </c>
      <c r="C259" t="s">
        <v>81</v>
      </c>
      <c r="D259" t="s">
        <v>10</v>
      </c>
      <c r="E259" t="s">
        <v>11</v>
      </c>
      <c r="F259">
        <v>1100</v>
      </c>
      <c r="G259">
        <v>1</v>
      </c>
      <c r="H259">
        <v>1100</v>
      </c>
      <c r="I259">
        <v>1100</v>
      </c>
    </row>
    <row r="260" spans="1:9" x14ac:dyDescent="0.3">
      <c r="A260">
        <v>257</v>
      </c>
      <c r="B260" s="24">
        <v>43722</v>
      </c>
      <c r="C260" t="s">
        <v>81</v>
      </c>
      <c r="D260" t="s">
        <v>15</v>
      </c>
      <c r="E260" t="s">
        <v>11</v>
      </c>
      <c r="F260">
        <v>1000</v>
      </c>
      <c r="G260">
        <v>1</v>
      </c>
      <c r="H260">
        <v>1000</v>
      </c>
      <c r="I260">
        <v>1000</v>
      </c>
    </row>
    <row r="261" spans="1:9" x14ac:dyDescent="0.3">
      <c r="A261">
        <v>258</v>
      </c>
      <c r="B261" s="24">
        <v>43723</v>
      </c>
      <c r="C261" t="s">
        <v>81</v>
      </c>
      <c r="D261" t="s">
        <v>12</v>
      </c>
      <c r="E261" t="s">
        <v>11</v>
      </c>
      <c r="F261">
        <v>900</v>
      </c>
      <c r="G261">
        <v>1</v>
      </c>
      <c r="H261">
        <v>900</v>
      </c>
      <c r="I261">
        <v>765</v>
      </c>
    </row>
    <row r="262" spans="1:9" x14ac:dyDescent="0.3">
      <c r="A262">
        <v>259</v>
      </c>
      <c r="B262" s="24">
        <v>43724</v>
      </c>
      <c r="C262" t="s">
        <v>81</v>
      </c>
      <c r="D262" t="s">
        <v>18</v>
      </c>
      <c r="E262" t="s">
        <v>17</v>
      </c>
      <c r="F262">
        <v>600</v>
      </c>
      <c r="G262">
        <v>1</v>
      </c>
      <c r="H262">
        <v>600</v>
      </c>
      <c r="I262">
        <v>600</v>
      </c>
    </row>
    <row r="263" spans="1:9" x14ac:dyDescent="0.3">
      <c r="A263">
        <v>260</v>
      </c>
      <c r="B263" s="24">
        <v>43725</v>
      </c>
      <c r="C263" t="s">
        <v>81</v>
      </c>
      <c r="D263" t="s">
        <v>12</v>
      </c>
      <c r="E263" t="s">
        <v>11</v>
      </c>
      <c r="F263">
        <v>900</v>
      </c>
      <c r="G263">
        <v>1</v>
      </c>
      <c r="H263">
        <v>900</v>
      </c>
      <c r="I263">
        <v>765</v>
      </c>
    </row>
    <row r="264" spans="1:9" x14ac:dyDescent="0.3">
      <c r="A264">
        <v>261</v>
      </c>
      <c r="B264" s="24">
        <v>43726</v>
      </c>
      <c r="C264" t="s">
        <v>81</v>
      </c>
      <c r="D264" t="s">
        <v>18</v>
      </c>
      <c r="E264" t="s">
        <v>17</v>
      </c>
      <c r="F264">
        <v>600</v>
      </c>
      <c r="G264">
        <v>1</v>
      </c>
      <c r="H264">
        <v>600</v>
      </c>
      <c r="I264">
        <v>600</v>
      </c>
    </row>
    <row r="265" spans="1:9" x14ac:dyDescent="0.3">
      <c r="A265">
        <v>262</v>
      </c>
      <c r="B265" s="24">
        <v>43727</v>
      </c>
      <c r="C265" t="s">
        <v>81</v>
      </c>
      <c r="D265" t="s">
        <v>14</v>
      </c>
      <c r="E265" t="s">
        <v>11</v>
      </c>
      <c r="F265">
        <v>900</v>
      </c>
      <c r="G265">
        <v>1</v>
      </c>
      <c r="H265">
        <v>900</v>
      </c>
      <c r="I265">
        <v>900</v>
      </c>
    </row>
    <row r="266" spans="1:9" x14ac:dyDescent="0.3">
      <c r="A266">
        <v>263</v>
      </c>
      <c r="B266" s="24">
        <v>43728</v>
      </c>
      <c r="C266" t="s">
        <v>81</v>
      </c>
      <c r="D266" t="s">
        <v>10</v>
      </c>
      <c r="E266" t="s">
        <v>11</v>
      </c>
      <c r="F266">
        <v>1100</v>
      </c>
      <c r="G266">
        <v>2</v>
      </c>
      <c r="H266">
        <v>2200</v>
      </c>
      <c r="I266">
        <v>2200</v>
      </c>
    </row>
    <row r="267" spans="1:9" x14ac:dyDescent="0.3">
      <c r="A267">
        <v>264</v>
      </c>
      <c r="B267" s="24">
        <v>43729</v>
      </c>
      <c r="C267" t="s">
        <v>81</v>
      </c>
      <c r="D267" t="s">
        <v>18</v>
      </c>
      <c r="E267" t="s">
        <v>17</v>
      </c>
      <c r="F267">
        <v>600</v>
      </c>
      <c r="G267">
        <v>1</v>
      </c>
      <c r="H267">
        <v>600</v>
      </c>
      <c r="I267">
        <v>600</v>
      </c>
    </row>
    <row r="268" spans="1:9" x14ac:dyDescent="0.3">
      <c r="A268">
        <v>265</v>
      </c>
      <c r="B268" s="24">
        <v>43730</v>
      </c>
      <c r="C268" t="s">
        <v>81</v>
      </c>
      <c r="D268" t="s">
        <v>18</v>
      </c>
      <c r="E268" t="s">
        <v>17</v>
      </c>
      <c r="F268">
        <v>600</v>
      </c>
      <c r="G268">
        <v>1</v>
      </c>
      <c r="H268">
        <v>600</v>
      </c>
      <c r="I268">
        <v>600</v>
      </c>
    </row>
    <row r="269" spans="1:9" x14ac:dyDescent="0.3">
      <c r="A269">
        <v>266</v>
      </c>
      <c r="B269" s="24">
        <v>43731</v>
      </c>
      <c r="C269" t="s">
        <v>81</v>
      </c>
      <c r="D269" t="s">
        <v>14</v>
      </c>
      <c r="E269" t="s">
        <v>11</v>
      </c>
      <c r="F269">
        <v>900</v>
      </c>
      <c r="G269">
        <v>1</v>
      </c>
      <c r="H269">
        <v>900</v>
      </c>
      <c r="I269">
        <v>900</v>
      </c>
    </row>
    <row r="270" spans="1:9" x14ac:dyDescent="0.3">
      <c r="A270">
        <v>267</v>
      </c>
      <c r="B270" s="24">
        <v>43732</v>
      </c>
      <c r="C270" t="s">
        <v>81</v>
      </c>
      <c r="D270" t="s">
        <v>10</v>
      </c>
      <c r="E270" t="s">
        <v>11</v>
      </c>
      <c r="F270">
        <v>1100</v>
      </c>
      <c r="G270">
        <v>1</v>
      </c>
      <c r="H270">
        <v>1100</v>
      </c>
      <c r="I270">
        <v>1100</v>
      </c>
    </row>
    <row r="271" spans="1:9" x14ac:dyDescent="0.3">
      <c r="A271">
        <v>268</v>
      </c>
      <c r="B271" s="24">
        <v>43733</v>
      </c>
      <c r="C271" t="s">
        <v>81</v>
      </c>
      <c r="D271" t="s">
        <v>18</v>
      </c>
      <c r="E271" t="s">
        <v>17</v>
      </c>
      <c r="F271">
        <v>600</v>
      </c>
      <c r="G271">
        <v>1</v>
      </c>
      <c r="H271">
        <v>600</v>
      </c>
      <c r="I271">
        <v>600</v>
      </c>
    </row>
    <row r="272" spans="1:9" x14ac:dyDescent="0.3">
      <c r="A272">
        <v>269</v>
      </c>
      <c r="B272" s="24">
        <v>43734</v>
      </c>
      <c r="C272" t="s">
        <v>81</v>
      </c>
      <c r="D272" t="s">
        <v>24</v>
      </c>
      <c r="E272" t="s">
        <v>23</v>
      </c>
      <c r="F272">
        <v>600</v>
      </c>
      <c r="G272">
        <v>1</v>
      </c>
      <c r="H272">
        <v>600</v>
      </c>
      <c r="I272">
        <v>600</v>
      </c>
    </row>
    <row r="273" spans="1:9" x14ac:dyDescent="0.3">
      <c r="A273">
        <v>270</v>
      </c>
      <c r="B273" s="24">
        <v>43735</v>
      </c>
      <c r="C273" t="s">
        <v>81</v>
      </c>
      <c r="D273" t="s">
        <v>18</v>
      </c>
      <c r="E273" t="s">
        <v>17</v>
      </c>
      <c r="F273">
        <v>600</v>
      </c>
      <c r="G273">
        <v>1</v>
      </c>
      <c r="H273">
        <v>600</v>
      </c>
      <c r="I273">
        <v>600</v>
      </c>
    </row>
    <row r="274" spans="1:9" x14ac:dyDescent="0.3">
      <c r="A274">
        <v>271</v>
      </c>
      <c r="B274" s="24">
        <v>43736</v>
      </c>
      <c r="C274" t="s">
        <v>81</v>
      </c>
      <c r="D274" t="s">
        <v>24</v>
      </c>
      <c r="E274" t="s">
        <v>23</v>
      </c>
      <c r="F274">
        <v>600</v>
      </c>
      <c r="G274">
        <v>1</v>
      </c>
      <c r="H274">
        <v>600</v>
      </c>
      <c r="I274">
        <v>600</v>
      </c>
    </row>
    <row r="275" spans="1:9" x14ac:dyDescent="0.3">
      <c r="A275">
        <v>272</v>
      </c>
      <c r="B275" s="24">
        <v>43737</v>
      </c>
      <c r="C275" t="s">
        <v>81</v>
      </c>
      <c r="D275" t="s">
        <v>24</v>
      </c>
      <c r="E275" t="s">
        <v>23</v>
      </c>
      <c r="F275">
        <v>600</v>
      </c>
      <c r="G275">
        <v>2</v>
      </c>
      <c r="H275">
        <v>1200</v>
      </c>
      <c r="I275">
        <v>1200</v>
      </c>
    </row>
    <row r="276" spans="1:9" x14ac:dyDescent="0.3">
      <c r="A276">
        <v>273</v>
      </c>
      <c r="B276" s="24">
        <v>43738</v>
      </c>
      <c r="C276" t="s">
        <v>81</v>
      </c>
      <c r="D276" t="s">
        <v>18</v>
      </c>
      <c r="E276" t="s">
        <v>17</v>
      </c>
      <c r="F276">
        <v>600</v>
      </c>
      <c r="G276">
        <v>1</v>
      </c>
      <c r="H276">
        <v>600</v>
      </c>
      <c r="I276">
        <v>600</v>
      </c>
    </row>
    <row r="277" spans="1:9" x14ac:dyDescent="0.3">
      <c r="A277">
        <v>274</v>
      </c>
      <c r="B277" s="24">
        <v>43739</v>
      </c>
      <c r="C277" t="s">
        <v>81</v>
      </c>
      <c r="D277" t="s">
        <v>10</v>
      </c>
      <c r="E277" t="s">
        <v>11</v>
      </c>
      <c r="F277">
        <v>1100</v>
      </c>
      <c r="G277">
        <v>3</v>
      </c>
      <c r="H277">
        <v>3300</v>
      </c>
      <c r="I277">
        <v>3300</v>
      </c>
    </row>
    <row r="278" spans="1:9" x14ac:dyDescent="0.3">
      <c r="A278">
        <v>275</v>
      </c>
      <c r="B278" s="24">
        <v>43740</v>
      </c>
      <c r="C278" t="s">
        <v>81</v>
      </c>
      <c r="D278" t="s">
        <v>10</v>
      </c>
      <c r="E278" t="s">
        <v>11</v>
      </c>
      <c r="F278">
        <v>1100</v>
      </c>
      <c r="G278">
        <v>1</v>
      </c>
      <c r="H278">
        <v>1100</v>
      </c>
      <c r="I278">
        <v>1100</v>
      </c>
    </row>
    <row r="279" spans="1:9" x14ac:dyDescent="0.3">
      <c r="A279">
        <v>276</v>
      </c>
      <c r="B279" s="24">
        <v>43741</v>
      </c>
      <c r="C279" t="s">
        <v>81</v>
      </c>
      <c r="D279" t="s">
        <v>19</v>
      </c>
      <c r="E279" t="s">
        <v>20</v>
      </c>
      <c r="F279">
        <v>850</v>
      </c>
      <c r="G279">
        <v>1</v>
      </c>
      <c r="H279">
        <v>850</v>
      </c>
      <c r="I279">
        <v>850</v>
      </c>
    </row>
    <row r="280" spans="1:9" x14ac:dyDescent="0.3">
      <c r="A280">
        <v>277</v>
      </c>
      <c r="B280" s="24">
        <v>43742</v>
      </c>
      <c r="C280" t="s">
        <v>81</v>
      </c>
      <c r="D280" t="s">
        <v>21</v>
      </c>
      <c r="E280" t="s">
        <v>20</v>
      </c>
      <c r="F280">
        <v>1200</v>
      </c>
      <c r="G280">
        <v>1</v>
      </c>
      <c r="H280">
        <v>1200</v>
      </c>
      <c r="I280">
        <v>1200</v>
      </c>
    </row>
    <row r="281" spans="1:9" x14ac:dyDescent="0.3">
      <c r="A281">
        <v>278</v>
      </c>
      <c r="B281" s="24">
        <v>43743</v>
      </c>
      <c r="C281" t="s">
        <v>81</v>
      </c>
      <c r="D281" t="s">
        <v>16</v>
      </c>
      <c r="E281" t="s">
        <v>17</v>
      </c>
      <c r="F281">
        <v>800</v>
      </c>
      <c r="G281">
        <v>1</v>
      </c>
      <c r="H281">
        <v>800</v>
      </c>
      <c r="I281">
        <v>800</v>
      </c>
    </row>
    <row r="282" spans="1:9" x14ac:dyDescent="0.3">
      <c r="A282">
        <v>279</v>
      </c>
      <c r="B282" s="24">
        <v>43744</v>
      </c>
      <c r="C282" t="s">
        <v>81</v>
      </c>
      <c r="D282" t="s">
        <v>14</v>
      </c>
      <c r="E282" t="s">
        <v>11</v>
      </c>
      <c r="F282">
        <v>900</v>
      </c>
      <c r="G282">
        <v>1</v>
      </c>
      <c r="H282">
        <v>900</v>
      </c>
      <c r="I282">
        <v>900</v>
      </c>
    </row>
    <row r="283" spans="1:9" x14ac:dyDescent="0.3">
      <c r="A283">
        <v>280</v>
      </c>
      <c r="B283" s="24">
        <v>43745</v>
      </c>
      <c r="C283" t="s">
        <v>81</v>
      </c>
      <c r="D283" t="s">
        <v>10</v>
      </c>
      <c r="E283" t="s">
        <v>11</v>
      </c>
      <c r="F283">
        <v>1100</v>
      </c>
      <c r="G283">
        <v>1</v>
      </c>
      <c r="H283">
        <v>1100</v>
      </c>
      <c r="I283">
        <v>1100</v>
      </c>
    </row>
    <row r="284" spans="1:9" x14ac:dyDescent="0.3">
      <c r="A284">
        <v>281</v>
      </c>
      <c r="B284" s="24">
        <v>43746</v>
      </c>
      <c r="C284" t="s">
        <v>81</v>
      </c>
      <c r="D284" t="s">
        <v>12</v>
      </c>
      <c r="E284" t="s">
        <v>11</v>
      </c>
      <c r="F284">
        <v>900</v>
      </c>
      <c r="G284">
        <v>1</v>
      </c>
      <c r="H284">
        <v>900</v>
      </c>
      <c r="I284">
        <v>765</v>
      </c>
    </row>
    <row r="285" spans="1:9" x14ac:dyDescent="0.3">
      <c r="A285">
        <v>282</v>
      </c>
      <c r="B285" s="24">
        <v>43747</v>
      </c>
      <c r="C285" t="s">
        <v>81</v>
      </c>
      <c r="D285" t="s">
        <v>10</v>
      </c>
      <c r="E285" t="s">
        <v>11</v>
      </c>
      <c r="F285">
        <v>1100</v>
      </c>
      <c r="G285">
        <v>1</v>
      </c>
      <c r="H285">
        <v>1100</v>
      </c>
      <c r="I285">
        <v>1100</v>
      </c>
    </row>
    <row r="286" spans="1:9" x14ac:dyDescent="0.3">
      <c r="A286">
        <v>283</v>
      </c>
      <c r="B286" s="24">
        <v>43748</v>
      </c>
      <c r="C286" t="s">
        <v>81</v>
      </c>
      <c r="D286" t="s">
        <v>22</v>
      </c>
      <c r="E286" t="s">
        <v>23</v>
      </c>
      <c r="F286">
        <v>900</v>
      </c>
      <c r="G286">
        <v>1</v>
      </c>
      <c r="H286">
        <v>900</v>
      </c>
      <c r="I286">
        <v>900</v>
      </c>
    </row>
    <row r="287" spans="1:9" x14ac:dyDescent="0.3">
      <c r="A287">
        <v>284</v>
      </c>
      <c r="B287" s="24">
        <v>43749</v>
      </c>
      <c r="C287" t="s">
        <v>81</v>
      </c>
      <c r="D287" t="s">
        <v>22</v>
      </c>
      <c r="E287" t="s">
        <v>23</v>
      </c>
      <c r="F287">
        <v>500</v>
      </c>
      <c r="G287">
        <v>1</v>
      </c>
      <c r="H287">
        <v>500</v>
      </c>
      <c r="I287">
        <v>500</v>
      </c>
    </row>
    <row r="288" spans="1:9" x14ac:dyDescent="0.3">
      <c r="A288">
        <v>285</v>
      </c>
      <c r="B288" s="24">
        <v>43750</v>
      </c>
      <c r="C288" t="s">
        <v>81</v>
      </c>
      <c r="D288" t="s">
        <v>15</v>
      </c>
      <c r="E288" t="s">
        <v>11</v>
      </c>
      <c r="F288">
        <v>1000</v>
      </c>
      <c r="G288">
        <v>1</v>
      </c>
      <c r="H288">
        <v>1000</v>
      </c>
      <c r="I288">
        <v>1000</v>
      </c>
    </row>
    <row r="289" spans="1:9" x14ac:dyDescent="0.3">
      <c r="A289">
        <v>286</v>
      </c>
      <c r="B289" s="24">
        <v>43751</v>
      </c>
      <c r="C289" t="s">
        <v>81</v>
      </c>
      <c r="D289" t="s">
        <v>24</v>
      </c>
      <c r="E289" t="s">
        <v>23</v>
      </c>
      <c r="F289">
        <v>600</v>
      </c>
      <c r="G289">
        <v>1</v>
      </c>
      <c r="H289">
        <v>600</v>
      </c>
      <c r="I289">
        <v>600</v>
      </c>
    </row>
    <row r="290" spans="1:9" x14ac:dyDescent="0.3">
      <c r="A290">
        <v>287</v>
      </c>
      <c r="B290" s="24">
        <v>43752</v>
      </c>
      <c r="C290" t="s">
        <v>81</v>
      </c>
      <c r="D290" t="s">
        <v>12</v>
      </c>
      <c r="E290" t="s">
        <v>11</v>
      </c>
      <c r="F290">
        <v>900</v>
      </c>
      <c r="G290">
        <v>2</v>
      </c>
      <c r="H290">
        <v>1800</v>
      </c>
      <c r="I290">
        <v>1530</v>
      </c>
    </row>
    <row r="291" spans="1:9" x14ac:dyDescent="0.3">
      <c r="A291">
        <v>288</v>
      </c>
      <c r="B291" s="24">
        <v>43753</v>
      </c>
      <c r="C291" t="s">
        <v>81</v>
      </c>
      <c r="D291" t="s">
        <v>19</v>
      </c>
      <c r="E291" t="s">
        <v>20</v>
      </c>
      <c r="F291">
        <v>850</v>
      </c>
      <c r="G291">
        <v>1</v>
      </c>
      <c r="H291">
        <v>850</v>
      </c>
      <c r="I291">
        <v>850</v>
      </c>
    </row>
    <row r="292" spans="1:9" x14ac:dyDescent="0.3">
      <c r="A292">
        <v>289</v>
      </c>
      <c r="B292" s="24">
        <v>43754</v>
      </c>
      <c r="C292" t="s">
        <v>81</v>
      </c>
      <c r="D292" t="s">
        <v>16</v>
      </c>
      <c r="E292" t="s">
        <v>17</v>
      </c>
      <c r="F292">
        <v>800</v>
      </c>
      <c r="G292">
        <v>1</v>
      </c>
      <c r="H292">
        <v>800</v>
      </c>
      <c r="I292">
        <v>800</v>
      </c>
    </row>
    <row r="293" spans="1:9" x14ac:dyDescent="0.3">
      <c r="A293">
        <v>290</v>
      </c>
      <c r="B293" s="24">
        <v>43755</v>
      </c>
      <c r="C293" t="s">
        <v>81</v>
      </c>
      <c r="D293" t="s">
        <v>12</v>
      </c>
      <c r="E293" t="s">
        <v>11</v>
      </c>
      <c r="F293">
        <v>900</v>
      </c>
      <c r="G293">
        <v>1</v>
      </c>
      <c r="H293">
        <v>900</v>
      </c>
      <c r="I293">
        <v>765</v>
      </c>
    </row>
    <row r="294" spans="1:9" x14ac:dyDescent="0.3">
      <c r="A294">
        <v>291</v>
      </c>
      <c r="B294" s="24">
        <v>43756</v>
      </c>
      <c r="C294" t="s">
        <v>81</v>
      </c>
      <c r="D294" t="s">
        <v>12</v>
      </c>
      <c r="E294" t="s">
        <v>11</v>
      </c>
      <c r="F294">
        <v>900</v>
      </c>
      <c r="G294">
        <v>1</v>
      </c>
      <c r="H294">
        <v>900</v>
      </c>
      <c r="I294">
        <v>765</v>
      </c>
    </row>
    <row r="295" spans="1:9" x14ac:dyDescent="0.3">
      <c r="A295">
        <v>292</v>
      </c>
      <c r="B295" s="24">
        <v>43757</v>
      </c>
      <c r="C295" t="s">
        <v>81</v>
      </c>
      <c r="D295" t="s">
        <v>10</v>
      </c>
      <c r="E295" t="s">
        <v>11</v>
      </c>
      <c r="F295">
        <v>1100</v>
      </c>
      <c r="G295">
        <v>1</v>
      </c>
      <c r="H295">
        <v>1100</v>
      </c>
      <c r="I295">
        <v>1100</v>
      </c>
    </row>
    <row r="296" spans="1:9" x14ac:dyDescent="0.3">
      <c r="A296">
        <v>293</v>
      </c>
      <c r="B296" s="24">
        <v>43758</v>
      </c>
      <c r="C296" t="s">
        <v>81</v>
      </c>
      <c r="D296" t="s">
        <v>14</v>
      </c>
      <c r="E296" t="s">
        <v>11</v>
      </c>
      <c r="F296">
        <v>900</v>
      </c>
      <c r="G296">
        <v>1</v>
      </c>
      <c r="H296">
        <v>900</v>
      </c>
      <c r="I296">
        <v>900</v>
      </c>
    </row>
    <row r="297" spans="1:9" x14ac:dyDescent="0.3">
      <c r="A297">
        <v>294</v>
      </c>
      <c r="B297" s="24">
        <v>43759</v>
      </c>
      <c r="C297" t="s">
        <v>81</v>
      </c>
      <c r="D297" t="s">
        <v>18</v>
      </c>
      <c r="E297" t="s">
        <v>17</v>
      </c>
      <c r="F297">
        <v>600</v>
      </c>
      <c r="G297">
        <v>1</v>
      </c>
      <c r="H297">
        <v>600</v>
      </c>
      <c r="I297">
        <v>600</v>
      </c>
    </row>
    <row r="298" spans="1:9" x14ac:dyDescent="0.3">
      <c r="A298">
        <v>295</v>
      </c>
      <c r="B298" s="24">
        <v>43760</v>
      </c>
      <c r="C298" t="s">
        <v>81</v>
      </c>
      <c r="D298" t="s">
        <v>18</v>
      </c>
      <c r="E298" t="s">
        <v>17</v>
      </c>
      <c r="F298">
        <v>600</v>
      </c>
      <c r="G298">
        <v>1</v>
      </c>
      <c r="H298">
        <v>600</v>
      </c>
      <c r="I298">
        <v>600</v>
      </c>
    </row>
    <row r="299" spans="1:9" x14ac:dyDescent="0.3">
      <c r="A299">
        <v>296</v>
      </c>
      <c r="B299" s="24">
        <v>43761</v>
      </c>
      <c r="C299" t="s">
        <v>81</v>
      </c>
      <c r="D299" t="s">
        <v>14</v>
      </c>
      <c r="E299" t="s">
        <v>11</v>
      </c>
      <c r="F299">
        <v>900</v>
      </c>
      <c r="G299">
        <v>1</v>
      </c>
      <c r="H299">
        <v>900</v>
      </c>
      <c r="I299">
        <v>900</v>
      </c>
    </row>
    <row r="300" spans="1:9" x14ac:dyDescent="0.3">
      <c r="A300">
        <v>297</v>
      </c>
      <c r="B300" s="24">
        <v>43762</v>
      </c>
      <c r="C300" t="s">
        <v>81</v>
      </c>
      <c r="D300" t="s">
        <v>19</v>
      </c>
      <c r="E300" t="s">
        <v>20</v>
      </c>
      <c r="F300">
        <v>850</v>
      </c>
      <c r="G300">
        <v>1</v>
      </c>
      <c r="H300">
        <v>850</v>
      </c>
      <c r="I300">
        <v>850</v>
      </c>
    </row>
    <row r="301" spans="1:9" x14ac:dyDescent="0.3">
      <c r="A301">
        <v>298</v>
      </c>
      <c r="B301" s="24">
        <v>43763</v>
      </c>
      <c r="C301" t="s">
        <v>81</v>
      </c>
      <c r="D301" t="s">
        <v>14</v>
      </c>
      <c r="E301" t="s">
        <v>11</v>
      </c>
      <c r="F301">
        <v>900</v>
      </c>
      <c r="G301">
        <v>1</v>
      </c>
      <c r="H301">
        <v>900</v>
      </c>
      <c r="I301">
        <v>900</v>
      </c>
    </row>
    <row r="302" spans="1:9" x14ac:dyDescent="0.3">
      <c r="A302">
        <v>299</v>
      </c>
      <c r="B302" s="24">
        <v>43764</v>
      </c>
      <c r="C302" t="s">
        <v>81</v>
      </c>
      <c r="D302" t="s">
        <v>18</v>
      </c>
      <c r="E302" t="s">
        <v>17</v>
      </c>
      <c r="F302">
        <v>600</v>
      </c>
      <c r="G302">
        <v>1</v>
      </c>
      <c r="H302">
        <v>600</v>
      </c>
      <c r="I302">
        <v>600</v>
      </c>
    </row>
    <row r="303" spans="1:9" x14ac:dyDescent="0.3">
      <c r="A303">
        <v>300</v>
      </c>
      <c r="B303" s="24">
        <v>43765</v>
      </c>
      <c r="C303" t="s">
        <v>81</v>
      </c>
      <c r="D303" t="s">
        <v>18</v>
      </c>
      <c r="E303" t="s">
        <v>17</v>
      </c>
      <c r="F303">
        <v>600</v>
      </c>
      <c r="G303">
        <v>1</v>
      </c>
      <c r="H303">
        <v>600</v>
      </c>
      <c r="I303">
        <v>600</v>
      </c>
    </row>
    <row r="304" spans="1:9" x14ac:dyDescent="0.3">
      <c r="A304">
        <v>301</v>
      </c>
      <c r="B304" s="24">
        <v>43766</v>
      </c>
      <c r="C304" t="s">
        <v>81</v>
      </c>
      <c r="D304" t="s">
        <v>10</v>
      </c>
      <c r="E304" t="s">
        <v>11</v>
      </c>
      <c r="F304">
        <v>1100</v>
      </c>
      <c r="G304">
        <v>1</v>
      </c>
      <c r="H304">
        <v>1100</v>
      </c>
      <c r="I304">
        <v>1100</v>
      </c>
    </row>
    <row r="305" spans="1:9" x14ac:dyDescent="0.3">
      <c r="A305">
        <v>302</v>
      </c>
      <c r="B305" s="24">
        <v>43767</v>
      </c>
      <c r="C305" t="s">
        <v>81</v>
      </c>
      <c r="D305" t="s">
        <v>12</v>
      </c>
      <c r="E305" t="s">
        <v>11</v>
      </c>
      <c r="F305">
        <v>900</v>
      </c>
      <c r="G305">
        <v>1</v>
      </c>
      <c r="H305">
        <v>900</v>
      </c>
      <c r="I305">
        <v>765</v>
      </c>
    </row>
    <row r="306" spans="1:9" x14ac:dyDescent="0.3">
      <c r="A306">
        <v>303</v>
      </c>
      <c r="B306" s="24">
        <v>43768</v>
      </c>
      <c r="C306" t="s">
        <v>81</v>
      </c>
      <c r="D306" t="s">
        <v>10</v>
      </c>
      <c r="E306" t="s">
        <v>11</v>
      </c>
      <c r="F306">
        <v>1100</v>
      </c>
      <c r="G306">
        <v>1</v>
      </c>
      <c r="H306">
        <v>1100</v>
      </c>
      <c r="I306">
        <v>1100</v>
      </c>
    </row>
    <row r="307" spans="1:9" x14ac:dyDescent="0.3">
      <c r="A307">
        <v>304</v>
      </c>
      <c r="B307" s="24">
        <v>43769</v>
      </c>
      <c r="C307" t="s">
        <v>81</v>
      </c>
      <c r="D307" t="s">
        <v>18</v>
      </c>
      <c r="E307" t="s">
        <v>17</v>
      </c>
      <c r="F307">
        <v>600</v>
      </c>
      <c r="G307">
        <v>1</v>
      </c>
      <c r="H307">
        <v>600</v>
      </c>
      <c r="I307">
        <v>600</v>
      </c>
    </row>
    <row r="308" spans="1:9" x14ac:dyDescent="0.3">
      <c r="A308">
        <v>305</v>
      </c>
      <c r="B308" s="24">
        <v>43770</v>
      </c>
      <c r="C308" t="s">
        <v>81</v>
      </c>
      <c r="D308" t="s">
        <v>21</v>
      </c>
      <c r="E308" t="s">
        <v>20</v>
      </c>
      <c r="F308">
        <v>1200</v>
      </c>
      <c r="G308">
        <v>1</v>
      </c>
      <c r="H308">
        <v>1200</v>
      </c>
      <c r="I308">
        <v>1200</v>
      </c>
    </row>
    <row r="309" spans="1:9" x14ac:dyDescent="0.3">
      <c r="A309">
        <v>306</v>
      </c>
      <c r="B309" s="24">
        <v>43771</v>
      </c>
      <c r="C309" t="s">
        <v>81</v>
      </c>
      <c r="D309" t="s">
        <v>24</v>
      </c>
      <c r="E309" t="s">
        <v>23</v>
      </c>
      <c r="F309">
        <v>600</v>
      </c>
      <c r="G309">
        <v>1</v>
      </c>
      <c r="H309">
        <v>600</v>
      </c>
      <c r="I309">
        <v>600</v>
      </c>
    </row>
    <row r="310" spans="1:9" x14ac:dyDescent="0.3">
      <c r="A310">
        <v>307</v>
      </c>
      <c r="B310" s="24">
        <v>43772</v>
      </c>
      <c r="C310" t="s">
        <v>81</v>
      </c>
      <c r="D310" t="s">
        <v>10</v>
      </c>
      <c r="E310" t="s">
        <v>11</v>
      </c>
      <c r="F310">
        <v>1100</v>
      </c>
      <c r="G310">
        <v>1</v>
      </c>
      <c r="H310">
        <v>1100</v>
      </c>
      <c r="I310">
        <v>1100</v>
      </c>
    </row>
    <row r="311" spans="1:9" x14ac:dyDescent="0.3">
      <c r="A311">
        <v>308</v>
      </c>
      <c r="B311" s="24">
        <v>43773</v>
      </c>
      <c r="C311" t="s">
        <v>81</v>
      </c>
      <c r="D311" t="s">
        <v>22</v>
      </c>
      <c r="E311" t="s">
        <v>23</v>
      </c>
      <c r="F311">
        <v>500</v>
      </c>
      <c r="G311">
        <v>1</v>
      </c>
      <c r="H311">
        <v>500</v>
      </c>
      <c r="I311">
        <v>500</v>
      </c>
    </row>
    <row r="312" spans="1:9" x14ac:dyDescent="0.3">
      <c r="A312">
        <v>309</v>
      </c>
      <c r="B312" s="24">
        <v>43774</v>
      </c>
      <c r="C312" t="s">
        <v>81</v>
      </c>
      <c r="D312" t="s">
        <v>12</v>
      </c>
      <c r="E312" t="s">
        <v>11</v>
      </c>
      <c r="F312">
        <v>900</v>
      </c>
      <c r="G312">
        <v>1</v>
      </c>
      <c r="H312">
        <v>900</v>
      </c>
      <c r="I312">
        <v>765</v>
      </c>
    </row>
    <row r="313" spans="1:9" x14ac:dyDescent="0.3">
      <c r="A313">
        <v>310</v>
      </c>
      <c r="B313" s="24">
        <v>43775</v>
      </c>
      <c r="C313" t="s">
        <v>81</v>
      </c>
      <c r="D313" t="s">
        <v>19</v>
      </c>
      <c r="E313" t="s">
        <v>20</v>
      </c>
      <c r="F313">
        <v>850</v>
      </c>
      <c r="G313">
        <v>1</v>
      </c>
      <c r="H313">
        <v>850</v>
      </c>
      <c r="I313">
        <v>850</v>
      </c>
    </row>
    <row r="314" spans="1:9" x14ac:dyDescent="0.3">
      <c r="A314">
        <v>311</v>
      </c>
      <c r="B314" s="24">
        <v>43776</v>
      </c>
      <c r="C314" t="s">
        <v>81</v>
      </c>
      <c r="D314" t="s">
        <v>18</v>
      </c>
      <c r="E314" t="s">
        <v>17</v>
      </c>
      <c r="F314">
        <v>600</v>
      </c>
      <c r="G314">
        <v>1</v>
      </c>
      <c r="H314">
        <v>600</v>
      </c>
      <c r="I314">
        <v>600</v>
      </c>
    </row>
    <row r="315" spans="1:9" x14ac:dyDescent="0.3">
      <c r="A315">
        <v>312</v>
      </c>
      <c r="B315" s="24">
        <v>43777</v>
      </c>
      <c r="C315" t="s">
        <v>81</v>
      </c>
      <c r="D315" t="s">
        <v>10</v>
      </c>
      <c r="E315" t="s">
        <v>11</v>
      </c>
      <c r="F315">
        <v>1100</v>
      </c>
      <c r="G315">
        <v>1</v>
      </c>
      <c r="H315">
        <v>1100</v>
      </c>
      <c r="I315">
        <v>1100</v>
      </c>
    </row>
    <row r="316" spans="1:9" x14ac:dyDescent="0.3">
      <c r="A316">
        <v>313</v>
      </c>
      <c r="B316" s="24">
        <v>43778</v>
      </c>
      <c r="C316" t="s">
        <v>81</v>
      </c>
      <c r="D316" t="s">
        <v>22</v>
      </c>
      <c r="E316" t="s">
        <v>23</v>
      </c>
      <c r="F316">
        <v>500</v>
      </c>
      <c r="G316">
        <v>1</v>
      </c>
      <c r="H316">
        <v>500</v>
      </c>
      <c r="I316">
        <v>500</v>
      </c>
    </row>
    <row r="317" spans="1:9" x14ac:dyDescent="0.3">
      <c r="A317">
        <v>314</v>
      </c>
      <c r="B317" s="24">
        <v>43779</v>
      </c>
      <c r="C317" t="s">
        <v>81</v>
      </c>
      <c r="D317" t="s">
        <v>18</v>
      </c>
      <c r="E317" t="s">
        <v>17</v>
      </c>
      <c r="F317">
        <v>600</v>
      </c>
      <c r="G317">
        <v>1</v>
      </c>
      <c r="H317">
        <v>600</v>
      </c>
      <c r="I317">
        <v>600</v>
      </c>
    </row>
    <row r="318" spans="1:9" x14ac:dyDescent="0.3">
      <c r="A318">
        <v>315</v>
      </c>
      <c r="B318" s="24">
        <v>43780</v>
      </c>
      <c r="C318" t="s">
        <v>81</v>
      </c>
      <c r="D318" t="s">
        <v>15</v>
      </c>
      <c r="E318" t="s">
        <v>11</v>
      </c>
      <c r="F318">
        <v>1000</v>
      </c>
      <c r="G318">
        <v>1</v>
      </c>
      <c r="H318">
        <v>1000</v>
      </c>
      <c r="I318">
        <v>1000</v>
      </c>
    </row>
    <row r="319" spans="1:9" x14ac:dyDescent="0.3">
      <c r="A319">
        <v>316</v>
      </c>
      <c r="B319" s="24">
        <v>43781</v>
      </c>
      <c r="C319" t="s">
        <v>80</v>
      </c>
      <c r="D319" t="s">
        <v>18</v>
      </c>
      <c r="E319" t="s">
        <v>17</v>
      </c>
      <c r="F319">
        <v>600</v>
      </c>
      <c r="G319">
        <v>1</v>
      </c>
      <c r="H319">
        <v>600</v>
      </c>
      <c r="I319">
        <v>600</v>
      </c>
    </row>
    <row r="320" spans="1:9" x14ac:dyDescent="0.3">
      <c r="A320">
        <v>317</v>
      </c>
      <c r="B320" s="24">
        <v>43782</v>
      </c>
      <c r="C320" t="s">
        <v>80</v>
      </c>
      <c r="D320" t="s">
        <v>10</v>
      </c>
      <c r="E320" t="s">
        <v>11</v>
      </c>
      <c r="F320">
        <v>1100</v>
      </c>
      <c r="G320">
        <v>1</v>
      </c>
      <c r="H320">
        <v>1100</v>
      </c>
      <c r="I320">
        <v>1100</v>
      </c>
    </row>
    <row r="321" spans="1:9" x14ac:dyDescent="0.3">
      <c r="A321">
        <v>318</v>
      </c>
      <c r="B321" s="24">
        <v>43783</v>
      </c>
      <c r="C321" t="s">
        <v>80</v>
      </c>
      <c r="D321" t="s">
        <v>22</v>
      </c>
      <c r="E321" t="s">
        <v>23</v>
      </c>
      <c r="F321">
        <v>500</v>
      </c>
      <c r="G321">
        <v>1</v>
      </c>
      <c r="H321">
        <v>500</v>
      </c>
      <c r="I321">
        <v>500</v>
      </c>
    </row>
    <row r="322" spans="1:9" x14ac:dyDescent="0.3">
      <c r="A322">
        <v>319</v>
      </c>
      <c r="B322" s="24">
        <v>43784</v>
      </c>
      <c r="C322" t="s">
        <v>80</v>
      </c>
      <c r="D322" t="s">
        <v>10</v>
      </c>
      <c r="E322" t="s">
        <v>11</v>
      </c>
      <c r="F322">
        <v>1100</v>
      </c>
      <c r="G322">
        <v>2</v>
      </c>
      <c r="H322">
        <v>2200</v>
      </c>
      <c r="I322">
        <v>2200</v>
      </c>
    </row>
    <row r="323" spans="1:9" x14ac:dyDescent="0.3">
      <c r="A323">
        <v>320</v>
      </c>
      <c r="B323" s="24">
        <v>43785</v>
      </c>
      <c r="C323" t="s">
        <v>80</v>
      </c>
      <c r="D323" t="s">
        <v>18</v>
      </c>
      <c r="E323" t="s">
        <v>17</v>
      </c>
      <c r="F323">
        <v>600</v>
      </c>
      <c r="G323">
        <v>1</v>
      </c>
      <c r="H323">
        <v>600</v>
      </c>
      <c r="I323">
        <v>600</v>
      </c>
    </row>
    <row r="324" spans="1:9" x14ac:dyDescent="0.3">
      <c r="A324">
        <v>321</v>
      </c>
      <c r="B324" s="24">
        <v>43786</v>
      </c>
      <c r="C324" t="s">
        <v>80</v>
      </c>
      <c r="D324" t="s">
        <v>16</v>
      </c>
      <c r="E324" t="s">
        <v>17</v>
      </c>
      <c r="F324">
        <v>800</v>
      </c>
      <c r="G324">
        <v>1</v>
      </c>
      <c r="H324">
        <v>800</v>
      </c>
      <c r="I324">
        <v>800</v>
      </c>
    </row>
    <row r="325" spans="1:9" x14ac:dyDescent="0.3">
      <c r="A325">
        <v>322</v>
      </c>
      <c r="B325" s="24">
        <v>43787</v>
      </c>
      <c r="C325" t="s">
        <v>80</v>
      </c>
      <c r="D325" t="s">
        <v>14</v>
      </c>
      <c r="E325" t="s">
        <v>11</v>
      </c>
      <c r="F325">
        <v>900</v>
      </c>
      <c r="G325">
        <v>1</v>
      </c>
      <c r="H325">
        <v>900</v>
      </c>
      <c r="I325">
        <v>900</v>
      </c>
    </row>
    <row r="326" spans="1:9" x14ac:dyDescent="0.3">
      <c r="A326">
        <v>323</v>
      </c>
      <c r="B326" s="24">
        <v>43788</v>
      </c>
      <c r="C326" t="s">
        <v>80</v>
      </c>
      <c r="D326" t="s">
        <v>24</v>
      </c>
      <c r="E326" t="s">
        <v>23</v>
      </c>
      <c r="F326">
        <v>600</v>
      </c>
      <c r="G326">
        <v>1</v>
      </c>
      <c r="H326">
        <v>600</v>
      </c>
      <c r="I326">
        <v>600</v>
      </c>
    </row>
    <row r="327" spans="1:9" x14ac:dyDescent="0.3">
      <c r="A327">
        <v>324</v>
      </c>
      <c r="B327" s="24">
        <v>43789</v>
      </c>
      <c r="C327" t="s">
        <v>80</v>
      </c>
      <c r="D327" t="s">
        <v>10</v>
      </c>
      <c r="E327" t="s">
        <v>11</v>
      </c>
      <c r="F327">
        <v>1100</v>
      </c>
      <c r="G327">
        <v>2</v>
      </c>
      <c r="H327">
        <v>2200</v>
      </c>
      <c r="I327">
        <v>2200</v>
      </c>
    </row>
    <row r="328" spans="1:9" x14ac:dyDescent="0.3">
      <c r="A328">
        <v>325</v>
      </c>
      <c r="B328" s="24">
        <v>43790</v>
      </c>
      <c r="C328" t="s">
        <v>81</v>
      </c>
      <c r="D328" t="s">
        <v>18</v>
      </c>
      <c r="E328" t="s">
        <v>17</v>
      </c>
      <c r="F328">
        <v>600</v>
      </c>
      <c r="G328">
        <v>1</v>
      </c>
      <c r="H328">
        <v>600</v>
      </c>
      <c r="I328">
        <v>600</v>
      </c>
    </row>
    <row r="329" spans="1:9" x14ac:dyDescent="0.3">
      <c r="A329">
        <v>326</v>
      </c>
      <c r="B329" s="24">
        <v>43791</v>
      </c>
      <c r="C329" t="s">
        <v>81</v>
      </c>
      <c r="D329" t="s">
        <v>10</v>
      </c>
      <c r="E329" t="s">
        <v>11</v>
      </c>
      <c r="F329">
        <v>1100</v>
      </c>
      <c r="G329">
        <v>1</v>
      </c>
      <c r="H329">
        <v>1100</v>
      </c>
      <c r="I329">
        <v>1100</v>
      </c>
    </row>
    <row r="330" spans="1:9" x14ac:dyDescent="0.3">
      <c r="A330">
        <v>327</v>
      </c>
      <c r="B330" s="24">
        <v>43792</v>
      </c>
      <c r="C330" t="s">
        <v>81</v>
      </c>
      <c r="D330" t="s">
        <v>15</v>
      </c>
      <c r="E330" t="s">
        <v>11</v>
      </c>
      <c r="F330">
        <v>1000</v>
      </c>
      <c r="G330">
        <v>1</v>
      </c>
      <c r="H330">
        <v>1000</v>
      </c>
      <c r="I330">
        <v>1000</v>
      </c>
    </row>
    <row r="331" spans="1:9" x14ac:dyDescent="0.3">
      <c r="A331">
        <v>328</v>
      </c>
      <c r="B331" s="24">
        <v>43793</v>
      </c>
      <c r="C331" t="s">
        <v>81</v>
      </c>
      <c r="D331" t="s">
        <v>10</v>
      </c>
      <c r="E331" t="s">
        <v>11</v>
      </c>
      <c r="F331">
        <v>1100</v>
      </c>
      <c r="G331">
        <v>1</v>
      </c>
      <c r="H331">
        <v>1100</v>
      </c>
      <c r="I331">
        <v>1100</v>
      </c>
    </row>
    <row r="332" spans="1:9" x14ac:dyDescent="0.3">
      <c r="A332">
        <v>329</v>
      </c>
      <c r="B332" s="24">
        <v>43794</v>
      </c>
      <c r="C332" t="s">
        <v>81</v>
      </c>
      <c r="D332" t="s">
        <v>21</v>
      </c>
      <c r="E332" t="s">
        <v>20</v>
      </c>
      <c r="F332">
        <v>1200</v>
      </c>
      <c r="G332">
        <v>1</v>
      </c>
      <c r="H332">
        <v>1200</v>
      </c>
      <c r="I332">
        <v>1200</v>
      </c>
    </row>
    <row r="333" spans="1:9" x14ac:dyDescent="0.3">
      <c r="A333">
        <v>330</v>
      </c>
      <c r="B333" s="24">
        <v>43795</v>
      </c>
      <c r="C333" t="s">
        <v>81</v>
      </c>
      <c r="D333" t="s">
        <v>14</v>
      </c>
      <c r="E333" t="s">
        <v>11</v>
      </c>
      <c r="F333">
        <v>900</v>
      </c>
      <c r="G333">
        <v>1</v>
      </c>
      <c r="H333">
        <v>900</v>
      </c>
      <c r="I333">
        <v>900</v>
      </c>
    </row>
    <row r="334" spans="1:9" x14ac:dyDescent="0.3">
      <c r="A334">
        <v>331</v>
      </c>
      <c r="B334" s="24">
        <v>43796</v>
      </c>
      <c r="C334" t="s">
        <v>81</v>
      </c>
      <c r="D334" t="s">
        <v>24</v>
      </c>
      <c r="E334" t="s">
        <v>23</v>
      </c>
      <c r="F334">
        <v>600</v>
      </c>
      <c r="G334">
        <v>1</v>
      </c>
      <c r="H334">
        <v>600</v>
      </c>
      <c r="I334">
        <v>600</v>
      </c>
    </row>
    <row r="335" spans="1:9" x14ac:dyDescent="0.3">
      <c r="A335">
        <v>332</v>
      </c>
      <c r="B335" s="24">
        <v>43797</v>
      </c>
      <c r="C335" t="s">
        <v>81</v>
      </c>
      <c r="D335" t="s">
        <v>10</v>
      </c>
      <c r="E335" t="s">
        <v>11</v>
      </c>
      <c r="F335">
        <v>1100</v>
      </c>
      <c r="G335">
        <v>2</v>
      </c>
      <c r="H335">
        <v>2200</v>
      </c>
      <c r="I335">
        <v>2200</v>
      </c>
    </row>
    <row r="336" spans="1:9" x14ac:dyDescent="0.3">
      <c r="A336">
        <v>333</v>
      </c>
      <c r="B336" s="24">
        <v>43798</v>
      </c>
      <c r="C336" t="s">
        <v>81</v>
      </c>
      <c r="D336" t="s">
        <v>15</v>
      </c>
      <c r="E336" t="s">
        <v>11</v>
      </c>
      <c r="F336">
        <v>1000</v>
      </c>
      <c r="G336">
        <v>1</v>
      </c>
      <c r="H336">
        <v>1000</v>
      </c>
      <c r="I336">
        <v>1000</v>
      </c>
    </row>
    <row r="337" spans="1:9" x14ac:dyDescent="0.3">
      <c r="A337">
        <v>334</v>
      </c>
      <c r="B337" s="24">
        <v>43799</v>
      </c>
      <c r="C337" t="s">
        <v>81</v>
      </c>
      <c r="D337" t="s">
        <v>15</v>
      </c>
      <c r="E337" t="s">
        <v>11</v>
      </c>
      <c r="F337">
        <v>1000</v>
      </c>
      <c r="G337">
        <v>1</v>
      </c>
      <c r="H337">
        <v>1000</v>
      </c>
      <c r="I337">
        <v>1000</v>
      </c>
    </row>
    <row r="338" spans="1:9" x14ac:dyDescent="0.3">
      <c r="A338">
        <v>335</v>
      </c>
      <c r="B338" s="24">
        <v>43800</v>
      </c>
      <c r="C338" t="s">
        <v>81</v>
      </c>
      <c r="D338" t="s">
        <v>22</v>
      </c>
      <c r="E338" t="s">
        <v>23</v>
      </c>
      <c r="F338">
        <v>500</v>
      </c>
      <c r="G338">
        <v>1</v>
      </c>
      <c r="H338">
        <v>500</v>
      </c>
      <c r="I338">
        <v>500</v>
      </c>
    </row>
    <row r="339" spans="1:9" x14ac:dyDescent="0.3">
      <c r="A339">
        <v>336</v>
      </c>
      <c r="B339" s="24">
        <v>43801</v>
      </c>
      <c r="C339" t="s">
        <v>81</v>
      </c>
      <c r="D339" t="s">
        <v>15</v>
      </c>
      <c r="E339" t="s">
        <v>11</v>
      </c>
      <c r="F339">
        <v>1000</v>
      </c>
      <c r="G339">
        <v>1</v>
      </c>
      <c r="H339">
        <v>1000</v>
      </c>
      <c r="I339">
        <v>1000</v>
      </c>
    </row>
    <row r="340" spans="1:9" x14ac:dyDescent="0.3">
      <c r="A340">
        <v>337</v>
      </c>
      <c r="B340" s="24">
        <v>43802</v>
      </c>
      <c r="C340" t="s">
        <v>81</v>
      </c>
      <c r="D340" t="s">
        <v>21</v>
      </c>
      <c r="E340" t="s">
        <v>20</v>
      </c>
      <c r="F340">
        <v>1200</v>
      </c>
      <c r="G340">
        <v>1</v>
      </c>
      <c r="H340">
        <v>1200</v>
      </c>
      <c r="I340">
        <v>1200</v>
      </c>
    </row>
    <row r="341" spans="1:9" x14ac:dyDescent="0.3">
      <c r="A341">
        <v>338</v>
      </c>
      <c r="B341" s="24">
        <v>43803</v>
      </c>
      <c r="C341" t="s">
        <v>81</v>
      </c>
      <c r="D341" t="s">
        <v>21</v>
      </c>
      <c r="E341" t="s">
        <v>20</v>
      </c>
      <c r="F341">
        <v>1000</v>
      </c>
      <c r="G341">
        <v>1</v>
      </c>
      <c r="H341">
        <v>1000</v>
      </c>
      <c r="I341">
        <v>1000</v>
      </c>
    </row>
    <row r="342" spans="1:9" x14ac:dyDescent="0.3">
      <c r="A342">
        <v>339</v>
      </c>
      <c r="B342" s="24">
        <v>43804</v>
      </c>
      <c r="C342" t="s">
        <v>81</v>
      </c>
      <c r="D342" t="s">
        <v>12</v>
      </c>
      <c r="E342" t="s">
        <v>11</v>
      </c>
      <c r="F342">
        <v>1000</v>
      </c>
      <c r="G342">
        <v>1</v>
      </c>
      <c r="H342">
        <v>1000</v>
      </c>
      <c r="I342">
        <v>850</v>
      </c>
    </row>
    <row r="343" spans="1:9" x14ac:dyDescent="0.3">
      <c r="A343">
        <v>340</v>
      </c>
      <c r="B343" s="24">
        <v>43805</v>
      </c>
      <c r="C343" t="s">
        <v>81</v>
      </c>
      <c r="D343" t="s">
        <v>15</v>
      </c>
      <c r="E343" t="s">
        <v>11</v>
      </c>
      <c r="F343">
        <v>1000</v>
      </c>
      <c r="G343">
        <v>1</v>
      </c>
      <c r="H343">
        <v>1000</v>
      </c>
      <c r="I343">
        <v>1000</v>
      </c>
    </row>
    <row r="344" spans="1:9" x14ac:dyDescent="0.3">
      <c r="A344">
        <v>341</v>
      </c>
      <c r="B344" s="24">
        <v>43806</v>
      </c>
      <c r="C344" t="s">
        <v>81</v>
      </c>
      <c r="D344" t="s">
        <v>18</v>
      </c>
      <c r="E344" t="s">
        <v>17</v>
      </c>
      <c r="F344">
        <v>650</v>
      </c>
      <c r="G344">
        <v>1</v>
      </c>
      <c r="H344">
        <v>650</v>
      </c>
      <c r="I344">
        <v>650</v>
      </c>
    </row>
    <row r="345" spans="1:9" x14ac:dyDescent="0.3">
      <c r="A345">
        <v>342</v>
      </c>
      <c r="B345" s="24">
        <v>43807</v>
      </c>
      <c r="C345" t="s">
        <v>81</v>
      </c>
      <c r="D345" t="s">
        <v>18</v>
      </c>
      <c r="E345" t="s">
        <v>17</v>
      </c>
      <c r="F345">
        <v>650</v>
      </c>
      <c r="G345">
        <v>1</v>
      </c>
      <c r="H345">
        <v>650</v>
      </c>
      <c r="I345">
        <v>650</v>
      </c>
    </row>
    <row r="346" spans="1:9" x14ac:dyDescent="0.3">
      <c r="A346">
        <v>343</v>
      </c>
      <c r="B346" s="24">
        <v>43808</v>
      </c>
      <c r="C346" t="s">
        <v>81</v>
      </c>
      <c r="D346" t="s">
        <v>15</v>
      </c>
      <c r="E346" t="s">
        <v>11</v>
      </c>
      <c r="F346">
        <v>1000</v>
      </c>
      <c r="G346">
        <v>1</v>
      </c>
      <c r="H346">
        <v>1000</v>
      </c>
      <c r="I346">
        <v>1000</v>
      </c>
    </row>
    <row r="347" spans="1:9" x14ac:dyDescent="0.3">
      <c r="A347">
        <v>344</v>
      </c>
      <c r="B347" s="24">
        <v>43809</v>
      </c>
      <c r="C347" t="s">
        <v>81</v>
      </c>
      <c r="D347" t="s">
        <v>14</v>
      </c>
      <c r="E347" t="s">
        <v>11</v>
      </c>
      <c r="F347">
        <v>900</v>
      </c>
      <c r="G347">
        <v>2</v>
      </c>
      <c r="H347">
        <v>1800</v>
      </c>
      <c r="I347">
        <v>1800</v>
      </c>
    </row>
    <row r="348" spans="1:9" x14ac:dyDescent="0.3">
      <c r="A348">
        <v>345</v>
      </c>
      <c r="B348" s="24">
        <v>43810</v>
      </c>
      <c r="C348" t="s">
        <v>81</v>
      </c>
      <c r="D348" t="s">
        <v>10</v>
      </c>
      <c r="E348" t="s">
        <v>11</v>
      </c>
      <c r="F348">
        <v>1100</v>
      </c>
      <c r="G348">
        <v>2</v>
      </c>
      <c r="H348">
        <v>2200</v>
      </c>
      <c r="I348">
        <v>2200</v>
      </c>
    </row>
    <row r="349" spans="1:9" x14ac:dyDescent="0.3">
      <c r="A349">
        <v>346</v>
      </c>
      <c r="B349" s="24">
        <v>43811</v>
      </c>
      <c r="C349" t="s">
        <v>80</v>
      </c>
      <c r="D349" t="s">
        <v>14</v>
      </c>
      <c r="E349" t="s">
        <v>11</v>
      </c>
      <c r="F349">
        <v>900</v>
      </c>
      <c r="G349">
        <v>2</v>
      </c>
      <c r="H349">
        <v>1800</v>
      </c>
      <c r="I349">
        <v>1800</v>
      </c>
    </row>
    <row r="350" spans="1:9" x14ac:dyDescent="0.3">
      <c r="A350">
        <v>347</v>
      </c>
      <c r="B350" s="24">
        <v>43812</v>
      </c>
      <c r="C350" t="s">
        <v>81</v>
      </c>
      <c r="D350" t="s">
        <v>22</v>
      </c>
      <c r="E350" t="s">
        <v>23</v>
      </c>
      <c r="F350">
        <v>800</v>
      </c>
      <c r="G350">
        <v>1</v>
      </c>
      <c r="H350">
        <v>800</v>
      </c>
      <c r="I350">
        <v>800</v>
      </c>
    </row>
    <row r="351" spans="1:9" x14ac:dyDescent="0.3">
      <c r="A351">
        <v>348</v>
      </c>
      <c r="B351" s="24">
        <v>43813</v>
      </c>
      <c r="C351" t="s">
        <v>81</v>
      </c>
      <c r="D351" t="s">
        <v>10</v>
      </c>
      <c r="E351" t="s">
        <v>11</v>
      </c>
      <c r="F351">
        <v>1100</v>
      </c>
      <c r="G351">
        <v>1</v>
      </c>
      <c r="H351">
        <v>1100</v>
      </c>
      <c r="I351">
        <v>1100</v>
      </c>
    </row>
    <row r="352" spans="1:9" x14ac:dyDescent="0.3">
      <c r="A352">
        <v>349</v>
      </c>
      <c r="B352" s="24">
        <v>43814</v>
      </c>
      <c r="C352" t="s">
        <v>81</v>
      </c>
      <c r="D352" t="s">
        <v>24</v>
      </c>
      <c r="E352" t="s">
        <v>23</v>
      </c>
      <c r="F352">
        <v>600</v>
      </c>
      <c r="G352">
        <v>1</v>
      </c>
      <c r="H352">
        <v>600</v>
      </c>
      <c r="I352">
        <v>600</v>
      </c>
    </row>
    <row r="353" spans="1:9" x14ac:dyDescent="0.3">
      <c r="A353">
        <v>350</v>
      </c>
      <c r="B353" s="24">
        <v>43815</v>
      </c>
      <c r="C353" t="s">
        <v>80</v>
      </c>
      <c r="D353" t="s">
        <v>10</v>
      </c>
      <c r="E353" t="s">
        <v>11</v>
      </c>
      <c r="F353">
        <v>1100</v>
      </c>
      <c r="G353">
        <v>3</v>
      </c>
      <c r="H353">
        <v>3300</v>
      </c>
      <c r="I353">
        <v>3300</v>
      </c>
    </row>
    <row r="354" spans="1:9" x14ac:dyDescent="0.3">
      <c r="A354">
        <v>351</v>
      </c>
      <c r="B354" s="24">
        <v>43816</v>
      </c>
      <c r="C354" t="s">
        <v>80</v>
      </c>
      <c r="D354" t="s">
        <v>19</v>
      </c>
      <c r="E354" t="s">
        <v>20</v>
      </c>
      <c r="F354">
        <v>850</v>
      </c>
      <c r="G354">
        <v>1</v>
      </c>
      <c r="H354">
        <v>850</v>
      </c>
      <c r="I354">
        <v>850</v>
      </c>
    </row>
    <row r="355" spans="1:9" x14ac:dyDescent="0.3">
      <c r="A355">
        <v>352</v>
      </c>
      <c r="B355" s="24">
        <v>43817</v>
      </c>
      <c r="C355" t="s">
        <v>80</v>
      </c>
      <c r="D355" t="s">
        <v>24</v>
      </c>
      <c r="E355" t="s">
        <v>23</v>
      </c>
      <c r="F355">
        <v>600</v>
      </c>
      <c r="G355">
        <v>1</v>
      </c>
      <c r="H355">
        <v>600</v>
      </c>
      <c r="I355">
        <v>600</v>
      </c>
    </row>
    <row r="356" spans="1:9" x14ac:dyDescent="0.3">
      <c r="A356">
        <v>353</v>
      </c>
      <c r="B356" s="24">
        <v>43818</v>
      </c>
      <c r="C356" t="s">
        <v>80</v>
      </c>
      <c r="D356" t="s">
        <v>24</v>
      </c>
      <c r="E356" t="s">
        <v>23</v>
      </c>
      <c r="F356">
        <v>600</v>
      </c>
      <c r="G356">
        <v>1</v>
      </c>
      <c r="H356">
        <v>600</v>
      </c>
      <c r="I356">
        <v>600</v>
      </c>
    </row>
    <row r="357" spans="1:9" x14ac:dyDescent="0.3">
      <c r="A357">
        <v>354</v>
      </c>
      <c r="B357" s="24">
        <v>43819</v>
      </c>
      <c r="C357" t="s">
        <v>81</v>
      </c>
      <c r="D357" t="s">
        <v>10</v>
      </c>
      <c r="E357" t="s">
        <v>11</v>
      </c>
      <c r="F357">
        <v>1100</v>
      </c>
      <c r="G357">
        <v>1</v>
      </c>
      <c r="H357">
        <v>1100</v>
      </c>
      <c r="I357">
        <v>1100</v>
      </c>
    </row>
    <row r="358" spans="1:9" x14ac:dyDescent="0.3">
      <c r="A358">
        <v>355</v>
      </c>
      <c r="B358" s="24">
        <v>43820</v>
      </c>
      <c r="C358" t="s">
        <v>81</v>
      </c>
      <c r="D358" t="s">
        <v>15</v>
      </c>
      <c r="E358" t="s">
        <v>11</v>
      </c>
      <c r="F358">
        <v>1000</v>
      </c>
      <c r="G358">
        <v>1</v>
      </c>
      <c r="H358">
        <v>1000</v>
      </c>
      <c r="I358">
        <v>1000</v>
      </c>
    </row>
    <row r="359" spans="1:9" x14ac:dyDescent="0.3">
      <c r="A359">
        <v>356</v>
      </c>
      <c r="B359" s="24">
        <v>43821</v>
      </c>
      <c r="C359" t="s">
        <v>81</v>
      </c>
      <c r="D359" t="s">
        <v>14</v>
      </c>
      <c r="E359" t="s">
        <v>11</v>
      </c>
      <c r="F359">
        <v>900</v>
      </c>
      <c r="G359">
        <v>1</v>
      </c>
      <c r="H359">
        <v>900</v>
      </c>
      <c r="I359">
        <v>900</v>
      </c>
    </row>
    <row r="360" spans="1:9" x14ac:dyDescent="0.3">
      <c r="A360">
        <v>357</v>
      </c>
      <c r="B360" s="24">
        <v>43822</v>
      </c>
      <c r="C360" t="s">
        <v>81</v>
      </c>
      <c r="D360" t="s">
        <v>24</v>
      </c>
      <c r="E360" t="s">
        <v>23</v>
      </c>
      <c r="F360">
        <v>600</v>
      </c>
      <c r="G360">
        <v>1</v>
      </c>
      <c r="H360">
        <v>600</v>
      </c>
      <c r="I360">
        <v>600</v>
      </c>
    </row>
    <row r="361" spans="1:9" x14ac:dyDescent="0.3">
      <c r="A361">
        <v>358</v>
      </c>
      <c r="B361" s="24">
        <v>43823</v>
      </c>
      <c r="C361" t="s">
        <v>81</v>
      </c>
      <c r="D361" t="s">
        <v>14</v>
      </c>
      <c r="E361" t="s">
        <v>11</v>
      </c>
      <c r="F361">
        <v>900</v>
      </c>
      <c r="G361">
        <v>1</v>
      </c>
      <c r="H361">
        <v>900</v>
      </c>
      <c r="I361">
        <v>900</v>
      </c>
    </row>
    <row r="362" spans="1:9" x14ac:dyDescent="0.3">
      <c r="A362">
        <v>359</v>
      </c>
      <c r="B362" s="24">
        <v>43824</v>
      </c>
      <c r="C362" t="s">
        <v>81</v>
      </c>
      <c r="D362" t="s">
        <v>18</v>
      </c>
      <c r="E362" t="s">
        <v>17</v>
      </c>
      <c r="F362">
        <v>600</v>
      </c>
      <c r="G362">
        <v>1</v>
      </c>
      <c r="H362">
        <v>600</v>
      </c>
      <c r="I362">
        <v>600</v>
      </c>
    </row>
    <row r="363" spans="1:9" x14ac:dyDescent="0.3">
      <c r="A363">
        <v>360</v>
      </c>
      <c r="B363" s="24">
        <v>43825</v>
      </c>
      <c r="C363" t="s">
        <v>81</v>
      </c>
      <c r="D363" t="s">
        <v>12</v>
      </c>
      <c r="E363" t="s">
        <v>11</v>
      </c>
      <c r="F363">
        <v>900</v>
      </c>
      <c r="G363">
        <v>1</v>
      </c>
      <c r="H363">
        <v>900</v>
      </c>
      <c r="I363">
        <v>765</v>
      </c>
    </row>
    <row r="364" spans="1:9" x14ac:dyDescent="0.3">
      <c r="A364">
        <v>361</v>
      </c>
      <c r="B364" s="24">
        <v>43826</v>
      </c>
      <c r="C364" t="s">
        <v>81</v>
      </c>
      <c r="D364" t="s">
        <v>18</v>
      </c>
      <c r="E364" t="s">
        <v>17</v>
      </c>
      <c r="F364">
        <v>600</v>
      </c>
      <c r="G364">
        <v>1</v>
      </c>
      <c r="H364">
        <v>600</v>
      </c>
      <c r="I364">
        <v>600</v>
      </c>
    </row>
    <row r="365" spans="1:9" x14ac:dyDescent="0.3">
      <c r="A365">
        <v>362</v>
      </c>
      <c r="B365" s="24">
        <v>43827</v>
      </c>
      <c r="C365" t="s">
        <v>81</v>
      </c>
      <c r="D365" t="s">
        <v>14</v>
      </c>
      <c r="E365" t="s">
        <v>11</v>
      </c>
      <c r="F365">
        <v>900</v>
      </c>
      <c r="G365">
        <v>1</v>
      </c>
      <c r="H365">
        <v>900</v>
      </c>
      <c r="I365">
        <v>900</v>
      </c>
    </row>
    <row r="366" spans="1:9" x14ac:dyDescent="0.3">
      <c r="A366">
        <v>363</v>
      </c>
      <c r="B366" s="24">
        <v>43828</v>
      </c>
      <c r="C366" t="s">
        <v>81</v>
      </c>
      <c r="D366" t="s">
        <v>24</v>
      </c>
      <c r="E366" t="s">
        <v>23</v>
      </c>
      <c r="F366">
        <v>600</v>
      </c>
      <c r="G366">
        <v>1</v>
      </c>
      <c r="H366">
        <v>600</v>
      </c>
      <c r="I366">
        <v>600</v>
      </c>
    </row>
    <row r="367" spans="1:9" x14ac:dyDescent="0.3">
      <c r="A367">
        <v>364</v>
      </c>
      <c r="B367" s="24">
        <v>43829</v>
      </c>
      <c r="C367" t="s">
        <v>81</v>
      </c>
      <c r="D367" t="s">
        <v>10</v>
      </c>
      <c r="E367" t="s">
        <v>11</v>
      </c>
      <c r="F367">
        <v>1100</v>
      </c>
      <c r="G367">
        <v>2</v>
      </c>
      <c r="H367">
        <v>2200</v>
      </c>
      <c r="I367">
        <v>2200</v>
      </c>
    </row>
    <row r="368" spans="1:9" x14ac:dyDescent="0.3">
      <c r="A368">
        <v>365</v>
      </c>
      <c r="B368" s="24">
        <v>43830</v>
      </c>
      <c r="C368" t="s">
        <v>81</v>
      </c>
      <c r="D368" t="s">
        <v>10</v>
      </c>
      <c r="E368" t="s">
        <v>11</v>
      </c>
      <c r="F368">
        <v>1100</v>
      </c>
      <c r="G368">
        <v>1</v>
      </c>
      <c r="H368">
        <v>1100</v>
      </c>
      <c r="I368">
        <v>1100</v>
      </c>
    </row>
    <row r="369" spans="1:9" x14ac:dyDescent="0.3">
      <c r="A369">
        <v>366</v>
      </c>
      <c r="B369" s="24">
        <v>43831</v>
      </c>
      <c r="C369" t="s">
        <v>81</v>
      </c>
      <c r="D369" t="s">
        <v>10</v>
      </c>
      <c r="E369" t="s">
        <v>11</v>
      </c>
      <c r="F369">
        <v>1100</v>
      </c>
      <c r="G369">
        <v>1</v>
      </c>
      <c r="H369">
        <v>1100</v>
      </c>
      <c r="I369">
        <v>1100</v>
      </c>
    </row>
    <row r="370" spans="1:9" x14ac:dyDescent="0.3">
      <c r="A370">
        <v>367</v>
      </c>
      <c r="B370" s="24">
        <v>43832</v>
      </c>
      <c r="C370" t="s">
        <v>81</v>
      </c>
      <c r="D370" t="s">
        <v>18</v>
      </c>
      <c r="E370" t="s">
        <v>17</v>
      </c>
      <c r="F370">
        <v>600</v>
      </c>
      <c r="G370">
        <v>2</v>
      </c>
      <c r="H370">
        <v>1200</v>
      </c>
      <c r="I370">
        <v>1200</v>
      </c>
    </row>
    <row r="371" spans="1:9" x14ac:dyDescent="0.3">
      <c r="A371">
        <v>368</v>
      </c>
      <c r="B371" s="24">
        <v>43833</v>
      </c>
      <c r="C371" t="s">
        <v>81</v>
      </c>
      <c r="D371" t="s">
        <v>10</v>
      </c>
      <c r="E371" t="s">
        <v>11</v>
      </c>
      <c r="F371">
        <v>1100</v>
      </c>
      <c r="G371">
        <v>1</v>
      </c>
      <c r="H371">
        <v>1100</v>
      </c>
      <c r="I371">
        <v>1100</v>
      </c>
    </row>
    <row r="372" spans="1:9" x14ac:dyDescent="0.3">
      <c r="A372">
        <v>369</v>
      </c>
      <c r="B372" s="24">
        <v>43834</v>
      </c>
      <c r="C372" t="s">
        <v>81</v>
      </c>
      <c r="D372" t="s">
        <v>24</v>
      </c>
      <c r="E372" t="s">
        <v>23</v>
      </c>
      <c r="F372">
        <v>600</v>
      </c>
      <c r="G372">
        <v>1</v>
      </c>
      <c r="H372">
        <v>600</v>
      </c>
      <c r="I372">
        <v>600</v>
      </c>
    </row>
    <row r="373" spans="1:9" x14ac:dyDescent="0.3">
      <c r="A373">
        <v>370</v>
      </c>
      <c r="B373" s="24">
        <v>43835</v>
      </c>
      <c r="C373" t="s">
        <v>81</v>
      </c>
      <c r="D373" t="s">
        <v>10</v>
      </c>
      <c r="E373" t="s">
        <v>11</v>
      </c>
      <c r="F373">
        <v>1100</v>
      </c>
      <c r="G373">
        <v>1</v>
      </c>
      <c r="H373">
        <v>1100</v>
      </c>
      <c r="I373">
        <v>1100</v>
      </c>
    </row>
    <row r="374" spans="1:9" x14ac:dyDescent="0.3">
      <c r="A374">
        <v>371</v>
      </c>
      <c r="B374" s="24">
        <v>43836</v>
      </c>
      <c r="C374" t="s">
        <v>80</v>
      </c>
      <c r="D374" t="s">
        <v>18</v>
      </c>
      <c r="E374" t="s">
        <v>17</v>
      </c>
      <c r="F374">
        <v>600</v>
      </c>
      <c r="G374">
        <v>1</v>
      </c>
      <c r="H374">
        <v>600</v>
      </c>
      <c r="I374">
        <v>600</v>
      </c>
    </row>
    <row r="375" spans="1:9" x14ac:dyDescent="0.3">
      <c r="A375">
        <v>372</v>
      </c>
      <c r="B375" s="24">
        <v>43837</v>
      </c>
      <c r="C375" t="s">
        <v>80</v>
      </c>
      <c r="D375" t="s">
        <v>10</v>
      </c>
      <c r="E375" t="s">
        <v>11</v>
      </c>
      <c r="F375">
        <v>1100</v>
      </c>
      <c r="G375">
        <v>1</v>
      </c>
      <c r="H375">
        <v>1100</v>
      </c>
      <c r="I375">
        <v>1100</v>
      </c>
    </row>
    <row r="376" spans="1:9" x14ac:dyDescent="0.3">
      <c r="A376">
        <v>373</v>
      </c>
      <c r="B376" s="24">
        <v>43838</v>
      </c>
      <c r="C376" t="s">
        <v>80</v>
      </c>
      <c r="D376" t="s">
        <v>14</v>
      </c>
      <c r="E376" t="s">
        <v>11</v>
      </c>
      <c r="F376">
        <v>900</v>
      </c>
      <c r="G376">
        <v>1</v>
      </c>
      <c r="H376">
        <v>900</v>
      </c>
      <c r="I376">
        <v>900</v>
      </c>
    </row>
    <row r="377" spans="1:9" x14ac:dyDescent="0.3">
      <c r="A377">
        <v>374</v>
      </c>
      <c r="B377" s="24">
        <v>43839</v>
      </c>
      <c r="C377" t="s">
        <v>80</v>
      </c>
      <c r="D377" t="s">
        <v>21</v>
      </c>
      <c r="E377" t="s">
        <v>20</v>
      </c>
      <c r="F377">
        <v>1200</v>
      </c>
      <c r="G377">
        <v>1</v>
      </c>
      <c r="H377">
        <v>1200</v>
      </c>
      <c r="I377">
        <v>1200</v>
      </c>
    </row>
    <row r="378" spans="1:9" x14ac:dyDescent="0.3">
      <c r="A378">
        <v>375</v>
      </c>
      <c r="B378" s="24">
        <v>43840</v>
      </c>
      <c r="C378" t="s">
        <v>80</v>
      </c>
      <c r="D378" t="s">
        <v>22</v>
      </c>
      <c r="E378" t="s">
        <v>23</v>
      </c>
      <c r="F378">
        <v>500</v>
      </c>
      <c r="G378">
        <v>1</v>
      </c>
      <c r="H378">
        <v>500</v>
      </c>
      <c r="I378">
        <v>500</v>
      </c>
    </row>
    <row r="379" spans="1:9" x14ac:dyDescent="0.3">
      <c r="A379">
        <v>376</v>
      </c>
      <c r="B379" s="24">
        <v>43841</v>
      </c>
      <c r="C379" t="s">
        <v>80</v>
      </c>
      <c r="D379" t="s">
        <v>18</v>
      </c>
      <c r="E379" t="s">
        <v>17</v>
      </c>
      <c r="F379">
        <v>600</v>
      </c>
      <c r="G379">
        <v>1</v>
      </c>
      <c r="H379">
        <v>600</v>
      </c>
      <c r="I379">
        <v>600</v>
      </c>
    </row>
    <row r="380" spans="1:9" x14ac:dyDescent="0.3">
      <c r="A380">
        <v>377</v>
      </c>
      <c r="B380" s="24">
        <v>43842</v>
      </c>
      <c r="C380" t="s">
        <v>80</v>
      </c>
      <c r="D380" t="s">
        <v>18</v>
      </c>
      <c r="E380" t="s">
        <v>17</v>
      </c>
      <c r="F380">
        <v>600</v>
      </c>
      <c r="G380">
        <v>1</v>
      </c>
      <c r="H380">
        <v>600</v>
      </c>
      <c r="I380">
        <v>600</v>
      </c>
    </row>
    <row r="381" spans="1:9" x14ac:dyDescent="0.3">
      <c r="A381">
        <v>378</v>
      </c>
      <c r="B381" s="24">
        <v>43843</v>
      </c>
      <c r="C381" t="s">
        <v>80</v>
      </c>
      <c r="D381" t="s">
        <v>10</v>
      </c>
      <c r="E381" t="s">
        <v>11</v>
      </c>
      <c r="F381">
        <v>1100</v>
      </c>
      <c r="G381">
        <v>1</v>
      </c>
      <c r="H381">
        <v>1100</v>
      </c>
      <c r="I381">
        <v>1100</v>
      </c>
    </row>
    <row r="382" spans="1:9" x14ac:dyDescent="0.3">
      <c r="A382">
        <v>379</v>
      </c>
      <c r="B382" s="24">
        <v>43844</v>
      </c>
      <c r="C382" t="s">
        <v>80</v>
      </c>
      <c r="D382" t="s">
        <v>10</v>
      </c>
      <c r="E382" t="s">
        <v>11</v>
      </c>
      <c r="F382">
        <v>1100</v>
      </c>
      <c r="G382">
        <v>1</v>
      </c>
      <c r="H382">
        <v>1100</v>
      </c>
      <c r="I382">
        <v>1100</v>
      </c>
    </row>
    <row r="383" spans="1:9" x14ac:dyDescent="0.3">
      <c r="A383">
        <v>380</v>
      </c>
      <c r="B383" s="24">
        <v>43845</v>
      </c>
      <c r="C383" t="s">
        <v>81</v>
      </c>
      <c r="D383" t="s">
        <v>22</v>
      </c>
      <c r="E383" t="s">
        <v>23</v>
      </c>
      <c r="F383">
        <v>900</v>
      </c>
      <c r="G383">
        <v>1</v>
      </c>
      <c r="H383">
        <v>900</v>
      </c>
      <c r="I383">
        <v>900</v>
      </c>
    </row>
    <row r="384" spans="1:9" x14ac:dyDescent="0.3">
      <c r="A384">
        <v>381</v>
      </c>
      <c r="B384" s="24">
        <v>43846</v>
      </c>
      <c r="C384" t="s">
        <v>81</v>
      </c>
      <c r="D384" t="s">
        <v>24</v>
      </c>
      <c r="E384" t="s">
        <v>23</v>
      </c>
      <c r="F384">
        <v>600</v>
      </c>
      <c r="G384">
        <v>1</v>
      </c>
      <c r="H384">
        <v>600</v>
      </c>
      <c r="I384">
        <v>600</v>
      </c>
    </row>
    <row r="385" spans="1:9" x14ac:dyDescent="0.3">
      <c r="A385">
        <v>382</v>
      </c>
      <c r="B385" s="24">
        <v>43847</v>
      </c>
      <c r="C385" t="s">
        <v>80</v>
      </c>
      <c r="D385" t="s">
        <v>10</v>
      </c>
      <c r="E385" t="s">
        <v>11</v>
      </c>
      <c r="F385">
        <v>1100</v>
      </c>
      <c r="G385">
        <v>1</v>
      </c>
      <c r="H385">
        <v>1100</v>
      </c>
      <c r="I385">
        <v>1100</v>
      </c>
    </row>
    <row r="386" spans="1:9" x14ac:dyDescent="0.3">
      <c r="A386">
        <v>383</v>
      </c>
      <c r="B386" s="24">
        <v>43848</v>
      </c>
      <c r="C386" t="s">
        <v>80</v>
      </c>
      <c r="D386" t="s">
        <v>18</v>
      </c>
      <c r="E386" t="s">
        <v>17</v>
      </c>
      <c r="F386">
        <v>600</v>
      </c>
      <c r="G386">
        <v>1</v>
      </c>
      <c r="H386">
        <v>600</v>
      </c>
      <c r="I386">
        <v>600</v>
      </c>
    </row>
    <row r="387" spans="1:9" x14ac:dyDescent="0.3">
      <c r="A387">
        <v>384</v>
      </c>
      <c r="B387" s="24">
        <v>43849</v>
      </c>
      <c r="C387" t="s">
        <v>80</v>
      </c>
      <c r="D387" t="s">
        <v>14</v>
      </c>
      <c r="E387" t="s">
        <v>11</v>
      </c>
      <c r="F387">
        <v>900</v>
      </c>
      <c r="G387">
        <v>1</v>
      </c>
      <c r="H387">
        <v>900</v>
      </c>
      <c r="I387">
        <v>900</v>
      </c>
    </row>
    <row r="388" spans="1:9" x14ac:dyDescent="0.3">
      <c r="A388">
        <v>385</v>
      </c>
      <c r="B388" s="24">
        <v>43850</v>
      </c>
      <c r="C388" t="s">
        <v>80</v>
      </c>
      <c r="D388" t="s">
        <v>18</v>
      </c>
      <c r="E388" t="s">
        <v>17</v>
      </c>
      <c r="F388">
        <v>600</v>
      </c>
      <c r="G388">
        <v>1</v>
      </c>
      <c r="H388">
        <v>600</v>
      </c>
      <c r="I388">
        <v>600</v>
      </c>
    </row>
    <row r="389" spans="1:9" x14ac:dyDescent="0.3">
      <c r="A389">
        <v>386</v>
      </c>
      <c r="B389" s="24">
        <v>43851</v>
      </c>
      <c r="C389" t="s">
        <v>81</v>
      </c>
      <c r="D389" t="s">
        <v>18</v>
      </c>
      <c r="E389" t="s">
        <v>17</v>
      </c>
      <c r="F389">
        <v>600</v>
      </c>
      <c r="G389">
        <v>1</v>
      </c>
      <c r="H389">
        <v>600</v>
      </c>
      <c r="I389">
        <v>600</v>
      </c>
    </row>
    <row r="390" spans="1:9" x14ac:dyDescent="0.3">
      <c r="A390">
        <v>387</v>
      </c>
      <c r="B390" s="24">
        <v>43852</v>
      </c>
      <c r="C390" t="s">
        <v>81</v>
      </c>
      <c r="D390" t="s">
        <v>18</v>
      </c>
      <c r="E390" t="s">
        <v>17</v>
      </c>
      <c r="F390">
        <v>600</v>
      </c>
      <c r="G390">
        <v>1</v>
      </c>
      <c r="H390">
        <v>600</v>
      </c>
      <c r="I390">
        <v>600</v>
      </c>
    </row>
    <row r="391" spans="1:9" x14ac:dyDescent="0.3">
      <c r="A391">
        <v>388</v>
      </c>
      <c r="B391" s="24">
        <v>43853</v>
      </c>
      <c r="C391" t="s">
        <v>81</v>
      </c>
      <c r="D391" t="s">
        <v>22</v>
      </c>
      <c r="E391" t="s">
        <v>23</v>
      </c>
      <c r="F391">
        <v>500</v>
      </c>
      <c r="G391">
        <v>1</v>
      </c>
      <c r="H391">
        <v>500</v>
      </c>
      <c r="I391">
        <v>500</v>
      </c>
    </row>
    <row r="392" spans="1:9" x14ac:dyDescent="0.3">
      <c r="A392">
        <v>389</v>
      </c>
      <c r="B392" s="24">
        <v>43854</v>
      </c>
      <c r="C392" t="s">
        <v>81</v>
      </c>
      <c r="D392" t="s">
        <v>18</v>
      </c>
      <c r="E392" t="s">
        <v>17</v>
      </c>
      <c r="F392">
        <v>600</v>
      </c>
      <c r="G392">
        <v>1</v>
      </c>
      <c r="H392">
        <v>600</v>
      </c>
      <c r="I392">
        <v>600</v>
      </c>
    </row>
    <row r="393" spans="1:9" x14ac:dyDescent="0.3">
      <c r="A393">
        <v>390</v>
      </c>
      <c r="B393" s="24">
        <v>43855</v>
      </c>
      <c r="C393" t="s">
        <v>80</v>
      </c>
      <c r="D393" t="s">
        <v>14</v>
      </c>
      <c r="E393" t="s">
        <v>11</v>
      </c>
      <c r="F393">
        <v>900</v>
      </c>
      <c r="G393">
        <v>1</v>
      </c>
      <c r="H393">
        <v>900</v>
      </c>
      <c r="I393">
        <v>900</v>
      </c>
    </row>
    <row r="394" spans="1:9" x14ac:dyDescent="0.3">
      <c r="A394">
        <v>391</v>
      </c>
      <c r="B394" s="24">
        <v>43856</v>
      </c>
      <c r="C394" t="s">
        <v>81</v>
      </c>
      <c r="D394" t="s">
        <v>21</v>
      </c>
      <c r="E394" t="s">
        <v>20</v>
      </c>
      <c r="F394">
        <v>1200</v>
      </c>
      <c r="G394">
        <v>2</v>
      </c>
      <c r="H394">
        <v>2400</v>
      </c>
      <c r="I394">
        <v>2400</v>
      </c>
    </row>
    <row r="395" spans="1:9" x14ac:dyDescent="0.3">
      <c r="A395">
        <v>392</v>
      </c>
      <c r="B395" s="24">
        <v>43857</v>
      </c>
      <c r="C395" t="s">
        <v>81</v>
      </c>
      <c r="D395" t="s">
        <v>10</v>
      </c>
      <c r="E395" t="s">
        <v>11</v>
      </c>
      <c r="F395">
        <v>1100</v>
      </c>
      <c r="G395">
        <v>1</v>
      </c>
      <c r="H395">
        <v>1100</v>
      </c>
      <c r="I395">
        <v>1100</v>
      </c>
    </row>
    <row r="396" spans="1:9" x14ac:dyDescent="0.3">
      <c r="A396">
        <v>393</v>
      </c>
      <c r="B396" s="24">
        <v>43858</v>
      </c>
      <c r="C396" t="s">
        <v>81</v>
      </c>
      <c r="D396" t="s">
        <v>16</v>
      </c>
      <c r="E396" t="s">
        <v>17</v>
      </c>
      <c r="F396">
        <v>800</v>
      </c>
      <c r="G396">
        <v>1</v>
      </c>
      <c r="H396">
        <v>800</v>
      </c>
      <c r="I396">
        <v>800</v>
      </c>
    </row>
    <row r="397" spans="1:9" x14ac:dyDescent="0.3">
      <c r="A397">
        <v>394</v>
      </c>
      <c r="B397" s="24">
        <v>43859</v>
      </c>
      <c r="C397" t="s">
        <v>81</v>
      </c>
      <c r="D397" t="s">
        <v>16</v>
      </c>
      <c r="E397" t="s">
        <v>17</v>
      </c>
      <c r="F397">
        <v>800</v>
      </c>
      <c r="G397">
        <v>1</v>
      </c>
      <c r="H397">
        <v>800</v>
      </c>
      <c r="I397">
        <v>800</v>
      </c>
    </row>
    <row r="398" spans="1:9" x14ac:dyDescent="0.3">
      <c r="A398">
        <v>395</v>
      </c>
      <c r="B398" s="24">
        <v>43860</v>
      </c>
      <c r="C398" t="s">
        <v>81</v>
      </c>
      <c r="D398" t="s">
        <v>10</v>
      </c>
      <c r="E398" t="s">
        <v>11</v>
      </c>
      <c r="F398">
        <v>1100</v>
      </c>
      <c r="G398">
        <v>1</v>
      </c>
      <c r="H398">
        <v>1100</v>
      </c>
      <c r="I398">
        <v>1100</v>
      </c>
    </row>
    <row r="399" spans="1:9" x14ac:dyDescent="0.3">
      <c r="A399">
        <v>396</v>
      </c>
      <c r="B399" s="24">
        <v>43861</v>
      </c>
      <c r="C399" t="s">
        <v>81</v>
      </c>
      <c r="D399" t="s">
        <v>15</v>
      </c>
      <c r="E399" t="s">
        <v>11</v>
      </c>
      <c r="F399">
        <v>1000</v>
      </c>
      <c r="G399">
        <v>1</v>
      </c>
      <c r="H399">
        <v>1000</v>
      </c>
      <c r="I399">
        <v>1000</v>
      </c>
    </row>
    <row r="400" spans="1:9" x14ac:dyDescent="0.3">
      <c r="A400">
        <v>397</v>
      </c>
      <c r="B400" s="24">
        <v>43862</v>
      </c>
      <c r="C400" t="s">
        <v>81</v>
      </c>
      <c r="D400" t="s">
        <v>22</v>
      </c>
      <c r="E400" t="s">
        <v>23</v>
      </c>
      <c r="F400">
        <v>500</v>
      </c>
      <c r="G400">
        <v>1</v>
      </c>
      <c r="H400">
        <v>500</v>
      </c>
      <c r="I400">
        <v>500</v>
      </c>
    </row>
    <row r="401" spans="1:9" x14ac:dyDescent="0.3">
      <c r="A401">
        <v>398</v>
      </c>
      <c r="B401" s="24">
        <v>43863</v>
      </c>
      <c r="C401" t="s">
        <v>81</v>
      </c>
      <c r="D401" t="s">
        <v>12</v>
      </c>
      <c r="E401" t="s">
        <v>11</v>
      </c>
      <c r="F401">
        <v>900</v>
      </c>
      <c r="G401">
        <v>1</v>
      </c>
      <c r="H401">
        <v>900</v>
      </c>
      <c r="I401">
        <v>765</v>
      </c>
    </row>
    <row r="402" spans="1:9" x14ac:dyDescent="0.3">
      <c r="A402">
        <v>399</v>
      </c>
      <c r="B402" s="24">
        <v>43864</v>
      </c>
      <c r="C402" t="s">
        <v>81</v>
      </c>
      <c r="D402" t="s">
        <v>18</v>
      </c>
      <c r="E402" t="s">
        <v>17</v>
      </c>
      <c r="F402">
        <v>600</v>
      </c>
      <c r="G402">
        <v>1</v>
      </c>
      <c r="H402">
        <v>600</v>
      </c>
      <c r="I402">
        <v>600</v>
      </c>
    </row>
    <row r="403" spans="1:9" x14ac:dyDescent="0.3">
      <c r="A403">
        <v>400</v>
      </c>
      <c r="B403" s="24">
        <v>43865</v>
      </c>
      <c r="C403" t="s">
        <v>81</v>
      </c>
      <c r="D403" t="s">
        <v>12</v>
      </c>
      <c r="E403" t="s">
        <v>11</v>
      </c>
      <c r="F403">
        <v>900</v>
      </c>
      <c r="G403">
        <v>1</v>
      </c>
      <c r="H403">
        <v>900</v>
      </c>
      <c r="I403">
        <v>765</v>
      </c>
    </row>
    <row r="404" spans="1:9" x14ac:dyDescent="0.3">
      <c r="A404">
        <v>401</v>
      </c>
      <c r="B404" s="24">
        <v>43866</v>
      </c>
      <c r="C404" t="s">
        <v>81</v>
      </c>
      <c r="D404" t="s">
        <v>21</v>
      </c>
      <c r="E404" t="s">
        <v>20</v>
      </c>
      <c r="F404">
        <v>1200</v>
      </c>
      <c r="G404">
        <v>1</v>
      </c>
      <c r="H404">
        <v>1200</v>
      </c>
      <c r="I404">
        <v>1200</v>
      </c>
    </row>
    <row r="405" spans="1:9" x14ac:dyDescent="0.3">
      <c r="A405">
        <v>402</v>
      </c>
      <c r="B405" s="24">
        <v>43867</v>
      </c>
      <c r="C405" t="s">
        <v>81</v>
      </c>
      <c r="D405" t="s">
        <v>10</v>
      </c>
      <c r="E405" t="s">
        <v>11</v>
      </c>
      <c r="F405">
        <v>1100</v>
      </c>
      <c r="G405">
        <v>1</v>
      </c>
      <c r="H405">
        <v>1100</v>
      </c>
      <c r="I405">
        <v>1100</v>
      </c>
    </row>
    <row r="406" spans="1:9" x14ac:dyDescent="0.3">
      <c r="A406">
        <v>403</v>
      </c>
      <c r="B406" s="24">
        <v>43868</v>
      </c>
      <c r="C406" t="s">
        <v>81</v>
      </c>
      <c r="D406" t="s">
        <v>16</v>
      </c>
      <c r="E406" t="s">
        <v>17</v>
      </c>
      <c r="F406">
        <v>800</v>
      </c>
      <c r="G406">
        <v>1</v>
      </c>
      <c r="H406">
        <v>800</v>
      </c>
      <c r="I406">
        <v>800</v>
      </c>
    </row>
    <row r="407" spans="1:9" x14ac:dyDescent="0.3">
      <c r="A407">
        <v>404</v>
      </c>
      <c r="B407" s="24">
        <v>43869</v>
      </c>
      <c r="C407" t="s">
        <v>81</v>
      </c>
      <c r="D407" t="s">
        <v>12</v>
      </c>
      <c r="E407" t="s">
        <v>11</v>
      </c>
      <c r="F407">
        <v>900</v>
      </c>
      <c r="G407">
        <v>1</v>
      </c>
      <c r="H407">
        <v>900</v>
      </c>
      <c r="I407">
        <v>765</v>
      </c>
    </row>
    <row r="408" spans="1:9" x14ac:dyDescent="0.3">
      <c r="A408">
        <v>405</v>
      </c>
      <c r="B408" s="24">
        <v>43870</v>
      </c>
      <c r="C408" t="s">
        <v>81</v>
      </c>
      <c r="D408" t="s">
        <v>10</v>
      </c>
      <c r="E408" t="s">
        <v>11</v>
      </c>
      <c r="F408">
        <v>1100</v>
      </c>
      <c r="G408">
        <v>1</v>
      </c>
      <c r="H408">
        <v>1100</v>
      </c>
      <c r="I408">
        <v>1100</v>
      </c>
    </row>
    <row r="409" spans="1:9" x14ac:dyDescent="0.3">
      <c r="A409">
        <v>406</v>
      </c>
      <c r="B409" s="24">
        <v>43871</v>
      </c>
      <c r="C409" t="s">
        <v>80</v>
      </c>
      <c r="D409" t="s">
        <v>16</v>
      </c>
      <c r="E409" t="s">
        <v>17</v>
      </c>
      <c r="F409">
        <v>800</v>
      </c>
      <c r="G409">
        <v>1</v>
      </c>
      <c r="H409">
        <v>800</v>
      </c>
      <c r="I409">
        <v>800</v>
      </c>
    </row>
    <row r="410" spans="1:9" x14ac:dyDescent="0.3">
      <c r="A410">
        <v>407</v>
      </c>
      <c r="B410" s="24">
        <v>43872</v>
      </c>
      <c r="C410" t="s">
        <v>81</v>
      </c>
      <c r="D410" t="s">
        <v>19</v>
      </c>
      <c r="E410" t="s">
        <v>20</v>
      </c>
      <c r="F410">
        <v>1000</v>
      </c>
      <c r="G410">
        <v>1</v>
      </c>
      <c r="H410">
        <v>1000</v>
      </c>
      <c r="I410">
        <v>1000</v>
      </c>
    </row>
    <row r="411" spans="1:9" x14ac:dyDescent="0.3">
      <c r="A411">
        <v>408</v>
      </c>
      <c r="B411" s="24">
        <v>43873</v>
      </c>
      <c r="C411" t="s">
        <v>81</v>
      </c>
      <c r="D411" t="s">
        <v>14</v>
      </c>
      <c r="E411" t="s">
        <v>11</v>
      </c>
      <c r="F411">
        <v>1000</v>
      </c>
      <c r="G411">
        <v>1</v>
      </c>
      <c r="H411">
        <v>1000</v>
      </c>
      <c r="I411">
        <v>1000</v>
      </c>
    </row>
    <row r="412" spans="1:9" x14ac:dyDescent="0.3">
      <c r="A412">
        <v>409</v>
      </c>
      <c r="B412" s="24">
        <v>43874</v>
      </c>
      <c r="C412" t="s">
        <v>81</v>
      </c>
      <c r="D412" t="s">
        <v>10</v>
      </c>
      <c r="E412" t="s">
        <v>11</v>
      </c>
      <c r="F412">
        <v>1000</v>
      </c>
      <c r="G412">
        <v>1</v>
      </c>
      <c r="H412">
        <v>1000</v>
      </c>
      <c r="I412">
        <v>1000</v>
      </c>
    </row>
    <row r="413" spans="1:9" x14ac:dyDescent="0.3">
      <c r="A413">
        <v>410</v>
      </c>
      <c r="B413" s="24">
        <v>43875</v>
      </c>
      <c r="C413" t="s">
        <v>81</v>
      </c>
      <c r="D413" t="s">
        <v>18</v>
      </c>
      <c r="E413" t="s">
        <v>17</v>
      </c>
      <c r="F413">
        <v>600</v>
      </c>
      <c r="G413">
        <v>1</v>
      </c>
      <c r="H413">
        <v>600</v>
      </c>
      <c r="I413">
        <v>600</v>
      </c>
    </row>
    <row r="414" spans="1:9" x14ac:dyDescent="0.3">
      <c r="A414">
        <v>411</v>
      </c>
      <c r="B414" s="24">
        <v>43876</v>
      </c>
      <c r="C414" t="s">
        <v>81</v>
      </c>
      <c r="D414" t="s">
        <v>21</v>
      </c>
      <c r="E414" t="s">
        <v>20</v>
      </c>
      <c r="F414">
        <v>1200</v>
      </c>
      <c r="G414">
        <v>1</v>
      </c>
      <c r="H414">
        <v>1200</v>
      </c>
      <c r="I414">
        <v>1200</v>
      </c>
    </row>
    <row r="415" spans="1:9" x14ac:dyDescent="0.3">
      <c r="A415">
        <v>412</v>
      </c>
      <c r="B415" s="24">
        <v>43877</v>
      </c>
      <c r="C415" t="s">
        <v>81</v>
      </c>
      <c r="D415" t="s">
        <v>18</v>
      </c>
      <c r="E415" t="s">
        <v>17</v>
      </c>
      <c r="F415">
        <v>600</v>
      </c>
      <c r="G415">
        <v>1</v>
      </c>
      <c r="H415">
        <v>600</v>
      </c>
      <c r="I415">
        <v>600</v>
      </c>
    </row>
    <row r="416" spans="1:9" x14ac:dyDescent="0.3">
      <c r="A416">
        <v>413</v>
      </c>
      <c r="B416" s="24">
        <v>43878</v>
      </c>
      <c r="C416" t="s">
        <v>81</v>
      </c>
      <c r="D416" t="s">
        <v>18</v>
      </c>
      <c r="E416" t="s">
        <v>17</v>
      </c>
      <c r="F416">
        <v>600</v>
      </c>
      <c r="G416">
        <v>1</v>
      </c>
      <c r="H416">
        <v>600</v>
      </c>
      <c r="I416">
        <v>600</v>
      </c>
    </row>
    <row r="417" spans="1:9" x14ac:dyDescent="0.3">
      <c r="A417">
        <v>414</v>
      </c>
      <c r="B417" s="24">
        <v>43879</v>
      </c>
      <c r="C417" t="s">
        <v>81</v>
      </c>
      <c r="D417" t="s">
        <v>10</v>
      </c>
      <c r="E417" t="s">
        <v>11</v>
      </c>
      <c r="F417">
        <v>1100</v>
      </c>
      <c r="G417">
        <v>1</v>
      </c>
      <c r="H417">
        <v>1100</v>
      </c>
      <c r="I417">
        <v>1100</v>
      </c>
    </row>
    <row r="418" spans="1:9" x14ac:dyDescent="0.3">
      <c r="A418">
        <v>415</v>
      </c>
      <c r="B418" s="24">
        <v>43880</v>
      </c>
      <c r="C418" t="s">
        <v>81</v>
      </c>
      <c r="D418" t="s">
        <v>12</v>
      </c>
      <c r="E418" t="s">
        <v>11</v>
      </c>
      <c r="F418">
        <v>900</v>
      </c>
      <c r="G418">
        <v>1</v>
      </c>
      <c r="H418">
        <v>900</v>
      </c>
      <c r="I418">
        <v>765</v>
      </c>
    </row>
    <row r="419" spans="1:9" x14ac:dyDescent="0.3">
      <c r="A419">
        <v>416</v>
      </c>
      <c r="B419" s="24">
        <v>43881</v>
      </c>
      <c r="C419" t="s">
        <v>81</v>
      </c>
      <c r="D419" t="s">
        <v>15</v>
      </c>
      <c r="E419" t="s">
        <v>11</v>
      </c>
      <c r="F419">
        <v>1000</v>
      </c>
      <c r="G419">
        <v>1</v>
      </c>
      <c r="H419">
        <v>1000</v>
      </c>
      <c r="I419">
        <v>1000</v>
      </c>
    </row>
    <row r="420" spans="1:9" x14ac:dyDescent="0.3">
      <c r="A420">
        <v>417</v>
      </c>
      <c r="B420" s="24">
        <v>43882</v>
      </c>
      <c r="C420" t="s">
        <v>81</v>
      </c>
      <c r="D420" t="s">
        <v>12</v>
      </c>
      <c r="E420" t="s">
        <v>11</v>
      </c>
      <c r="F420">
        <v>900</v>
      </c>
      <c r="G420">
        <v>1</v>
      </c>
      <c r="H420">
        <v>900</v>
      </c>
      <c r="I420">
        <v>765</v>
      </c>
    </row>
    <row r="421" spans="1:9" x14ac:dyDescent="0.3">
      <c r="A421">
        <v>418</v>
      </c>
      <c r="B421" s="24">
        <v>43883</v>
      </c>
      <c r="C421" t="s">
        <v>81</v>
      </c>
      <c r="D421" t="s">
        <v>18</v>
      </c>
      <c r="E421" t="s">
        <v>17</v>
      </c>
      <c r="F421">
        <v>600</v>
      </c>
      <c r="G421">
        <v>1</v>
      </c>
      <c r="H421">
        <v>600</v>
      </c>
      <c r="I421">
        <v>600</v>
      </c>
    </row>
    <row r="422" spans="1:9" x14ac:dyDescent="0.3">
      <c r="A422">
        <v>419</v>
      </c>
      <c r="B422" s="24">
        <v>43884</v>
      </c>
      <c r="C422" t="s">
        <v>81</v>
      </c>
      <c r="D422" t="s">
        <v>19</v>
      </c>
      <c r="E422" t="s">
        <v>20</v>
      </c>
      <c r="F422">
        <v>850</v>
      </c>
      <c r="G422">
        <v>1</v>
      </c>
      <c r="H422">
        <v>850</v>
      </c>
      <c r="I422">
        <v>850</v>
      </c>
    </row>
    <row r="423" spans="1:9" x14ac:dyDescent="0.3">
      <c r="A423">
        <v>420</v>
      </c>
      <c r="B423" s="24">
        <v>43885</v>
      </c>
      <c r="C423" t="s">
        <v>81</v>
      </c>
      <c r="D423" t="s">
        <v>22</v>
      </c>
      <c r="E423" t="s">
        <v>23</v>
      </c>
      <c r="F423">
        <v>500</v>
      </c>
      <c r="G423">
        <v>1</v>
      </c>
      <c r="H423">
        <v>500</v>
      </c>
      <c r="I423">
        <v>500</v>
      </c>
    </row>
    <row r="424" spans="1:9" x14ac:dyDescent="0.3">
      <c r="A424">
        <v>421</v>
      </c>
      <c r="B424" s="24">
        <v>43886</v>
      </c>
      <c r="C424" t="s">
        <v>81</v>
      </c>
      <c r="D424" t="s">
        <v>15</v>
      </c>
      <c r="E424" t="s">
        <v>11</v>
      </c>
      <c r="F424">
        <v>1000</v>
      </c>
      <c r="G424">
        <v>1</v>
      </c>
      <c r="H424">
        <v>1000</v>
      </c>
      <c r="I424">
        <v>1000</v>
      </c>
    </row>
    <row r="425" spans="1:9" x14ac:dyDescent="0.3">
      <c r="A425">
        <v>422</v>
      </c>
      <c r="B425" s="24">
        <v>43887</v>
      </c>
      <c r="C425" t="s">
        <v>81</v>
      </c>
      <c r="D425" t="s">
        <v>10</v>
      </c>
      <c r="E425" t="s">
        <v>11</v>
      </c>
      <c r="F425">
        <v>1100</v>
      </c>
      <c r="G425">
        <v>1</v>
      </c>
      <c r="H425">
        <v>1100</v>
      </c>
      <c r="I425">
        <v>1100</v>
      </c>
    </row>
    <row r="426" spans="1:9" x14ac:dyDescent="0.3">
      <c r="A426">
        <v>423</v>
      </c>
      <c r="B426" s="24">
        <v>43888</v>
      </c>
      <c r="C426" t="s">
        <v>81</v>
      </c>
      <c r="D426" t="s">
        <v>10</v>
      </c>
      <c r="E426" t="s">
        <v>11</v>
      </c>
      <c r="F426">
        <v>1100</v>
      </c>
      <c r="G426">
        <v>2</v>
      </c>
      <c r="H426">
        <v>2200</v>
      </c>
      <c r="I426">
        <v>2200</v>
      </c>
    </row>
    <row r="427" spans="1:9" x14ac:dyDescent="0.3">
      <c r="A427">
        <v>424</v>
      </c>
      <c r="B427" s="24">
        <v>43889</v>
      </c>
      <c r="C427" t="s">
        <v>81</v>
      </c>
      <c r="D427" t="s">
        <v>14</v>
      </c>
      <c r="E427" t="s">
        <v>11</v>
      </c>
      <c r="F427">
        <v>900</v>
      </c>
      <c r="G427">
        <v>1</v>
      </c>
      <c r="H427">
        <v>900</v>
      </c>
      <c r="I427">
        <v>900</v>
      </c>
    </row>
    <row r="428" spans="1:9" x14ac:dyDescent="0.3">
      <c r="A428">
        <v>425</v>
      </c>
      <c r="B428" s="24">
        <v>43890</v>
      </c>
      <c r="C428" t="s">
        <v>81</v>
      </c>
      <c r="D428" t="s">
        <v>14</v>
      </c>
      <c r="E428" t="s">
        <v>11</v>
      </c>
      <c r="F428">
        <v>900</v>
      </c>
      <c r="G428">
        <v>1</v>
      </c>
      <c r="H428">
        <v>900</v>
      </c>
      <c r="I428">
        <v>900</v>
      </c>
    </row>
    <row r="429" spans="1:9" x14ac:dyDescent="0.3">
      <c r="A429">
        <v>426</v>
      </c>
      <c r="B429" s="24">
        <v>43891</v>
      </c>
      <c r="C429" t="s">
        <v>81</v>
      </c>
      <c r="D429" t="s">
        <v>18</v>
      </c>
      <c r="E429" t="s">
        <v>17</v>
      </c>
      <c r="F429">
        <v>600</v>
      </c>
      <c r="G429">
        <v>1</v>
      </c>
      <c r="H429">
        <v>600</v>
      </c>
      <c r="I429">
        <v>600</v>
      </c>
    </row>
    <row r="430" spans="1:9" x14ac:dyDescent="0.3">
      <c r="A430">
        <v>427</v>
      </c>
      <c r="B430" s="24">
        <v>43892</v>
      </c>
      <c r="C430" t="s">
        <v>81</v>
      </c>
      <c r="D430" t="s">
        <v>22</v>
      </c>
      <c r="E430" t="s">
        <v>23</v>
      </c>
      <c r="F430">
        <v>900</v>
      </c>
      <c r="G430">
        <v>1</v>
      </c>
      <c r="H430">
        <v>900</v>
      </c>
      <c r="I430">
        <v>900</v>
      </c>
    </row>
    <row r="431" spans="1:9" x14ac:dyDescent="0.3">
      <c r="A431">
        <v>428</v>
      </c>
      <c r="B431" s="24">
        <v>43893</v>
      </c>
      <c r="C431" t="s">
        <v>81</v>
      </c>
      <c r="D431" t="s">
        <v>10</v>
      </c>
      <c r="E431" t="s">
        <v>11</v>
      </c>
      <c r="F431">
        <v>1100</v>
      </c>
      <c r="G431">
        <v>1</v>
      </c>
      <c r="H431">
        <v>1100</v>
      </c>
      <c r="I431">
        <v>1100</v>
      </c>
    </row>
    <row r="432" spans="1:9" x14ac:dyDescent="0.3">
      <c r="A432">
        <v>429</v>
      </c>
      <c r="B432" s="24">
        <v>43894</v>
      </c>
      <c r="C432" t="s">
        <v>81</v>
      </c>
      <c r="D432" t="s">
        <v>18</v>
      </c>
      <c r="E432" t="s">
        <v>17</v>
      </c>
      <c r="F432">
        <v>600</v>
      </c>
      <c r="G432">
        <v>1</v>
      </c>
      <c r="H432">
        <v>600</v>
      </c>
      <c r="I432">
        <v>600</v>
      </c>
    </row>
    <row r="433" spans="1:9" x14ac:dyDescent="0.3">
      <c r="A433">
        <v>430</v>
      </c>
      <c r="B433" s="24">
        <v>43895</v>
      </c>
      <c r="C433" t="s">
        <v>81</v>
      </c>
      <c r="D433" t="s">
        <v>18</v>
      </c>
      <c r="E433" t="s">
        <v>17</v>
      </c>
      <c r="F433">
        <v>600</v>
      </c>
      <c r="G433">
        <v>1</v>
      </c>
      <c r="H433">
        <v>600</v>
      </c>
      <c r="I433">
        <v>600</v>
      </c>
    </row>
    <row r="434" spans="1:9" x14ac:dyDescent="0.3">
      <c r="A434">
        <v>431</v>
      </c>
      <c r="B434" s="24">
        <v>43896</v>
      </c>
      <c r="C434" t="s">
        <v>81</v>
      </c>
      <c r="D434" t="s">
        <v>22</v>
      </c>
      <c r="E434" t="s">
        <v>23</v>
      </c>
      <c r="F434">
        <v>500</v>
      </c>
      <c r="G434">
        <v>1</v>
      </c>
      <c r="H434">
        <v>500</v>
      </c>
      <c r="I434">
        <v>500</v>
      </c>
    </row>
    <row r="435" spans="1:9" x14ac:dyDescent="0.3">
      <c r="A435">
        <v>432</v>
      </c>
      <c r="B435" s="24">
        <v>43897</v>
      </c>
      <c r="C435" t="s">
        <v>81</v>
      </c>
      <c r="D435" t="s">
        <v>14</v>
      </c>
      <c r="E435" t="s">
        <v>11</v>
      </c>
      <c r="F435">
        <v>900</v>
      </c>
      <c r="G435">
        <v>1</v>
      </c>
      <c r="H435">
        <v>900</v>
      </c>
      <c r="I435">
        <v>900</v>
      </c>
    </row>
    <row r="436" spans="1:9" x14ac:dyDescent="0.3">
      <c r="A436">
        <v>433</v>
      </c>
      <c r="B436" s="24">
        <v>43898</v>
      </c>
      <c r="C436" t="s">
        <v>81</v>
      </c>
      <c r="D436" t="s">
        <v>21</v>
      </c>
      <c r="E436" t="s">
        <v>20</v>
      </c>
      <c r="F436">
        <v>1200</v>
      </c>
      <c r="G436">
        <v>1</v>
      </c>
      <c r="H436">
        <v>1200</v>
      </c>
      <c r="I436">
        <v>1200</v>
      </c>
    </row>
    <row r="437" spans="1:9" x14ac:dyDescent="0.3">
      <c r="A437">
        <v>434</v>
      </c>
      <c r="B437" s="24">
        <v>43899</v>
      </c>
      <c r="C437" t="s">
        <v>81</v>
      </c>
      <c r="D437" t="s">
        <v>18</v>
      </c>
      <c r="E437" t="s">
        <v>17</v>
      </c>
      <c r="F437">
        <v>600</v>
      </c>
      <c r="G437">
        <v>2</v>
      </c>
      <c r="H437">
        <v>1200</v>
      </c>
      <c r="I437">
        <v>1200</v>
      </c>
    </row>
    <row r="438" spans="1:9" x14ac:dyDescent="0.3">
      <c r="A438">
        <v>435</v>
      </c>
      <c r="B438" s="24">
        <v>43900</v>
      </c>
      <c r="C438" t="s">
        <v>81</v>
      </c>
      <c r="D438" t="s">
        <v>14</v>
      </c>
      <c r="E438" t="s">
        <v>11</v>
      </c>
      <c r="F438">
        <v>900</v>
      </c>
      <c r="G438">
        <v>1</v>
      </c>
      <c r="H438">
        <v>900</v>
      </c>
      <c r="I438">
        <v>900</v>
      </c>
    </row>
    <row r="439" spans="1:9" x14ac:dyDescent="0.3">
      <c r="A439">
        <v>436</v>
      </c>
      <c r="B439" s="24">
        <v>43901</v>
      </c>
      <c r="C439" t="s">
        <v>81</v>
      </c>
      <c r="D439" t="s">
        <v>10</v>
      </c>
      <c r="E439" t="s">
        <v>11</v>
      </c>
      <c r="F439">
        <v>1100</v>
      </c>
      <c r="G439">
        <v>2</v>
      </c>
      <c r="H439">
        <v>2200</v>
      </c>
      <c r="I439">
        <v>2200</v>
      </c>
    </row>
    <row r="440" spans="1:9" x14ac:dyDescent="0.3">
      <c r="A440">
        <v>437</v>
      </c>
      <c r="B440" s="24">
        <v>43902</v>
      </c>
      <c r="C440" t="s">
        <v>81</v>
      </c>
      <c r="D440" t="s">
        <v>24</v>
      </c>
      <c r="E440" t="s">
        <v>23</v>
      </c>
      <c r="F440">
        <v>600</v>
      </c>
      <c r="G440">
        <v>1</v>
      </c>
      <c r="H440">
        <v>600</v>
      </c>
      <c r="I440">
        <v>600</v>
      </c>
    </row>
    <row r="441" spans="1:9" x14ac:dyDescent="0.3">
      <c r="A441">
        <v>438</v>
      </c>
      <c r="B441" s="24">
        <v>43903</v>
      </c>
      <c r="C441" t="s">
        <v>81</v>
      </c>
      <c r="D441" t="s">
        <v>18</v>
      </c>
      <c r="E441" t="s">
        <v>17</v>
      </c>
      <c r="F441">
        <v>600</v>
      </c>
      <c r="G441">
        <v>1</v>
      </c>
      <c r="H441">
        <v>600</v>
      </c>
      <c r="I441">
        <v>600</v>
      </c>
    </row>
    <row r="442" spans="1:9" x14ac:dyDescent="0.3">
      <c r="A442">
        <v>439</v>
      </c>
      <c r="B442" s="24">
        <v>43904</v>
      </c>
      <c r="C442" t="s">
        <v>81</v>
      </c>
      <c r="D442" t="s">
        <v>24</v>
      </c>
      <c r="E442" t="s">
        <v>23</v>
      </c>
      <c r="F442">
        <v>300</v>
      </c>
      <c r="G442">
        <v>2</v>
      </c>
      <c r="H442">
        <v>600</v>
      </c>
      <c r="I442">
        <v>600</v>
      </c>
    </row>
    <row r="443" spans="1:9" x14ac:dyDescent="0.3">
      <c r="A443">
        <v>440</v>
      </c>
      <c r="B443" s="24">
        <v>43905</v>
      </c>
      <c r="C443" t="s">
        <v>81</v>
      </c>
      <c r="D443" t="s">
        <v>10</v>
      </c>
      <c r="E443" t="s">
        <v>11</v>
      </c>
      <c r="F443">
        <v>1100</v>
      </c>
      <c r="G443">
        <v>2</v>
      </c>
      <c r="H443">
        <v>2200</v>
      </c>
      <c r="I443">
        <v>2200</v>
      </c>
    </row>
    <row r="444" spans="1:9" x14ac:dyDescent="0.3">
      <c r="A444">
        <v>441</v>
      </c>
      <c r="B444" s="24">
        <v>43906</v>
      </c>
      <c r="C444" t="s">
        <v>81</v>
      </c>
      <c r="D444" t="s">
        <v>15</v>
      </c>
      <c r="E444" t="s">
        <v>11</v>
      </c>
      <c r="F444">
        <v>1000</v>
      </c>
      <c r="G444">
        <v>1</v>
      </c>
      <c r="H444">
        <v>1000</v>
      </c>
      <c r="I444">
        <v>1000</v>
      </c>
    </row>
    <row r="445" spans="1:9" x14ac:dyDescent="0.3">
      <c r="A445">
        <v>442</v>
      </c>
      <c r="B445" s="24">
        <v>43907</v>
      </c>
      <c r="C445" t="s">
        <v>81</v>
      </c>
      <c r="D445" t="s">
        <v>18</v>
      </c>
      <c r="E445" t="s">
        <v>17</v>
      </c>
      <c r="F445">
        <v>600</v>
      </c>
      <c r="G445">
        <v>1</v>
      </c>
      <c r="H445">
        <v>600</v>
      </c>
      <c r="I445">
        <v>600</v>
      </c>
    </row>
    <row r="446" spans="1:9" x14ac:dyDescent="0.3">
      <c r="A446">
        <v>443</v>
      </c>
      <c r="B446" s="24">
        <v>43908</v>
      </c>
      <c r="C446" t="s">
        <v>81</v>
      </c>
      <c r="D446" t="s">
        <v>14</v>
      </c>
      <c r="E446" t="s">
        <v>11</v>
      </c>
      <c r="F446">
        <v>900</v>
      </c>
      <c r="G446">
        <v>1</v>
      </c>
      <c r="H446">
        <v>900</v>
      </c>
      <c r="I446">
        <v>900</v>
      </c>
    </row>
    <row r="447" spans="1:9" x14ac:dyDescent="0.3">
      <c r="A447">
        <v>444</v>
      </c>
      <c r="B447" s="24">
        <v>43909</v>
      </c>
      <c r="C447" t="s">
        <v>81</v>
      </c>
      <c r="D447" t="s">
        <v>21</v>
      </c>
      <c r="E447" t="s">
        <v>20</v>
      </c>
      <c r="F447">
        <v>1200</v>
      </c>
      <c r="G447">
        <v>1</v>
      </c>
      <c r="H447">
        <v>1200</v>
      </c>
      <c r="I447">
        <v>1200</v>
      </c>
    </row>
    <row r="448" spans="1:9" x14ac:dyDescent="0.3">
      <c r="A448">
        <v>445</v>
      </c>
      <c r="B448" s="24">
        <v>43910</v>
      </c>
      <c r="C448" t="s">
        <v>81</v>
      </c>
      <c r="D448" t="s">
        <v>10</v>
      </c>
      <c r="E448" t="s">
        <v>11</v>
      </c>
      <c r="F448">
        <v>1100</v>
      </c>
      <c r="G448">
        <v>1</v>
      </c>
      <c r="H448">
        <v>1100</v>
      </c>
      <c r="I448">
        <v>1100</v>
      </c>
    </row>
    <row r="449" spans="1:9" x14ac:dyDescent="0.3">
      <c r="A449">
        <v>446</v>
      </c>
      <c r="B449" s="24">
        <v>43911</v>
      </c>
      <c r="C449" t="s">
        <v>81</v>
      </c>
      <c r="D449" t="s">
        <v>19</v>
      </c>
      <c r="E449" t="s">
        <v>20</v>
      </c>
      <c r="F449">
        <v>850</v>
      </c>
      <c r="G449">
        <v>1</v>
      </c>
      <c r="H449">
        <v>850</v>
      </c>
      <c r="I449">
        <v>850</v>
      </c>
    </row>
    <row r="450" spans="1:9" x14ac:dyDescent="0.3">
      <c r="A450">
        <v>447</v>
      </c>
      <c r="B450" s="24">
        <v>43912</v>
      </c>
      <c r="C450" t="s">
        <v>81</v>
      </c>
      <c r="D450" t="s">
        <v>10</v>
      </c>
      <c r="E450" t="s">
        <v>11</v>
      </c>
      <c r="F450">
        <v>1100</v>
      </c>
      <c r="G450">
        <v>1</v>
      </c>
      <c r="H450">
        <v>1100</v>
      </c>
      <c r="I450">
        <v>1100</v>
      </c>
    </row>
    <row r="451" spans="1:9" x14ac:dyDescent="0.3">
      <c r="A451">
        <v>448</v>
      </c>
      <c r="B451" s="24">
        <v>43913</v>
      </c>
      <c r="C451" t="s">
        <v>81</v>
      </c>
      <c r="D451" t="s">
        <v>10</v>
      </c>
      <c r="E451" t="s">
        <v>11</v>
      </c>
      <c r="F451">
        <v>1100</v>
      </c>
      <c r="G451">
        <v>2</v>
      </c>
      <c r="H451">
        <v>2200</v>
      </c>
      <c r="I451">
        <v>2200</v>
      </c>
    </row>
    <row r="452" spans="1:9" x14ac:dyDescent="0.3">
      <c r="A452">
        <v>449</v>
      </c>
      <c r="B452" s="24">
        <v>43914</v>
      </c>
      <c r="C452" t="s">
        <v>81</v>
      </c>
      <c r="D452" t="s">
        <v>14</v>
      </c>
      <c r="E452" t="s">
        <v>11</v>
      </c>
      <c r="F452">
        <v>900</v>
      </c>
      <c r="G452">
        <v>1</v>
      </c>
      <c r="H452">
        <v>900</v>
      </c>
      <c r="I452">
        <v>900</v>
      </c>
    </row>
    <row r="453" spans="1:9" x14ac:dyDescent="0.3">
      <c r="A453">
        <v>450</v>
      </c>
      <c r="B453" s="24">
        <v>43915</v>
      </c>
      <c r="C453" t="s">
        <v>81</v>
      </c>
      <c r="D453" t="s">
        <v>18</v>
      </c>
      <c r="E453" t="s">
        <v>17</v>
      </c>
      <c r="F453">
        <v>600</v>
      </c>
      <c r="G453">
        <v>1</v>
      </c>
      <c r="H453">
        <v>600</v>
      </c>
      <c r="I453">
        <v>600</v>
      </c>
    </row>
    <row r="454" spans="1:9" x14ac:dyDescent="0.3">
      <c r="A454">
        <v>451</v>
      </c>
      <c r="B454" s="24">
        <v>43916</v>
      </c>
      <c r="C454" t="s">
        <v>81</v>
      </c>
      <c r="D454" t="s">
        <v>18</v>
      </c>
      <c r="E454" t="s">
        <v>17</v>
      </c>
      <c r="F454">
        <v>600</v>
      </c>
      <c r="G454">
        <v>1</v>
      </c>
      <c r="H454">
        <v>600</v>
      </c>
      <c r="I454">
        <v>600</v>
      </c>
    </row>
    <row r="455" spans="1:9" x14ac:dyDescent="0.3">
      <c r="A455">
        <v>452</v>
      </c>
      <c r="B455" s="24">
        <v>43917</v>
      </c>
      <c r="C455" t="s">
        <v>81</v>
      </c>
      <c r="D455" t="s">
        <v>21</v>
      </c>
      <c r="E455" t="s">
        <v>20</v>
      </c>
      <c r="F455">
        <v>1200</v>
      </c>
      <c r="G455">
        <v>1</v>
      </c>
      <c r="H455">
        <v>1200</v>
      </c>
      <c r="I455">
        <v>1200</v>
      </c>
    </row>
    <row r="456" spans="1:9" x14ac:dyDescent="0.3">
      <c r="A456">
        <v>453</v>
      </c>
      <c r="B456" s="24">
        <v>43918</v>
      </c>
      <c r="C456" t="s">
        <v>81</v>
      </c>
      <c r="D456" t="s">
        <v>14</v>
      </c>
      <c r="E456" t="s">
        <v>11</v>
      </c>
      <c r="F456">
        <v>900</v>
      </c>
      <c r="G456">
        <v>1</v>
      </c>
      <c r="H456">
        <v>900</v>
      </c>
      <c r="I456">
        <v>900</v>
      </c>
    </row>
    <row r="457" spans="1:9" x14ac:dyDescent="0.3">
      <c r="A457">
        <v>454</v>
      </c>
      <c r="B457" s="24">
        <v>43919</v>
      </c>
      <c r="C457" t="s">
        <v>81</v>
      </c>
      <c r="D457" t="s">
        <v>16</v>
      </c>
      <c r="E457" t="s">
        <v>17</v>
      </c>
      <c r="F457">
        <v>800</v>
      </c>
      <c r="G457">
        <v>1</v>
      </c>
      <c r="H457">
        <v>800</v>
      </c>
      <c r="I457">
        <v>800</v>
      </c>
    </row>
    <row r="458" spans="1:9" x14ac:dyDescent="0.3">
      <c r="A458">
        <v>455</v>
      </c>
      <c r="B458" s="24">
        <v>43920</v>
      </c>
      <c r="C458" t="s">
        <v>81</v>
      </c>
      <c r="D458" t="s">
        <v>14</v>
      </c>
      <c r="E458" t="s">
        <v>11</v>
      </c>
      <c r="F458">
        <v>900</v>
      </c>
      <c r="G458">
        <v>1</v>
      </c>
      <c r="H458">
        <v>900</v>
      </c>
      <c r="I458">
        <v>900</v>
      </c>
    </row>
    <row r="459" spans="1:9" x14ac:dyDescent="0.3">
      <c r="A459">
        <v>456</v>
      </c>
      <c r="B459" s="24">
        <v>43921</v>
      </c>
      <c r="C459" t="s">
        <v>81</v>
      </c>
      <c r="D459" t="s">
        <v>10</v>
      </c>
      <c r="E459" t="s">
        <v>11</v>
      </c>
      <c r="F459">
        <v>1100</v>
      </c>
      <c r="G459">
        <v>1</v>
      </c>
      <c r="H459">
        <v>1100</v>
      </c>
      <c r="I459">
        <v>1100</v>
      </c>
    </row>
    <row r="460" spans="1:9" x14ac:dyDescent="0.3">
      <c r="A460">
        <v>457</v>
      </c>
      <c r="B460" s="24">
        <v>43922</v>
      </c>
      <c r="C460" t="s">
        <v>81</v>
      </c>
      <c r="D460" t="s">
        <v>24</v>
      </c>
      <c r="E460" t="s">
        <v>23</v>
      </c>
      <c r="F460">
        <v>600</v>
      </c>
      <c r="G460">
        <v>1</v>
      </c>
      <c r="H460">
        <v>600</v>
      </c>
      <c r="I460">
        <v>600</v>
      </c>
    </row>
    <row r="461" spans="1:9" x14ac:dyDescent="0.3">
      <c r="A461">
        <v>458</v>
      </c>
      <c r="B461" s="24">
        <v>43923</v>
      </c>
      <c r="C461" t="s">
        <v>81</v>
      </c>
      <c r="D461" t="s">
        <v>10</v>
      </c>
      <c r="E461" t="s">
        <v>11</v>
      </c>
      <c r="F461">
        <v>1100</v>
      </c>
      <c r="G461">
        <v>1</v>
      </c>
      <c r="H461">
        <v>1100</v>
      </c>
      <c r="I461">
        <v>1100</v>
      </c>
    </row>
    <row r="462" spans="1:9" x14ac:dyDescent="0.3">
      <c r="A462">
        <v>459</v>
      </c>
      <c r="B462" s="24">
        <v>43924</v>
      </c>
      <c r="C462" t="s">
        <v>81</v>
      </c>
      <c r="D462" t="s">
        <v>16</v>
      </c>
      <c r="E462" t="s">
        <v>17</v>
      </c>
      <c r="F462">
        <v>800</v>
      </c>
      <c r="G462">
        <v>1</v>
      </c>
      <c r="H462">
        <v>800</v>
      </c>
      <c r="I462">
        <v>800</v>
      </c>
    </row>
    <row r="463" spans="1:9" x14ac:dyDescent="0.3">
      <c r="A463">
        <v>460</v>
      </c>
      <c r="B463" s="24">
        <v>43925</v>
      </c>
      <c r="C463" t="s">
        <v>81</v>
      </c>
      <c r="D463" t="s">
        <v>14</v>
      </c>
      <c r="E463" t="s">
        <v>11</v>
      </c>
      <c r="F463">
        <v>900</v>
      </c>
      <c r="G463">
        <v>1</v>
      </c>
      <c r="H463">
        <v>900</v>
      </c>
      <c r="I463">
        <v>900</v>
      </c>
    </row>
    <row r="464" spans="1:9" x14ac:dyDescent="0.3">
      <c r="A464">
        <v>461</v>
      </c>
      <c r="B464" s="24">
        <v>43926</v>
      </c>
      <c r="C464" t="s">
        <v>81</v>
      </c>
      <c r="D464" t="s">
        <v>10</v>
      </c>
      <c r="E464" t="s">
        <v>11</v>
      </c>
      <c r="F464">
        <v>1100</v>
      </c>
      <c r="G464">
        <v>1</v>
      </c>
      <c r="H464">
        <v>1100</v>
      </c>
      <c r="I464">
        <v>1100</v>
      </c>
    </row>
    <row r="465" spans="1:9" x14ac:dyDescent="0.3">
      <c r="A465">
        <v>462</v>
      </c>
      <c r="B465" s="24">
        <v>43927</v>
      </c>
      <c r="C465" t="s">
        <v>81</v>
      </c>
      <c r="D465" t="s">
        <v>14</v>
      </c>
      <c r="E465" t="s">
        <v>11</v>
      </c>
      <c r="F465">
        <v>900</v>
      </c>
      <c r="G465">
        <v>1</v>
      </c>
      <c r="H465">
        <v>900</v>
      </c>
      <c r="I465">
        <v>900</v>
      </c>
    </row>
    <row r="466" spans="1:9" x14ac:dyDescent="0.3">
      <c r="A466">
        <v>463</v>
      </c>
      <c r="B466" s="24">
        <v>43928</v>
      </c>
      <c r="C466" t="s">
        <v>81</v>
      </c>
      <c r="D466" t="s">
        <v>18</v>
      </c>
      <c r="E466" t="s">
        <v>17</v>
      </c>
      <c r="F466">
        <v>600</v>
      </c>
      <c r="G466">
        <v>1</v>
      </c>
      <c r="H466">
        <v>600</v>
      </c>
      <c r="I466">
        <v>600</v>
      </c>
    </row>
    <row r="467" spans="1:9" x14ac:dyDescent="0.3">
      <c r="A467">
        <v>464</v>
      </c>
      <c r="B467" s="24">
        <v>43929</v>
      </c>
      <c r="C467" t="s">
        <v>81</v>
      </c>
      <c r="D467" t="s">
        <v>10</v>
      </c>
      <c r="E467" t="s">
        <v>11</v>
      </c>
      <c r="F467">
        <v>1100</v>
      </c>
      <c r="G467">
        <v>1</v>
      </c>
      <c r="H467">
        <v>1100</v>
      </c>
      <c r="I467">
        <v>1100</v>
      </c>
    </row>
    <row r="468" spans="1:9" x14ac:dyDescent="0.3">
      <c r="A468">
        <v>465</v>
      </c>
      <c r="B468" s="24">
        <v>43930</v>
      </c>
      <c r="C468" t="s">
        <v>81</v>
      </c>
      <c r="D468" t="s">
        <v>10</v>
      </c>
      <c r="E468" t="s">
        <v>11</v>
      </c>
      <c r="F468">
        <v>1100</v>
      </c>
      <c r="G468">
        <v>2</v>
      </c>
      <c r="H468">
        <v>2200</v>
      </c>
      <c r="I468">
        <v>2200</v>
      </c>
    </row>
    <row r="469" spans="1:9" x14ac:dyDescent="0.3">
      <c r="A469">
        <v>466</v>
      </c>
      <c r="B469" s="24">
        <v>43931</v>
      </c>
      <c r="C469" t="s">
        <v>81</v>
      </c>
      <c r="D469" t="s">
        <v>10</v>
      </c>
      <c r="E469" t="s">
        <v>11</v>
      </c>
      <c r="F469">
        <v>1100</v>
      </c>
      <c r="G469">
        <v>1</v>
      </c>
      <c r="H469">
        <v>1100</v>
      </c>
      <c r="I469">
        <v>1100</v>
      </c>
    </row>
    <row r="470" spans="1:9" x14ac:dyDescent="0.3">
      <c r="A470">
        <v>467</v>
      </c>
      <c r="B470" s="24">
        <v>43932</v>
      </c>
      <c r="C470" t="s">
        <v>81</v>
      </c>
      <c r="D470" t="s">
        <v>10</v>
      </c>
      <c r="E470" t="s">
        <v>11</v>
      </c>
      <c r="F470">
        <v>1100</v>
      </c>
      <c r="G470">
        <v>1</v>
      </c>
      <c r="H470">
        <v>1100</v>
      </c>
      <c r="I470">
        <v>1100</v>
      </c>
    </row>
    <row r="471" spans="1:9" x14ac:dyDescent="0.3">
      <c r="A471">
        <v>468</v>
      </c>
      <c r="B471" s="24">
        <v>43933</v>
      </c>
      <c r="C471" t="s">
        <v>81</v>
      </c>
      <c r="D471" t="s">
        <v>10</v>
      </c>
      <c r="E471" t="s">
        <v>11</v>
      </c>
      <c r="F471">
        <v>1100</v>
      </c>
      <c r="G471">
        <v>1</v>
      </c>
      <c r="H471">
        <v>1100</v>
      </c>
      <c r="I471">
        <v>1100</v>
      </c>
    </row>
    <row r="472" spans="1:9" x14ac:dyDescent="0.3">
      <c r="A472">
        <v>469</v>
      </c>
      <c r="B472" s="24">
        <v>43934</v>
      </c>
      <c r="C472" t="s">
        <v>81</v>
      </c>
      <c r="D472" t="s">
        <v>18</v>
      </c>
      <c r="E472" t="s">
        <v>17</v>
      </c>
      <c r="F472">
        <v>600</v>
      </c>
      <c r="G472">
        <v>1</v>
      </c>
      <c r="H472">
        <v>600</v>
      </c>
      <c r="I472">
        <v>600</v>
      </c>
    </row>
    <row r="473" spans="1:9" x14ac:dyDescent="0.3">
      <c r="A473">
        <v>470</v>
      </c>
      <c r="B473" s="24">
        <v>43935</v>
      </c>
      <c r="C473" t="s">
        <v>81</v>
      </c>
      <c r="D473" t="s">
        <v>10</v>
      </c>
      <c r="E473" t="s">
        <v>11</v>
      </c>
      <c r="F473">
        <v>1100</v>
      </c>
      <c r="G473">
        <v>1</v>
      </c>
      <c r="H473">
        <v>1100</v>
      </c>
      <c r="I473">
        <v>1100</v>
      </c>
    </row>
    <row r="474" spans="1:9" x14ac:dyDescent="0.3">
      <c r="A474">
        <v>471</v>
      </c>
      <c r="B474" s="24">
        <v>43936</v>
      </c>
      <c r="C474" t="s">
        <v>81</v>
      </c>
      <c r="D474" t="s">
        <v>18</v>
      </c>
      <c r="E474" t="s">
        <v>17</v>
      </c>
      <c r="F474">
        <v>600</v>
      </c>
      <c r="G474">
        <v>1</v>
      </c>
      <c r="H474">
        <v>600</v>
      </c>
      <c r="I474">
        <v>600</v>
      </c>
    </row>
    <row r="475" spans="1:9" x14ac:dyDescent="0.3">
      <c r="A475">
        <v>472</v>
      </c>
      <c r="B475" s="24">
        <v>43937</v>
      </c>
      <c r="C475" t="s">
        <v>81</v>
      </c>
      <c r="D475" t="s">
        <v>14</v>
      </c>
      <c r="E475" t="s">
        <v>11</v>
      </c>
      <c r="F475">
        <v>900</v>
      </c>
      <c r="G475">
        <v>1</v>
      </c>
      <c r="H475">
        <v>900</v>
      </c>
      <c r="I475">
        <v>900</v>
      </c>
    </row>
    <row r="476" spans="1:9" x14ac:dyDescent="0.3">
      <c r="A476">
        <v>473</v>
      </c>
      <c r="B476" s="24">
        <v>43938</v>
      </c>
      <c r="C476" t="s">
        <v>81</v>
      </c>
      <c r="D476" t="s">
        <v>10</v>
      </c>
      <c r="E476" t="s">
        <v>11</v>
      </c>
      <c r="F476">
        <v>1100</v>
      </c>
      <c r="G476">
        <v>1</v>
      </c>
      <c r="H476">
        <v>1100</v>
      </c>
      <c r="I476">
        <v>1100</v>
      </c>
    </row>
    <row r="477" spans="1:9" x14ac:dyDescent="0.3">
      <c r="A477">
        <v>474</v>
      </c>
      <c r="B477" s="24">
        <v>43939</v>
      </c>
      <c r="C477" t="s">
        <v>81</v>
      </c>
      <c r="D477" t="s">
        <v>18</v>
      </c>
      <c r="E477" t="s">
        <v>17</v>
      </c>
      <c r="F477">
        <v>600</v>
      </c>
      <c r="G477">
        <v>1</v>
      </c>
      <c r="H477">
        <v>600</v>
      </c>
      <c r="I477">
        <v>600</v>
      </c>
    </row>
    <row r="478" spans="1:9" x14ac:dyDescent="0.3">
      <c r="A478">
        <v>475</v>
      </c>
      <c r="B478" s="24">
        <v>43940</v>
      </c>
      <c r="C478" t="s">
        <v>81</v>
      </c>
      <c r="D478" t="s">
        <v>18</v>
      </c>
      <c r="E478" t="s">
        <v>17</v>
      </c>
      <c r="F478">
        <v>600</v>
      </c>
      <c r="G478">
        <v>1</v>
      </c>
      <c r="H478">
        <v>600</v>
      </c>
      <c r="I478">
        <v>600</v>
      </c>
    </row>
    <row r="479" spans="1:9" x14ac:dyDescent="0.3">
      <c r="A479">
        <v>476</v>
      </c>
      <c r="B479" s="24">
        <v>43941</v>
      </c>
      <c r="C479" t="s">
        <v>81</v>
      </c>
      <c r="D479" t="s">
        <v>19</v>
      </c>
      <c r="E479" t="s">
        <v>20</v>
      </c>
      <c r="F479">
        <v>850</v>
      </c>
      <c r="G479">
        <v>1</v>
      </c>
      <c r="H479">
        <v>850</v>
      </c>
      <c r="I479">
        <v>850</v>
      </c>
    </row>
    <row r="480" spans="1:9" x14ac:dyDescent="0.3">
      <c r="A480">
        <v>477</v>
      </c>
      <c r="B480" s="24">
        <v>43942</v>
      </c>
      <c r="C480" t="s">
        <v>81</v>
      </c>
      <c r="D480" t="s">
        <v>18</v>
      </c>
      <c r="E480" t="s">
        <v>17</v>
      </c>
      <c r="F480">
        <v>600</v>
      </c>
      <c r="G480">
        <v>1</v>
      </c>
      <c r="H480">
        <v>600</v>
      </c>
      <c r="I480">
        <v>600</v>
      </c>
    </row>
    <row r="481" spans="1:9" x14ac:dyDescent="0.3">
      <c r="A481">
        <v>478</v>
      </c>
      <c r="B481" s="24">
        <v>43943</v>
      </c>
      <c r="C481" t="s">
        <v>81</v>
      </c>
      <c r="D481" t="s">
        <v>10</v>
      </c>
      <c r="E481" t="s">
        <v>11</v>
      </c>
      <c r="F481">
        <v>1100</v>
      </c>
      <c r="G481">
        <v>1</v>
      </c>
      <c r="H481">
        <v>1100</v>
      </c>
      <c r="I481">
        <v>1100</v>
      </c>
    </row>
    <row r="482" spans="1:9" x14ac:dyDescent="0.3">
      <c r="A482">
        <v>479</v>
      </c>
      <c r="B482" s="24">
        <v>43944</v>
      </c>
      <c r="C482" t="s">
        <v>81</v>
      </c>
      <c r="D482" t="s">
        <v>24</v>
      </c>
      <c r="E482" t="s">
        <v>23</v>
      </c>
      <c r="F482">
        <v>300</v>
      </c>
      <c r="G482">
        <v>1</v>
      </c>
      <c r="H482">
        <v>300</v>
      </c>
      <c r="I482">
        <v>300</v>
      </c>
    </row>
    <row r="483" spans="1:9" x14ac:dyDescent="0.3">
      <c r="A483">
        <v>480</v>
      </c>
      <c r="B483" s="24">
        <v>43945</v>
      </c>
      <c r="C483" t="s">
        <v>81</v>
      </c>
      <c r="D483" t="s">
        <v>24</v>
      </c>
      <c r="E483" t="s">
        <v>23</v>
      </c>
      <c r="F483">
        <v>300</v>
      </c>
      <c r="G483">
        <v>1</v>
      </c>
      <c r="H483">
        <v>300</v>
      </c>
      <c r="I483">
        <v>300</v>
      </c>
    </row>
    <row r="484" spans="1:9" x14ac:dyDescent="0.3">
      <c r="A484">
        <v>481</v>
      </c>
      <c r="B484" s="24">
        <v>43946</v>
      </c>
      <c r="C484" t="s">
        <v>81</v>
      </c>
      <c r="D484" t="s">
        <v>18</v>
      </c>
      <c r="E484" t="s">
        <v>17</v>
      </c>
      <c r="F484">
        <v>600</v>
      </c>
      <c r="G484">
        <v>1</v>
      </c>
      <c r="H484">
        <v>600</v>
      </c>
      <c r="I484">
        <v>600</v>
      </c>
    </row>
    <row r="485" spans="1:9" x14ac:dyDescent="0.3">
      <c r="A485">
        <v>482</v>
      </c>
      <c r="B485" s="24">
        <v>43947</v>
      </c>
      <c r="C485" t="s">
        <v>81</v>
      </c>
      <c r="D485" t="s">
        <v>22</v>
      </c>
      <c r="E485" t="s">
        <v>23</v>
      </c>
      <c r="F485">
        <v>800</v>
      </c>
      <c r="G485">
        <v>1</v>
      </c>
      <c r="H485">
        <v>800</v>
      </c>
      <c r="I485">
        <v>800</v>
      </c>
    </row>
    <row r="486" spans="1:9" x14ac:dyDescent="0.3">
      <c r="A486">
        <v>483</v>
      </c>
      <c r="B486" s="24">
        <v>43948</v>
      </c>
      <c r="C486" t="s">
        <v>81</v>
      </c>
      <c r="D486" t="s">
        <v>18</v>
      </c>
      <c r="E486" t="s">
        <v>17</v>
      </c>
      <c r="F486">
        <v>600</v>
      </c>
      <c r="G486">
        <v>1</v>
      </c>
      <c r="H486">
        <v>600</v>
      </c>
      <c r="I486">
        <v>600</v>
      </c>
    </row>
    <row r="487" spans="1:9" x14ac:dyDescent="0.3">
      <c r="A487">
        <v>484</v>
      </c>
      <c r="B487" s="24">
        <v>43949</v>
      </c>
      <c r="C487" t="s">
        <v>81</v>
      </c>
      <c r="D487" t="s">
        <v>22</v>
      </c>
      <c r="E487" t="s">
        <v>23</v>
      </c>
      <c r="F487">
        <v>500</v>
      </c>
      <c r="G487">
        <v>1</v>
      </c>
      <c r="H487">
        <v>500</v>
      </c>
      <c r="I487">
        <v>500</v>
      </c>
    </row>
    <row r="488" spans="1:9" x14ac:dyDescent="0.3">
      <c r="A488">
        <v>485</v>
      </c>
      <c r="B488" s="24">
        <v>43950</v>
      </c>
      <c r="C488" t="s">
        <v>81</v>
      </c>
      <c r="D488" t="s">
        <v>10</v>
      </c>
      <c r="E488" t="s">
        <v>11</v>
      </c>
      <c r="F488">
        <v>1100</v>
      </c>
      <c r="G488">
        <v>1</v>
      </c>
      <c r="H488">
        <v>1100</v>
      </c>
      <c r="I488">
        <v>1100</v>
      </c>
    </row>
    <row r="489" spans="1:9" x14ac:dyDescent="0.3">
      <c r="A489">
        <v>486</v>
      </c>
      <c r="B489" s="24">
        <v>43951</v>
      </c>
      <c r="C489" t="s">
        <v>81</v>
      </c>
      <c r="D489" t="s">
        <v>18</v>
      </c>
      <c r="E489" t="s">
        <v>17</v>
      </c>
      <c r="F489">
        <v>600</v>
      </c>
      <c r="G489">
        <v>1</v>
      </c>
      <c r="H489">
        <v>600</v>
      </c>
      <c r="I489">
        <v>600</v>
      </c>
    </row>
    <row r="490" spans="1:9" x14ac:dyDescent="0.3">
      <c r="A490">
        <v>487</v>
      </c>
      <c r="B490" s="24">
        <v>43952</v>
      </c>
      <c r="C490" t="s">
        <v>81</v>
      </c>
      <c r="D490" t="s">
        <v>12</v>
      </c>
      <c r="E490" t="s">
        <v>11</v>
      </c>
      <c r="F490">
        <v>900</v>
      </c>
      <c r="G490">
        <v>1</v>
      </c>
      <c r="H490">
        <v>900</v>
      </c>
      <c r="I490">
        <v>765</v>
      </c>
    </row>
    <row r="491" spans="1:9" x14ac:dyDescent="0.3">
      <c r="A491">
        <v>488</v>
      </c>
      <c r="B491" s="24">
        <v>43953</v>
      </c>
      <c r="C491" t="s">
        <v>81</v>
      </c>
      <c r="D491" t="s">
        <v>10</v>
      </c>
      <c r="E491" t="s">
        <v>11</v>
      </c>
      <c r="F491">
        <v>1100</v>
      </c>
      <c r="G491">
        <v>1</v>
      </c>
      <c r="H491">
        <v>1100</v>
      </c>
      <c r="I491">
        <v>1100</v>
      </c>
    </row>
    <row r="492" spans="1:9" x14ac:dyDescent="0.3">
      <c r="A492">
        <v>489</v>
      </c>
      <c r="B492" s="24">
        <v>43954</v>
      </c>
      <c r="C492" t="s">
        <v>81</v>
      </c>
      <c r="D492" t="s">
        <v>21</v>
      </c>
      <c r="E492" t="s">
        <v>20</v>
      </c>
      <c r="F492">
        <v>1200</v>
      </c>
      <c r="G492">
        <v>1</v>
      </c>
      <c r="H492">
        <v>1200</v>
      </c>
      <c r="I492">
        <v>1200</v>
      </c>
    </row>
    <row r="493" spans="1:9" x14ac:dyDescent="0.3">
      <c r="A493">
        <v>490</v>
      </c>
      <c r="B493" s="24">
        <v>43955</v>
      </c>
      <c r="C493" t="s">
        <v>81</v>
      </c>
      <c r="D493" t="s">
        <v>10</v>
      </c>
      <c r="E493" t="s">
        <v>11</v>
      </c>
      <c r="F493">
        <v>1100</v>
      </c>
      <c r="G493">
        <v>1</v>
      </c>
      <c r="H493">
        <v>1100</v>
      </c>
      <c r="I493">
        <v>1100</v>
      </c>
    </row>
    <row r="494" spans="1:9" x14ac:dyDescent="0.3">
      <c r="A494">
        <v>491</v>
      </c>
      <c r="B494" s="24">
        <v>43956</v>
      </c>
      <c r="C494" t="s">
        <v>81</v>
      </c>
      <c r="D494" t="s">
        <v>12</v>
      </c>
      <c r="E494" t="s">
        <v>11</v>
      </c>
      <c r="F494">
        <v>900</v>
      </c>
      <c r="G494">
        <v>1</v>
      </c>
      <c r="H494">
        <v>900</v>
      </c>
      <c r="I494">
        <v>765</v>
      </c>
    </row>
    <row r="495" spans="1:9" x14ac:dyDescent="0.3">
      <c r="A495">
        <v>492</v>
      </c>
      <c r="B495" s="24">
        <v>43957</v>
      </c>
      <c r="C495" t="s">
        <v>81</v>
      </c>
      <c r="D495" t="s">
        <v>22</v>
      </c>
      <c r="E495" t="s">
        <v>23</v>
      </c>
      <c r="F495">
        <v>900</v>
      </c>
      <c r="G495">
        <v>1</v>
      </c>
      <c r="H495">
        <v>900</v>
      </c>
      <c r="I495">
        <v>900</v>
      </c>
    </row>
    <row r="496" spans="1:9" x14ac:dyDescent="0.3">
      <c r="A496">
        <v>493</v>
      </c>
      <c r="B496" s="24">
        <v>43958</v>
      </c>
      <c r="C496" t="s">
        <v>81</v>
      </c>
      <c r="D496" t="s">
        <v>24</v>
      </c>
      <c r="E496" t="s">
        <v>23</v>
      </c>
      <c r="F496">
        <v>600</v>
      </c>
      <c r="G496">
        <v>1</v>
      </c>
      <c r="H496">
        <v>600</v>
      </c>
      <c r="I496">
        <v>600</v>
      </c>
    </row>
    <row r="497" spans="1:9" x14ac:dyDescent="0.3">
      <c r="A497">
        <v>494</v>
      </c>
      <c r="B497" s="24">
        <v>43959</v>
      </c>
      <c r="C497" t="s">
        <v>81</v>
      </c>
      <c r="D497" t="s">
        <v>10</v>
      </c>
      <c r="E497" t="s">
        <v>11</v>
      </c>
      <c r="F497">
        <v>1100</v>
      </c>
      <c r="G497">
        <v>1</v>
      </c>
      <c r="H497">
        <v>1100</v>
      </c>
      <c r="I497">
        <v>1100</v>
      </c>
    </row>
    <row r="498" spans="1:9" x14ac:dyDescent="0.3">
      <c r="A498">
        <v>495</v>
      </c>
      <c r="B498" s="24">
        <v>43960</v>
      </c>
      <c r="C498" t="s">
        <v>81</v>
      </c>
      <c r="D498" t="s">
        <v>10</v>
      </c>
      <c r="E498" t="s">
        <v>11</v>
      </c>
      <c r="F498">
        <v>1100</v>
      </c>
      <c r="G498">
        <v>1</v>
      </c>
      <c r="H498">
        <v>1100</v>
      </c>
      <c r="I498">
        <v>1100</v>
      </c>
    </row>
    <row r="499" spans="1:9" x14ac:dyDescent="0.3">
      <c r="A499">
        <v>496</v>
      </c>
      <c r="B499" s="24">
        <v>43961</v>
      </c>
      <c r="C499" t="s">
        <v>81</v>
      </c>
      <c r="D499" t="s">
        <v>22</v>
      </c>
      <c r="E499" t="s">
        <v>23</v>
      </c>
      <c r="F499">
        <v>500</v>
      </c>
      <c r="G499">
        <v>1</v>
      </c>
      <c r="H499">
        <v>500</v>
      </c>
      <c r="I499">
        <v>500</v>
      </c>
    </row>
    <row r="500" spans="1:9" x14ac:dyDescent="0.3">
      <c r="A500">
        <v>497</v>
      </c>
      <c r="B500" s="24">
        <v>43962</v>
      </c>
      <c r="C500" t="s">
        <v>81</v>
      </c>
      <c r="D500" t="s">
        <v>19</v>
      </c>
      <c r="E500" t="s">
        <v>20</v>
      </c>
      <c r="F500">
        <v>850</v>
      </c>
      <c r="G500">
        <v>1</v>
      </c>
      <c r="H500">
        <v>850</v>
      </c>
      <c r="I500">
        <v>850</v>
      </c>
    </row>
    <row r="501" spans="1:9" x14ac:dyDescent="0.3">
      <c r="A501">
        <v>498</v>
      </c>
      <c r="B501" s="24">
        <v>43963</v>
      </c>
      <c r="C501" t="s">
        <v>81</v>
      </c>
      <c r="D501" t="s">
        <v>10</v>
      </c>
      <c r="E501" t="s">
        <v>11</v>
      </c>
      <c r="F501">
        <v>1100</v>
      </c>
      <c r="G501">
        <v>1</v>
      </c>
      <c r="H501">
        <v>1100</v>
      </c>
      <c r="I501">
        <v>1100</v>
      </c>
    </row>
    <row r="502" spans="1:9" x14ac:dyDescent="0.3">
      <c r="A502">
        <v>499</v>
      </c>
      <c r="B502" s="24">
        <v>43964</v>
      </c>
      <c r="C502" t="s">
        <v>81</v>
      </c>
      <c r="D502" t="s">
        <v>24</v>
      </c>
      <c r="E502" t="s">
        <v>23</v>
      </c>
      <c r="F502">
        <v>300</v>
      </c>
      <c r="G502">
        <v>1</v>
      </c>
      <c r="H502">
        <v>300</v>
      </c>
      <c r="I502">
        <v>300</v>
      </c>
    </row>
    <row r="503" spans="1:9" x14ac:dyDescent="0.3">
      <c r="A503">
        <v>500</v>
      </c>
      <c r="B503" s="24">
        <v>43965</v>
      </c>
      <c r="C503" t="s">
        <v>81</v>
      </c>
      <c r="D503" t="s">
        <v>16</v>
      </c>
      <c r="E503" t="s">
        <v>17</v>
      </c>
      <c r="F503">
        <v>800</v>
      </c>
      <c r="G503">
        <v>1</v>
      </c>
      <c r="H503">
        <v>800</v>
      </c>
      <c r="I503">
        <v>800</v>
      </c>
    </row>
    <row r="504" spans="1:9" x14ac:dyDescent="0.3">
      <c r="A504">
        <v>501</v>
      </c>
      <c r="B504" s="24">
        <v>43966</v>
      </c>
      <c r="C504" t="s">
        <v>81</v>
      </c>
      <c r="D504" t="s">
        <v>12</v>
      </c>
      <c r="E504" t="s">
        <v>11</v>
      </c>
      <c r="F504">
        <v>900</v>
      </c>
      <c r="G504">
        <v>1</v>
      </c>
      <c r="H504">
        <v>900</v>
      </c>
      <c r="I504">
        <v>765</v>
      </c>
    </row>
    <row r="505" spans="1:9" x14ac:dyDescent="0.3">
      <c r="A505">
        <v>502</v>
      </c>
      <c r="B505" s="24">
        <v>43967</v>
      </c>
      <c r="C505" t="s">
        <v>81</v>
      </c>
      <c r="D505" t="s">
        <v>10</v>
      </c>
      <c r="E505" t="s">
        <v>11</v>
      </c>
      <c r="F505">
        <v>1100</v>
      </c>
      <c r="G505">
        <v>1</v>
      </c>
      <c r="H505">
        <v>1100</v>
      </c>
      <c r="I505">
        <v>1100</v>
      </c>
    </row>
    <row r="506" spans="1:9" x14ac:dyDescent="0.3">
      <c r="A506">
        <v>503</v>
      </c>
      <c r="B506" s="24">
        <v>43968</v>
      </c>
      <c r="C506" t="s">
        <v>81</v>
      </c>
      <c r="D506" t="s">
        <v>22</v>
      </c>
      <c r="E506" t="s">
        <v>23</v>
      </c>
      <c r="F506">
        <v>500</v>
      </c>
      <c r="G506">
        <v>1</v>
      </c>
      <c r="H506">
        <v>500</v>
      </c>
      <c r="I506">
        <v>500</v>
      </c>
    </row>
    <row r="507" spans="1:9" x14ac:dyDescent="0.3">
      <c r="A507">
        <v>504</v>
      </c>
      <c r="B507" s="24">
        <v>43969</v>
      </c>
      <c r="C507" t="s">
        <v>81</v>
      </c>
      <c r="D507" t="s">
        <v>18</v>
      </c>
      <c r="E507" t="s">
        <v>17</v>
      </c>
      <c r="F507">
        <v>600</v>
      </c>
      <c r="G507">
        <v>1</v>
      </c>
      <c r="H507">
        <v>600</v>
      </c>
      <c r="I507">
        <v>600</v>
      </c>
    </row>
    <row r="508" spans="1:9" x14ac:dyDescent="0.3">
      <c r="A508">
        <v>505</v>
      </c>
      <c r="B508" s="24">
        <v>43970</v>
      </c>
      <c r="C508" t="s">
        <v>81</v>
      </c>
      <c r="D508" t="s">
        <v>14</v>
      </c>
      <c r="E508" t="s">
        <v>11</v>
      </c>
      <c r="F508">
        <v>900</v>
      </c>
      <c r="G508">
        <v>1</v>
      </c>
      <c r="H508">
        <v>900</v>
      </c>
      <c r="I508">
        <v>900</v>
      </c>
    </row>
    <row r="509" spans="1:9" x14ac:dyDescent="0.3">
      <c r="A509">
        <v>506</v>
      </c>
      <c r="B509" s="24">
        <v>43971</v>
      </c>
      <c r="C509" t="s">
        <v>81</v>
      </c>
      <c r="D509" t="s">
        <v>24</v>
      </c>
      <c r="E509" t="s">
        <v>23</v>
      </c>
      <c r="F509">
        <v>600</v>
      </c>
      <c r="G509">
        <v>1</v>
      </c>
      <c r="H509">
        <v>600</v>
      </c>
      <c r="I509">
        <v>600</v>
      </c>
    </row>
    <row r="510" spans="1:9" x14ac:dyDescent="0.3">
      <c r="A510">
        <v>507</v>
      </c>
      <c r="B510" s="24">
        <v>43972</v>
      </c>
      <c r="C510" t="s">
        <v>81</v>
      </c>
      <c r="D510" t="s">
        <v>18</v>
      </c>
      <c r="E510" t="s">
        <v>17</v>
      </c>
      <c r="F510">
        <v>600</v>
      </c>
      <c r="G510">
        <v>1</v>
      </c>
      <c r="H510">
        <v>600</v>
      </c>
      <c r="I510">
        <v>600</v>
      </c>
    </row>
    <row r="511" spans="1:9" x14ac:dyDescent="0.3">
      <c r="A511">
        <v>508</v>
      </c>
      <c r="B511" s="24">
        <v>43973</v>
      </c>
      <c r="C511" t="s">
        <v>81</v>
      </c>
      <c r="D511" t="s">
        <v>10</v>
      </c>
      <c r="E511" t="s">
        <v>11</v>
      </c>
      <c r="F511">
        <v>1100</v>
      </c>
      <c r="G511">
        <v>1</v>
      </c>
      <c r="H511">
        <v>1100</v>
      </c>
      <c r="I511">
        <v>1100</v>
      </c>
    </row>
    <row r="512" spans="1:9" x14ac:dyDescent="0.3">
      <c r="A512">
        <v>509</v>
      </c>
      <c r="B512" s="24">
        <v>43974</v>
      </c>
      <c r="C512" t="s">
        <v>81</v>
      </c>
      <c r="D512" t="s">
        <v>10</v>
      </c>
      <c r="E512" t="s">
        <v>11</v>
      </c>
      <c r="F512">
        <v>1100</v>
      </c>
      <c r="G512">
        <v>2</v>
      </c>
      <c r="H512">
        <v>2200</v>
      </c>
      <c r="I512">
        <v>2200</v>
      </c>
    </row>
    <row r="513" spans="1:9" x14ac:dyDescent="0.3">
      <c r="A513">
        <v>510</v>
      </c>
      <c r="B513" s="24">
        <v>43975</v>
      </c>
      <c r="C513" t="s">
        <v>81</v>
      </c>
      <c r="D513" t="s">
        <v>10</v>
      </c>
      <c r="E513" t="s">
        <v>11</v>
      </c>
      <c r="F513">
        <v>1100</v>
      </c>
      <c r="G513">
        <v>1</v>
      </c>
      <c r="H513">
        <v>1100</v>
      </c>
      <c r="I513">
        <v>1100</v>
      </c>
    </row>
    <row r="514" spans="1:9" x14ac:dyDescent="0.3">
      <c r="A514">
        <v>511</v>
      </c>
      <c r="B514" s="24">
        <v>43976</v>
      </c>
      <c r="C514" t="s">
        <v>81</v>
      </c>
      <c r="D514" t="s">
        <v>19</v>
      </c>
      <c r="E514" t="s">
        <v>20</v>
      </c>
      <c r="F514">
        <v>850</v>
      </c>
      <c r="G514">
        <v>1</v>
      </c>
      <c r="H514">
        <v>850</v>
      </c>
      <c r="I514">
        <v>850</v>
      </c>
    </row>
    <row r="515" spans="1:9" x14ac:dyDescent="0.3">
      <c r="A515">
        <v>512</v>
      </c>
      <c r="B515" s="24">
        <v>43977</v>
      </c>
      <c r="C515" t="s">
        <v>81</v>
      </c>
      <c r="D515" t="s">
        <v>10</v>
      </c>
      <c r="E515" t="s">
        <v>11</v>
      </c>
      <c r="F515">
        <v>1100</v>
      </c>
      <c r="G515">
        <v>1</v>
      </c>
      <c r="H515">
        <v>1100</v>
      </c>
      <c r="I515">
        <v>1100</v>
      </c>
    </row>
    <row r="516" spans="1:9" x14ac:dyDescent="0.3">
      <c r="A516">
        <v>513</v>
      </c>
      <c r="B516" s="24">
        <v>43978</v>
      </c>
      <c r="C516" t="s">
        <v>81</v>
      </c>
      <c r="D516" t="s">
        <v>12</v>
      </c>
      <c r="E516" t="s">
        <v>11</v>
      </c>
      <c r="F516">
        <v>900</v>
      </c>
      <c r="G516">
        <v>1</v>
      </c>
      <c r="H516">
        <v>900</v>
      </c>
      <c r="I516">
        <v>765</v>
      </c>
    </row>
    <row r="517" spans="1:9" x14ac:dyDescent="0.3">
      <c r="A517">
        <v>514</v>
      </c>
      <c r="B517" s="24">
        <v>43979</v>
      </c>
      <c r="C517" t="s">
        <v>81</v>
      </c>
      <c r="D517" t="s">
        <v>14</v>
      </c>
      <c r="E517" t="s">
        <v>11</v>
      </c>
      <c r="F517">
        <v>900</v>
      </c>
      <c r="G517">
        <v>1</v>
      </c>
      <c r="H517">
        <v>900</v>
      </c>
      <c r="I517">
        <v>900</v>
      </c>
    </row>
    <row r="518" spans="1:9" x14ac:dyDescent="0.3">
      <c r="A518">
        <v>515</v>
      </c>
      <c r="B518" s="24">
        <v>43980</v>
      </c>
      <c r="C518" t="s">
        <v>81</v>
      </c>
      <c r="D518" t="s">
        <v>12</v>
      </c>
      <c r="E518" t="s">
        <v>11</v>
      </c>
      <c r="F518">
        <v>900</v>
      </c>
      <c r="G518">
        <v>1</v>
      </c>
      <c r="H518">
        <v>900</v>
      </c>
      <c r="I518">
        <v>765</v>
      </c>
    </row>
    <row r="519" spans="1:9" x14ac:dyDescent="0.3">
      <c r="A519">
        <v>516</v>
      </c>
      <c r="B519" s="24">
        <v>43981</v>
      </c>
      <c r="C519" t="s">
        <v>81</v>
      </c>
      <c r="D519" t="s">
        <v>15</v>
      </c>
      <c r="E519" t="s">
        <v>11</v>
      </c>
      <c r="F519">
        <v>1000</v>
      </c>
      <c r="G519">
        <v>1</v>
      </c>
      <c r="H519">
        <v>1000</v>
      </c>
      <c r="I519">
        <v>1000</v>
      </c>
    </row>
    <row r="520" spans="1:9" x14ac:dyDescent="0.3">
      <c r="A520">
        <v>517</v>
      </c>
      <c r="B520" s="24">
        <v>43982</v>
      </c>
      <c r="C520" t="s">
        <v>81</v>
      </c>
      <c r="D520" t="s">
        <v>21</v>
      </c>
      <c r="E520" t="s">
        <v>20</v>
      </c>
      <c r="F520">
        <v>1200</v>
      </c>
      <c r="G520">
        <v>1</v>
      </c>
      <c r="H520">
        <v>1200</v>
      </c>
      <c r="I520">
        <v>1200</v>
      </c>
    </row>
    <row r="521" spans="1:9" x14ac:dyDescent="0.3">
      <c r="A521">
        <v>518</v>
      </c>
      <c r="B521" s="24">
        <v>43983</v>
      </c>
      <c r="C521" t="s">
        <v>81</v>
      </c>
      <c r="D521" t="s">
        <v>14</v>
      </c>
      <c r="E521" t="s">
        <v>11</v>
      </c>
      <c r="F521">
        <v>900</v>
      </c>
      <c r="G521">
        <v>1</v>
      </c>
      <c r="H521">
        <v>900</v>
      </c>
      <c r="I521">
        <v>900</v>
      </c>
    </row>
    <row r="522" spans="1:9" x14ac:dyDescent="0.3">
      <c r="A522">
        <v>519</v>
      </c>
      <c r="B522" s="24">
        <v>43984</v>
      </c>
      <c r="C522" t="s">
        <v>81</v>
      </c>
      <c r="D522" t="s">
        <v>18</v>
      </c>
      <c r="E522" t="s">
        <v>17</v>
      </c>
      <c r="F522">
        <v>600</v>
      </c>
      <c r="G522">
        <v>1</v>
      </c>
      <c r="H522">
        <v>600</v>
      </c>
      <c r="I522">
        <v>600</v>
      </c>
    </row>
    <row r="523" spans="1:9" x14ac:dyDescent="0.3">
      <c r="A523">
        <v>520</v>
      </c>
      <c r="B523" s="24">
        <v>43985</v>
      </c>
      <c r="C523" t="s">
        <v>81</v>
      </c>
      <c r="D523" t="s">
        <v>24</v>
      </c>
      <c r="E523" t="s">
        <v>23</v>
      </c>
      <c r="F523">
        <v>600</v>
      </c>
      <c r="G523">
        <v>1</v>
      </c>
      <c r="H523">
        <v>600</v>
      </c>
      <c r="I523">
        <v>600</v>
      </c>
    </row>
    <row r="524" spans="1:9" x14ac:dyDescent="0.3">
      <c r="A524">
        <v>521</v>
      </c>
      <c r="B524" s="24">
        <v>43986</v>
      </c>
      <c r="C524" t="s">
        <v>81</v>
      </c>
      <c r="D524" t="s">
        <v>16</v>
      </c>
      <c r="E524" t="s">
        <v>17</v>
      </c>
      <c r="F524">
        <v>800</v>
      </c>
      <c r="G524">
        <v>1</v>
      </c>
      <c r="H524">
        <v>800</v>
      </c>
      <c r="I524">
        <v>800</v>
      </c>
    </row>
    <row r="525" spans="1:9" x14ac:dyDescent="0.3">
      <c r="A525">
        <v>522</v>
      </c>
      <c r="B525" s="24">
        <v>43987</v>
      </c>
      <c r="C525" t="s">
        <v>81</v>
      </c>
      <c r="D525" t="s">
        <v>24</v>
      </c>
      <c r="E525" t="s">
        <v>23</v>
      </c>
      <c r="F525">
        <v>600</v>
      </c>
      <c r="G525">
        <v>1</v>
      </c>
      <c r="H525">
        <v>600</v>
      </c>
      <c r="I525">
        <v>600</v>
      </c>
    </row>
    <row r="526" spans="1:9" x14ac:dyDescent="0.3">
      <c r="A526">
        <v>523</v>
      </c>
      <c r="B526" s="24">
        <v>43988</v>
      </c>
      <c r="C526" t="s">
        <v>81</v>
      </c>
      <c r="D526" t="s">
        <v>10</v>
      </c>
      <c r="E526" t="s">
        <v>11</v>
      </c>
      <c r="F526">
        <v>1100</v>
      </c>
      <c r="G526">
        <v>1</v>
      </c>
      <c r="H526">
        <v>1100</v>
      </c>
      <c r="I526">
        <v>1100</v>
      </c>
    </row>
    <row r="527" spans="1:9" x14ac:dyDescent="0.3">
      <c r="A527">
        <v>524</v>
      </c>
      <c r="B527" s="24">
        <v>43989</v>
      </c>
      <c r="C527" t="s">
        <v>81</v>
      </c>
      <c r="D527" t="s">
        <v>10</v>
      </c>
      <c r="E527" t="s">
        <v>11</v>
      </c>
      <c r="F527">
        <v>1100</v>
      </c>
      <c r="G527">
        <v>1</v>
      </c>
      <c r="H527">
        <v>1100</v>
      </c>
      <c r="I527">
        <v>1100</v>
      </c>
    </row>
    <row r="528" spans="1:9" x14ac:dyDescent="0.3">
      <c r="A528">
        <v>525</v>
      </c>
      <c r="B528" s="24">
        <v>43990</v>
      </c>
      <c r="C528" t="s">
        <v>81</v>
      </c>
      <c r="D528" t="s">
        <v>19</v>
      </c>
      <c r="E528" t="s">
        <v>20</v>
      </c>
      <c r="F528">
        <v>850</v>
      </c>
      <c r="G528">
        <v>1</v>
      </c>
      <c r="H528">
        <v>850</v>
      </c>
      <c r="I528">
        <v>850</v>
      </c>
    </row>
    <row r="529" spans="1:9" x14ac:dyDescent="0.3">
      <c r="A529">
        <v>526</v>
      </c>
      <c r="B529" s="24">
        <v>43991</v>
      </c>
      <c r="C529" t="s">
        <v>81</v>
      </c>
      <c r="D529" t="s">
        <v>10</v>
      </c>
      <c r="E529" t="s">
        <v>11</v>
      </c>
      <c r="F529">
        <v>1100</v>
      </c>
      <c r="G529">
        <v>1</v>
      </c>
      <c r="H529">
        <v>1100</v>
      </c>
      <c r="I529">
        <v>1100</v>
      </c>
    </row>
    <row r="530" spans="1:9" x14ac:dyDescent="0.3">
      <c r="A530">
        <v>527</v>
      </c>
      <c r="B530" s="24">
        <v>43992</v>
      </c>
      <c r="C530" t="s">
        <v>81</v>
      </c>
      <c r="D530" t="s">
        <v>10</v>
      </c>
      <c r="E530" t="s">
        <v>11</v>
      </c>
      <c r="F530">
        <v>1100</v>
      </c>
      <c r="G530">
        <v>2</v>
      </c>
      <c r="H530">
        <v>2200</v>
      </c>
      <c r="I530">
        <v>2200</v>
      </c>
    </row>
    <row r="531" spans="1:9" x14ac:dyDescent="0.3">
      <c r="A531">
        <v>528</v>
      </c>
      <c r="B531" s="24">
        <v>43993</v>
      </c>
      <c r="C531" t="s">
        <v>81</v>
      </c>
      <c r="D531" t="s">
        <v>24</v>
      </c>
      <c r="E531" t="s">
        <v>23</v>
      </c>
      <c r="F531">
        <v>300</v>
      </c>
      <c r="G531">
        <v>1</v>
      </c>
      <c r="H531">
        <v>300</v>
      </c>
      <c r="I531">
        <v>300</v>
      </c>
    </row>
    <row r="532" spans="1:9" x14ac:dyDescent="0.3">
      <c r="A532">
        <v>529</v>
      </c>
      <c r="B532" s="24">
        <v>43994</v>
      </c>
      <c r="C532" t="s">
        <v>81</v>
      </c>
      <c r="D532" t="s">
        <v>18</v>
      </c>
      <c r="E532" t="s">
        <v>17</v>
      </c>
      <c r="F532">
        <v>600</v>
      </c>
      <c r="G532">
        <v>1</v>
      </c>
      <c r="H532">
        <v>600</v>
      </c>
      <c r="I532">
        <v>600</v>
      </c>
    </row>
    <row r="533" spans="1:9" x14ac:dyDescent="0.3">
      <c r="A533">
        <v>530</v>
      </c>
      <c r="B533" s="24">
        <v>43995</v>
      </c>
      <c r="C533" t="s">
        <v>81</v>
      </c>
      <c r="D533" t="s">
        <v>18</v>
      </c>
      <c r="E533" t="s">
        <v>17</v>
      </c>
      <c r="F533">
        <v>600</v>
      </c>
      <c r="G533">
        <v>1</v>
      </c>
      <c r="H533">
        <v>600</v>
      </c>
      <c r="I533">
        <v>600</v>
      </c>
    </row>
    <row r="534" spans="1:9" x14ac:dyDescent="0.3">
      <c r="A534">
        <v>531</v>
      </c>
      <c r="B534" s="24">
        <v>43996</v>
      </c>
      <c r="C534" t="s">
        <v>81</v>
      </c>
      <c r="D534" t="s">
        <v>10</v>
      </c>
      <c r="E534" t="s">
        <v>11</v>
      </c>
      <c r="F534">
        <v>1100</v>
      </c>
      <c r="G534">
        <v>1</v>
      </c>
      <c r="H534">
        <v>1100</v>
      </c>
      <c r="I534">
        <v>1100</v>
      </c>
    </row>
    <row r="535" spans="1:9" x14ac:dyDescent="0.3">
      <c r="A535">
        <v>532</v>
      </c>
      <c r="B535" s="24">
        <v>43997</v>
      </c>
      <c r="C535" t="s">
        <v>81</v>
      </c>
      <c r="D535" t="s">
        <v>14</v>
      </c>
      <c r="E535" t="s">
        <v>11</v>
      </c>
      <c r="F535">
        <v>900</v>
      </c>
      <c r="G535">
        <v>1</v>
      </c>
      <c r="H535">
        <v>900</v>
      </c>
      <c r="I535">
        <v>900</v>
      </c>
    </row>
    <row r="536" spans="1:9" x14ac:dyDescent="0.3">
      <c r="A536">
        <v>533</v>
      </c>
      <c r="B536" s="24">
        <v>43998</v>
      </c>
      <c r="C536" t="s">
        <v>81</v>
      </c>
      <c r="D536" t="s">
        <v>12</v>
      </c>
      <c r="E536" t="s">
        <v>11</v>
      </c>
      <c r="F536">
        <v>900</v>
      </c>
      <c r="G536">
        <v>1</v>
      </c>
      <c r="H536">
        <v>900</v>
      </c>
      <c r="I536">
        <v>765</v>
      </c>
    </row>
    <row r="537" spans="1:9" x14ac:dyDescent="0.3">
      <c r="A537">
        <v>534</v>
      </c>
      <c r="B537" s="24">
        <v>43999</v>
      </c>
      <c r="C537" t="s">
        <v>81</v>
      </c>
      <c r="D537" t="s">
        <v>12</v>
      </c>
      <c r="E537" t="s">
        <v>11</v>
      </c>
      <c r="F537">
        <v>900</v>
      </c>
      <c r="G537">
        <v>1</v>
      </c>
      <c r="H537">
        <v>900</v>
      </c>
      <c r="I537">
        <v>765</v>
      </c>
    </row>
    <row r="538" spans="1:9" x14ac:dyDescent="0.3">
      <c r="A538">
        <v>535</v>
      </c>
      <c r="B538" s="24">
        <v>44000</v>
      </c>
      <c r="C538" t="s">
        <v>81</v>
      </c>
      <c r="D538" t="s">
        <v>10</v>
      </c>
      <c r="E538" t="s">
        <v>11</v>
      </c>
      <c r="F538">
        <v>1100</v>
      </c>
      <c r="G538">
        <v>1</v>
      </c>
      <c r="H538">
        <v>1100</v>
      </c>
      <c r="I538">
        <v>1100</v>
      </c>
    </row>
    <row r="539" spans="1:9" x14ac:dyDescent="0.3">
      <c r="A539">
        <v>536</v>
      </c>
      <c r="B539" s="24">
        <v>44001</v>
      </c>
      <c r="C539" t="s">
        <v>81</v>
      </c>
      <c r="D539" t="s">
        <v>24</v>
      </c>
      <c r="E539" t="s">
        <v>23</v>
      </c>
      <c r="F539">
        <v>600</v>
      </c>
      <c r="G539">
        <v>2</v>
      </c>
      <c r="H539">
        <v>1200</v>
      </c>
      <c r="I539">
        <v>1200</v>
      </c>
    </row>
    <row r="540" spans="1:9" x14ac:dyDescent="0.3">
      <c r="A540">
        <v>537</v>
      </c>
      <c r="B540" s="24">
        <v>44002</v>
      </c>
      <c r="C540" t="s">
        <v>81</v>
      </c>
      <c r="D540" t="s">
        <v>19</v>
      </c>
      <c r="E540" t="s">
        <v>20</v>
      </c>
      <c r="F540">
        <v>850</v>
      </c>
      <c r="G540">
        <v>1</v>
      </c>
      <c r="H540">
        <v>850</v>
      </c>
      <c r="I540">
        <v>850</v>
      </c>
    </row>
    <row r="541" spans="1:9" x14ac:dyDescent="0.3">
      <c r="A541">
        <v>538</v>
      </c>
      <c r="B541" s="24">
        <v>44003</v>
      </c>
      <c r="C541" t="s">
        <v>81</v>
      </c>
      <c r="D541" t="s">
        <v>12</v>
      </c>
      <c r="E541" t="s">
        <v>11</v>
      </c>
      <c r="F541">
        <v>900</v>
      </c>
      <c r="G541">
        <v>1</v>
      </c>
      <c r="H541">
        <v>900</v>
      </c>
      <c r="I541">
        <v>765</v>
      </c>
    </row>
    <row r="542" spans="1:9" x14ac:dyDescent="0.3">
      <c r="A542">
        <v>539</v>
      </c>
      <c r="B542" s="24">
        <v>44004</v>
      </c>
      <c r="C542" t="s">
        <v>81</v>
      </c>
      <c r="D542" t="s">
        <v>18</v>
      </c>
      <c r="E542" t="s">
        <v>17</v>
      </c>
      <c r="F542">
        <v>600</v>
      </c>
      <c r="G542">
        <v>1</v>
      </c>
      <c r="H542">
        <v>600</v>
      </c>
      <c r="I542">
        <v>600</v>
      </c>
    </row>
    <row r="543" spans="1:9" x14ac:dyDescent="0.3">
      <c r="A543">
        <v>540</v>
      </c>
      <c r="B543" s="24">
        <v>44005</v>
      </c>
      <c r="C543" t="s">
        <v>81</v>
      </c>
      <c r="D543" t="s">
        <v>18</v>
      </c>
      <c r="E543" t="s">
        <v>17</v>
      </c>
      <c r="F543">
        <v>600</v>
      </c>
      <c r="G543">
        <v>1</v>
      </c>
      <c r="H543">
        <v>600</v>
      </c>
      <c r="I543">
        <v>600</v>
      </c>
    </row>
    <row r="544" spans="1:9" x14ac:dyDescent="0.3">
      <c r="A544">
        <v>541</v>
      </c>
      <c r="B544" s="24">
        <v>44006</v>
      </c>
      <c r="C544" t="s">
        <v>81</v>
      </c>
      <c r="D544" t="s">
        <v>10</v>
      </c>
      <c r="E544" t="s">
        <v>11</v>
      </c>
      <c r="F544">
        <v>1100</v>
      </c>
      <c r="G544">
        <v>1</v>
      </c>
      <c r="H544">
        <v>1100</v>
      </c>
      <c r="I544">
        <v>1100</v>
      </c>
    </row>
    <row r="545" spans="1:9" x14ac:dyDescent="0.3">
      <c r="A545">
        <v>542</v>
      </c>
      <c r="B545" s="24">
        <v>44007</v>
      </c>
      <c r="C545" t="s">
        <v>81</v>
      </c>
      <c r="D545" t="s">
        <v>10</v>
      </c>
      <c r="E545" t="s">
        <v>11</v>
      </c>
      <c r="F545">
        <v>1100</v>
      </c>
      <c r="G545">
        <v>1</v>
      </c>
      <c r="H545">
        <v>1100</v>
      </c>
      <c r="I545">
        <v>1100</v>
      </c>
    </row>
    <row r="546" spans="1:9" x14ac:dyDescent="0.3">
      <c r="A546">
        <v>543</v>
      </c>
      <c r="B546" s="24">
        <v>44008</v>
      </c>
      <c r="C546" t="s">
        <v>81</v>
      </c>
      <c r="D546" t="s">
        <v>10</v>
      </c>
      <c r="E546" t="s">
        <v>11</v>
      </c>
      <c r="F546">
        <v>1100</v>
      </c>
      <c r="G546">
        <v>1</v>
      </c>
      <c r="H546">
        <v>1100</v>
      </c>
      <c r="I546">
        <v>1100</v>
      </c>
    </row>
    <row r="547" spans="1:9" x14ac:dyDescent="0.3">
      <c r="A547">
        <v>544</v>
      </c>
      <c r="B547" s="24">
        <v>44009</v>
      </c>
      <c r="C547" t="s">
        <v>81</v>
      </c>
      <c r="D547" t="s">
        <v>10</v>
      </c>
      <c r="E547" t="s">
        <v>11</v>
      </c>
      <c r="F547">
        <v>1100</v>
      </c>
      <c r="G547">
        <v>1</v>
      </c>
      <c r="H547">
        <v>1100</v>
      </c>
      <c r="I547">
        <v>1100</v>
      </c>
    </row>
    <row r="548" spans="1:9" x14ac:dyDescent="0.3">
      <c r="A548">
        <v>545</v>
      </c>
      <c r="B548" s="24">
        <v>44010</v>
      </c>
      <c r="C548" t="s">
        <v>81</v>
      </c>
      <c r="D548" t="s">
        <v>12</v>
      </c>
      <c r="E548" t="s">
        <v>11</v>
      </c>
      <c r="F548">
        <v>1100</v>
      </c>
      <c r="G548">
        <v>1</v>
      </c>
      <c r="H548">
        <v>1100</v>
      </c>
      <c r="I548">
        <v>935</v>
      </c>
    </row>
    <row r="549" spans="1:9" x14ac:dyDescent="0.3">
      <c r="A549">
        <v>546</v>
      </c>
      <c r="B549" s="24">
        <v>44011</v>
      </c>
      <c r="C549" t="s">
        <v>81</v>
      </c>
      <c r="D549" t="s">
        <v>12</v>
      </c>
      <c r="E549" t="s">
        <v>11</v>
      </c>
      <c r="F549">
        <v>1100</v>
      </c>
      <c r="G549">
        <v>1</v>
      </c>
      <c r="H549">
        <v>1100</v>
      </c>
      <c r="I549">
        <v>935</v>
      </c>
    </row>
    <row r="550" spans="1:9" x14ac:dyDescent="0.3">
      <c r="A550">
        <v>547</v>
      </c>
      <c r="B550" s="24">
        <v>44012</v>
      </c>
      <c r="C550" t="s">
        <v>81</v>
      </c>
      <c r="D550" t="s">
        <v>12</v>
      </c>
      <c r="E550" t="s">
        <v>11</v>
      </c>
      <c r="F550">
        <v>1100</v>
      </c>
      <c r="G550">
        <v>1</v>
      </c>
      <c r="H550">
        <v>1100</v>
      </c>
      <c r="I550">
        <v>935</v>
      </c>
    </row>
    <row r="551" spans="1:9" x14ac:dyDescent="0.3">
      <c r="A551">
        <v>548</v>
      </c>
      <c r="B551" s="24">
        <v>44013</v>
      </c>
      <c r="C551" t="s">
        <v>81</v>
      </c>
      <c r="D551" t="s">
        <v>12</v>
      </c>
      <c r="E551" t="s">
        <v>11</v>
      </c>
      <c r="F551">
        <v>1100</v>
      </c>
      <c r="G551">
        <v>2</v>
      </c>
      <c r="H551">
        <v>2200</v>
      </c>
      <c r="I551">
        <v>1870</v>
      </c>
    </row>
    <row r="552" spans="1:9" x14ac:dyDescent="0.3">
      <c r="A552">
        <v>549</v>
      </c>
      <c r="B552" s="24">
        <v>44014</v>
      </c>
      <c r="C552" t="s">
        <v>81</v>
      </c>
      <c r="D552" t="s">
        <v>12</v>
      </c>
      <c r="E552" t="s">
        <v>11</v>
      </c>
      <c r="F552">
        <v>1100</v>
      </c>
      <c r="G552">
        <v>1</v>
      </c>
      <c r="H552">
        <v>1100</v>
      </c>
      <c r="I552">
        <v>935</v>
      </c>
    </row>
    <row r="553" spans="1:9" x14ac:dyDescent="0.3">
      <c r="A553">
        <v>550</v>
      </c>
      <c r="B553" s="24">
        <v>44015</v>
      </c>
      <c r="C553" t="s">
        <v>81</v>
      </c>
      <c r="D553" t="s">
        <v>12</v>
      </c>
      <c r="E553" t="s">
        <v>11</v>
      </c>
      <c r="F553">
        <v>1100</v>
      </c>
      <c r="G553">
        <v>1</v>
      </c>
      <c r="H553">
        <v>1100</v>
      </c>
      <c r="I553">
        <v>935</v>
      </c>
    </row>
    <row r="554" spans="1:9" x14ac:dyDescent="0.3">
      <c r="A554">
        <v>551</v>
      </c>
      <c r="B554" s="24">
        <v>44016</v>
      </c>
      <c r="C554" t="s">
        <v>81</v>
      </c>
      <c r="D554" t="s">
        <v>12</v>
      </c>
      <c r="E554" t="s">
        <v>11</v>
      </c>
      <c r="F554">
        <v>900</v>
      </c>
      <c r="G554">
        <v>1</v>
      </c>
      <c r="H554">
        <v>900</v>
      </c>
      <c r="I554">
        <v>765</v>
      </c>
    </row>
    <row r="555" spans="1:9" x14ac:dyDescent="0.3">
      <c r="A555">
        <v>552</v>
      </c>
      <c r="B555" s="24">
        <v>44017</v>
      </c>
      <c r="C555" t="s">
        <v>81</v>
      </c>
      <c r="D555" t="s">
        <v>12</v>
      </c>
      <c r="E555" t="s">
        <v>11</v>
      </c>
      <c r="F555">
        <v>900</v>
      </c>
      <c r="G555">
        <v>1</v>
      </c>
      <c r="H555">
        <v>900</v>
      </c>
      <c r="I555">
        <v>765</v>
      </c>
    </row>
    <row r="556" spans="1:9" x14ac:dyDescent="0.3">
      <c r="A556">
        <v>553</v>
      </c>
      <c r="B556" s="24">
        <v>44018</v>
      </c>
      <c r="C556" t="s">
        <v>81</v>
      </c>
      <c r="D556" t="s">
        <v>12</v>
      </c>
      <c r="E556" t="s">
        <v>11</v>
      </c>
      <c r="F556">
        <v>900</v>
      </c>
      <c r="G556">
        <v>1</v>
      </c>
      <c r="H556">
        <v>900</v>
      </c>
      <c r="I556">
        <v>765</v>
      </c>
    </row>
    <row r="557" spans="1:9" x14ac:dyDescent="0.3">
      <c r="A557">
        <v>554</v>
      </c>
      <c r="B557" s="24">
        <v>44019</v>
      </c>
      <c r="C557" t="s">
        <v>81</v>
      </c>
      <c r="D557" t="s">
        <v>12</v>
      </c>
      <c r="E557" t="s">
        <v>11</v>
      </c>
      <c r="F557">
        <v>900</v>
      </c>
      <c r="G557">
        <v>2</v>
      </c>
      <c r="H557">
        <v>1800</v>
      </c>
      <c r="I557">
        <v>1530</v>
      </c>
    </row>
    <row r="558" spans="1:9" x14ac:dyDescent="0.3">
      <c r="A558">
        <v>555</v>
      </c>
      <c r="B558" s="24">
        <v>44020</v>
      </c>
      <c r="C558" t="s">
        <v>81</v>
      </c>
      <c r="D558" t="s">
        <v>12</v>
      </c>
      <c r="E558" t="s">
        <v>11</v>
      </c>
      <c r="F558">
        <v>900</v>
      </c>
      <c r="G558">
        <v>1</v>
      </c>
      <c r="H558">
        <v>900</v>
      </c>
      <c r="I558">
        <v>765</v>
      </c>
    </row>
    <row r="559" spans="1:9" x14ac:dyDescent="0.3">
      <c r="A559">
        <v>556</v>
      </c>
      <c r="B559" s="24">
        <v>44021</v>
      </c>
      <c r="C559" t="s">
        <v>81</v>
      </c>
      <c r="D559" t="s">
        <v>12</v>
      </c>
      <c r="E559" t="s">
        <v>11</v>
      </c>
      <c r="F559">
        <v>900</v>
      </c>
      <c r="G559">
        <v>1</v>
      </c>
      <c r="H559">
        <v>900</v>
      </c>
      <c r="I559">
        <v>765</v>
      </c>
    </row>
    <row r="560" spans="1:9" x14ac:dyDescent="0.3">
      <c r="A560">
        <v>557</v>
      </c>
      <c r="B560" s="24">
        <v>44022</v>
      </c>
      <c r="C560" t="s">
        <v>81</v>
      </c>
      <c r="D560" t="s">
        <v>12</v>
      </c>
      <c r="E560" t="s">
        <v>11</v>
      </c>
      <c r="F560">
        <v>1100</v>
      </c>
      <c r="G560">
        <v>1</v>
      </c>
      <c r="H560">
        <v>1100</v>
      </c>
      <c r="I560">
        <v>935</v>
      </c>
    </row>
    <row r="561" spans="1:9" x14ac:dyDescent="0.3">
      <c r="A561">
        <v>558</v>
      </c>
      <c r="B561" s="24">
        <v>44023</v>
      </c>
      <c r="C561" t="s">
        <v>80</v>
      </c>
      <c r="D561" t="s">
        <v>12</v>
      </c>
      <c r="E561" t="s">
        <v>11</v>
      </c>
      <c r="F561">
        <v>900</v>
      </c>
      <c r="G561">
        <v>1</v>
      </c>
      <c r="H561">
        <v>900</v>
      </c>
      <c r="I561">
        <v>765</v>
      </c>
    </row>
    <row r="562" spans="1:9" x14ac:dyDescent="0.3">
      <c r="A562">
        <v>559</v>
      </c>
      <c r="B562" s="24">
        <v>44024</v>
      </c>
      <c r="C562" t="s">
        <v>80</v>
      </c>
      <c r="D562" t="s">
        <v>12</v>
      </c>
      <c r="E562" t="s">
        <v>11</v>
      </c>
      <c r="F562">
        <v>1100</v>
      </c>
      <c r="G562">
        <v>2</v>
      </c>
      <c r="H562">
        <v>2200</v>
      </c>
      <c r="I562">
        <v>1870</v>
      </c>
    </row>
    <row r="563" spans="1:9" x14ac:dyDescent="0.3">
      <c r="A563">
        <v>560</v>
      </c>
      <c r="B563" s="24">
        <v>44025</v>
      </c>
      <c r="C563" t="s">
        <v>80</v>
      </c>
      <c r="D563" t="s">
        <v>12</v>
      </c>
      <c r="E563" t="s">
        <v>11</v>
      </c>
      <c r="F563">
        <v>1100</v>
      </c>
      <c r="G563">
        <v>1</v>
      </c>
      <c r="H563">
        <v>1100</v>
      </c>
      <c r="I563">
        <v>935</v>
      </c>
    </row>
    <row r="564" spans="1:9" x14ac:dyDescent="0.3">
      <c r="A564">
        <v>561</v>
      </c>
      <c r="B564" s="24">
        <v>44026</v>
      </c>
      <c r="C564" t="s">
        <v>80</v>
      </c>
      <c r="D564" t="s">
        <v>12</v>
      </c>
      <c r="E564" t="s">
        <v>11</v>
      </c>
      <c r="F564">
        <v>900</v>
      </c>
      <c r="G564">
        <v>1</v>
      </c>
      <c r="H564">
        <v>900</v>
      </c>
      <c r="I564">
        <v>765</v>
      </c>
    </row>
    <row r="565" spans="1:9" x14ac:dyDescent="0.3">
      <c r="A565">
        <v>562</v>
      </c>
      <c r="B565" s="24">
        <v>44027</v>
      </c>
      <c r="C565" t="s">
        <v>80</v>
      </c>
      <c r="D565" t="s">
        <v>12</v>
      </c>
      <c r="E565" t="s">
        <v>11</v>
      </c>
      <c r="F565">
        <v>900</v>
      </c>
      <c r="G565">
        <v>1</v>
      </c>
      <c r="H565">
        <v>900</v>
      </c>
      <c r="I565">
        <v>765</v>
      </c>
    </row>
    <row r="566" spans="1:9" x14ac:dyDescent="0.3">
      <c r="A566">
        <v>563</v>
      </c>
      <c r="B566" s="24">
        <v>44028</v>
      </c>
      <c r="C566" t="s">
        <v>80</v>
      </c>
      <c r="D566" t="s">
        <v>14</v>
      </c>
      <c r="E566" t="s">
        <v>11</v>
      </c>
      <c r="F566">
        <v>900</v>
      </c>
      <c r="G566">
        <v>1</v>
      </c>
      <c r="H566">
        <v>900</v>
      </c>
      <c r="I566">
        <v>900</v>
      </c>
    </row>
    <row r="567" spans="1:9" x14ac:dyDescent="0.3">
      <c r="A567">
        <v>564</v>
      </c>
      <c r="B567" s="24">
        <v>44029</v>
      </c>
      <c r="C567" t="s">
        <v>80</v>
      </c>
      <c r="D567" t="s">
        <v>12</v>
      </c>
      <c r="E567" t="s">
        <v>11</v>
      </c>
      <c r="F567">
        <v>1100</v>
      </c>
      <c r="G567">
        <v>1</v>
      </c>
      <c r="H567">
        <v>1100</v>
      </c>
      <c r="I567">
        <v>935</v>
      </c>
    </row>
    <row r="568" spans="1:9" x14ac:dyDescent="0.3">
      <c r="A568">
        <v>565</v>
      </c>
      <c r="B568" s="24">
        <v>44030</v>
      </c>
      <c r="C568" t="s">
        <v>80</v>
      </c>
      <c r="D568" t="s">
        <v>12</v>
      </c>
      <c r="E568" t="s">
        <v>11</v>
      </c>
      <c r="F568">
        <v>1100</v>
      </c>
      <c r="G568">
        <v>1</v>
      </c>
      <c r="H568">
        <v>1100</v>
      </c>
      <c r="I568">
        <v>935</v>
      </c>
    </row>
    <row r="569" spans="1:9" x14ac:dyDescent="0.3">
      <c r="A569">
        <v>566</v>
      </c>
      <c r="B569" s="24">
        <v>44031</v>
      </c>
      <c r="C569" t="s">
        <v>80</v>
      </c>
      <c r="D569" t="s">
        <v>14</v>
      </c>
      <c r="E569" t="s">
        <v>11</v>
      </c>
      <c r="F569">
        <v>900</v>
      </c>
      <c r="G569">
        <v>1</v>
      </c>
      <c r="H569">
        <v>900</v>
      </c>
      <c r="I569">
        <v>900</v>
      </c>
    </row>
    <row r="570" spans="1:9" x14ac:dyDescent="0.3">
      <c r="A570">
        <v>567</v>
      </c>
      <c r="B570" s="24">
        <v>44032</v>
      </c>
      <c r="C570" t="s">
        <v>81</v>
      </c>
      <c r="D570" t="s">
        <v>12</v>
      </c>
      <c r="E570" t="s">
        <v>11</v>
      </c>
      <c r="F570">
        <v>900</v>
      </c>
      <c r="G570">
        <v>1</v>
      </c>
      <c r="H570">
        <v>900</v>
      </c>
      <c r="I570">
        <v>765</v>
      </c>
    </row>
    <row r="571" spans="1:9" x14ac:dyDescent="0.3">
      <c r="A571">
        <v>568</v>
      </c>
      <c r="B571" s="24">
        <v>44033</v>
      </c>
      <c r="C571" t="s">
        <v>81</v>
      </c>
      <c r="D571" t="s">
        <v>14</v>
      </c>
      <c r="E571" t="s">
        <v>11</v>
      </c>
      <c r="F571">
        <v>900</v>
      </c>
      <c r="G571">
        <v>1</v>
      </c>
      <c r="H571">
        <v>900</v>
      </c>
      <c r="I571">
        <v>900</v>
      </c>
    </row>
    <row r="572" spans="1:9" x14ac:dyDescent="0.3">
      <c r="A572">
        <v>569</v>
      </c>
      <c r="B572" s="24">
        <v>44034</v>
      </c>
      <c r="C572" t="s">
        <v>81</v>
      </c>
      <c r="D572" t="s">
        <v>12</v>
      </c>
      <c r="E572" t="s">
        <v>11</v>
      </c>
      <c r="F572">
        <v>1100</v>
      </c>
      <c r="G572">
        <v>1</v>
      </c>
      <c r="H572">
        <v>1100</v>
      </c>
      <c r="I572">
        <v>935</v>
      </c>
    </row>
    <row r="573" spans="1:9" x14ac:dyDescent="0.3">
      <c r="A573">
        <v>570</v>
      </c>
      <c r="B573" s="24">
        <v>44035</v>
      </c>
      <c r="C573" t="s">
        <v>81</v>
      </c>
      <c r="D573" t="s">
        <v>12</v>
      </c>
      <c r="E573" t="s">
        <v>11</v>
      </c>
      <c r="F573">
        <v>1100</v>
      </c>
      <c r="G573">
        <v>1</v>
      </c>
      <c r="H573">
        <v>1100</v>
      </c>
      <c r="I573">
        <v>935</v>
      </c>
    </row>
    <row r="574" spans="1:9" x14ac:dyDescent="0.3">
      <c r="A574">
        <v>571</v>
      </c>
      <c r="B574" s="24">
        <v>44036</v>
      </c>
      <c r="C574" t="s">
        <v>81</v>
      </c>
      <c r="D574" t="s">
        <v>14</v>
      </c>
      <c r="E574" t="s">
        <v>11</v>
      </c>
      <c r="F574">
        <v>900</v>
      </c>
      <c r="G574">
        <v>1</v>
      </c>
      <c r="H574">
        <v>900</v>
      </c>
      <c r="I574">
        <v>900</v>
      </c>
    </row>
    <row r="575" spans="1:9" x14ac:dyDescent="0.3">
      <c r="A575">
        <v>572</v>
      </c>
      <c r="B575" s="24">
        <v>44037</v>
      </c>
      <c r="C575" t="s">
        <v>81</v>
      </c>
      <c r="D575" t="s">
        <v>14</v>
      </c>
      <c r="E575" t="s">
        <v>11</v>
      </c>
      <c r="F575">
        <v>900</v>
      </c>
      <c r="G575">
        <v>1</v>
      </c>
      <c r="H575">
        <v>900</v>
      </c>
      <c r="I575">
        <v>900</v>
      </c>
    </row>
    <row r="576" spans="1:9" x14ac:dyDescent="0.3">
      <c r="A576">
        <v>573</v>
      </c>
      <c r="B576" s="24">
        <v>44038</v>
      </c>
      <c r="C576" t="s">
        <v>81</v>
      </c>
      <c r="D576" t="s">
        <v>14</v>
      </c>
      <c r="E576" t="s">
        <v>11</v>
      </c>
      <c r="F576">
        <v>900</v>
      </c>
      <c r="G576">
        <v>1</v>
      </c>
      <c r="H576">
        <v>900</v>
      </c>
      <c r="I576">
        <v>900</v>
      </c>
    </row>
    <row r="577" spans="1:9" x14ac:dyDescent="0.3">
      <c r="A577">
        <v>574</v>
      </c>
      <c r="B577" s="24">
        <v>44039</v>
      </c>
      <c r="C577" t="s">
        <v>81</v>
      </c>
      <c r="D577" t="s">
        <v>14</v>
      </c>
      <c r="E577" t="s">
        <v>11</v>
      </c>
      <c r="F577">
        <v>900</v>
      </c>
      <c r="G577">
        <v>1</v>
      </c>
      <c r="H577">
        <v>900</v>
      </c>
      <c r="I577">
        <v>900</v>
      </c>
    </row>
    <row r="578" spans="1:9" x14ac:dyDescent="0.3">
      <c r="A578">
        <v>575</v>
      </c>
      <c r="B578" s="24">
        <v>44040</v>
      </c>
      <c r="C578" t="s">
        <v>81</v>
      </c>
      <c r="D578" t="s">
        <v>14</v>
      </c>
      <c r="E578" t="s">
        <v>11</v>
      </c>
      <c r="F578">
        <v>900</v>
      </c>
      <c r="G578">
        <v>1</v>
      </c>
      <c r="H578">
        <v>900</v>
      </c>
      <c r="I578">
        <v>900</v>
      </c>
    </row>
    <row r="579" spans="1:9" x14ac:dyDescent="0.3">
      <c r="A579">
        <v>576</v>
      </c>
      <c r="B579" s="24">
        <v>44041</v>
      </c>
      <c r="C579" t="s">
        <v>81</v>
      </c>
      <c r="D579" t="s">
        <v>12</v>
      </c>
      <c r="E579" t="s">
        <v>11</v>
      </c>
      <c r="F579">
        <v>900</v>
      </c>
      <c r="G579">
        <v>1</v>
      </c>
      <c r="H579">
        <v>900</v>
      </c>
      <c r="I579">
        <v>765</v>
      </c>
    </row>
    <row r="580" spans="1:9" x14ac:dyDescent="0.3">
      <c r="A580">
        <v>577</v>
      </c>
      <c r="B580" s="24">
        <v>44042</v>
      </c>
      <c r="C580" t="s">
        <v>81</v>
      </c>
      <c r="D580" t="s">
        <v>12</v>
      </c>
      <c r="E580" t="s">
        <v>11</v>
      </c>
      <c r="F580">
        <v>900</v>
      </c>
      <c r="G580">
        <v>1</v>
      </c>
      <c r="H580">
        <v>900</v>
      </c>
      <c r="I580">
        <v>765</v>
      </c>
    </row>
    <row r="581" spans="1:9" x14ac:dyDescent="0.3">
      <c r="A581">
        <v>578</v>
      </c>
      <c r="B581" s="24">
        <v>44043</v>
      </c>
      <c r="C581" t="s">
        <v>81</v>
      </c>
      <c r="D581" t="s">
        <v>12</v>
      </c>
      <c r="E581" t="s">
        <v>11</v>
      </c>
      <c r="F581">
        <v>900</v>
      </c>
      <c r="G581">
        <v>1</v>
      </c>
      <c r="H581">
        <v>900</v>
      </c>
      <c r="I581">
        <v>765</v>
      </c>
    </row>
    <row r="582" spans="1:9" x14ac:dyDescent="0.3">
      <c r="A582">
        <v>579</v>
      </c>
      <c r="B582" s="24">
        <v>44044</v>
      </c>
      <c r="C582" t="s">
        <v>81</v>
      </c>
      <c r="D582" t="s">
        <v>12</v>
      </c>
      <c r="E582" t="s">
        <v>11</v>
      </c>
      <c r="F582">
        <v>1100</v>
      </c>
      <c r="G582">
        <v>1</v>
      </c>
      <c r="H582">
        <v>1100</v>
      </c>
      <c r="I582">
        <v>935</v>
      </c>
    </row>
    <row r="583" spans="1:9" x14ac:dyDescent="0.3">
      <c r="A583">
        <v>580</v>
      </c>
      <c r="B583" s="24">
        <v>44045</v>
      </c>
      <c r="C583" t="s">
        <v>81</v>
      </c>
      <c r="D583" t="s">
        <v>12</v>
      </c>
      <c r="E583" t="s">
        <v>11</v>
      </c>
      <c r="F583">
        <v>1100</v>
      </c>
      <c r="G583">
        <v>1</v>
      </c>
      <c r="H583">
        <v>1100</v>
      </c>
      <c r="I583">
        <v>935</v>
      </c>
    </row>
    <row r="584" spans="1:9" x14ac:dyDescent="0.3">
      <c r="A584">
        <v>581</v>
      </c>
      <c r="B584" s="24">
        <v>44046</v>
      </c>
      <c r="C584" t="s">
        <v>81</v>
      </c>
      <c r="D584" t="s">
        <v>15</v>
      </c>
      <c r="E584" t="s">
        <v>11</v>
      </c>
      <c r="F584">
        <v>1000</v>
      </c>
      <c r="G584">
        <v>1</v>
      </c>
      <c r="H584">
        <v>1000</v>
      </c>
      <c r="I584">
        <v>1000</v>
      </c>
    </row>
    <row r="585" spans="1:9" x14ac:dyDescent="0.3">
      <c r="A585">
        <v>582</v>
      </c>
      <c r="B585" s="24">
        <v>44047</v>
      </c>
      <c r="C585" t="s">
        <v>81</v>
      </c>
      <c r="D585" t="s">
        <v>15</v>
      </c>
      <c r="E585" t="s">
        <v>11</v>
      </c>
      <c r="F585">
        <v>1000</v>
      </c>
      <c r="G585">
        <v>1</v>
      </c>
      <c r="H585">
        <v>1000</v>
      </c>
      <c r="I585">
        <v>1000</v>
      </c>
    </row>
    <row r="586" spans="1:9" x14ac:dyDescent="0.3">
      <c r="A586">
        <v>583</v>
      </c>
      <c r="B586" s="24">
        <v>44048</v>
      </c>
      <c r="C586" t="s">
        <v>81</v>
      </c>
      <c r="D586" t="s">
        <v>12</v>
      </c>
      <c r="E586" t="s">
        <v>11</v>
      </c>
      <c r="F586">
        <v>1100</v>
      </c>
      <c r="G586">
        <v>1</v>
      </c>
      <c r="H586">
        <v>1100</v>
      </c>
      <c r="I586">
        <v>935</v>
      </c>
    </row>
    <row r="587" spans="1:9" x14ac:dyDescent="0.3">
      <c r="A587">
        <v>584</v>
      </c>
      <c r="B587" s="24">
        <v>44049</v>
      </c>
      <c r="C587" t="s">
        <v>81</v>
      </c>
      <c r="D587" t="s">
        <v>15</v>
      </c>
      <c r="E587" t="s">
        <v>11</v>
      </c>
      <c r="F587">
        <v>1000</v>
      </c>
      <c r="G587">
        <v>1</v>
      </c>
      <c r="H587">
        <v>1000</v>
      </c>
      <c r="I587">
        <v>1000</v>
      </c>
    </row>
    <row r="588" spans="1:9" x14ac:dyDescent="0.3">
      <c r="A588">
        <v>585</v>
      </c>
      <c r="B588" s="24">
        <v>44050</v>
      </c>
      <c r="C588" t="s">
        <v>81</v>
      </c>
      <c r="D588" t="s">
        <v>12</v>
      </c>
      <c r="E588" t="s">
        <v>11</v>
      </c>
      <c r="F588">
        <v>900</v>
      </c>
      <c r="G588">
        <v>1</v>
      </c>
      <c r="H588">
        <v>900</v>
      </c>
      <c r="I588">
        <v>765</v>
      </c>
    </row>
    <row r="589" spans="1:9" x14ac:dyDescent="0.3">
      <c r="A589">
        <v>586</v>
      </c>
      <c r="B589" s="24">
        <v>44051</v>
      </c>
      <c r="C589" t="s">
        <v>81</v>
      </c>
      <c r="D589" t="s">
        <v>12</v>
      </c>
      <c r="E589" t="s">
        <v>11</v>
      </c>
      <c r="F589">
        <v>900</v>
      </c>
      <c r="G589">
        <v>2</v>
      </c>
      <c r="H589">
        <v>1800</v>
      </c>
      <c r="I589">
        <v>1530</v>
      </c>
    </row>
    <row r="590" spans="1:9" x14ac:dyDescent="0.3">
      <c r="A590">
        <v>587</v>
      </c>
      <c r="B590" s="24">
        <v>44052</v>
      </c>
      <c r="C590" t="s">
        <v>81</v>
      </c>
      <c r="D590" t="s">
        <v>12</v>
      </c>
      <c r="E590" t="s">
        <v>11</v>
      </c>
      <c r="F590">
        <v>1100</v>
      </c>
      <c r="G590">
        <v>1</v>
      </c>
      <c r="H590">
        <v>1100</v>
      </c>
      <c r="I590">
        <v>935</v>
      </c>
    </row>
    <row r="591" spans="1:9" x14ac:dyDescent="0.3">
      <c r="A591">
        <v>588</v>
      </c>
      <c r="B591" s="24">
        <v>44053</v>
      </c>
      <c r="C591" t="s">
        <v>81</v>
      </c>
      <c r="D591" t="s">
        <v>12</v>
      </c>
      <c r="E591" t="s">
        <v>11</v>
      </c>
      <c r="F591">
        <v>900</v>
      </c>
      <c r="G591">
        <v>1</v>
      </c>
      <c r="H591">
        <v>900</v>
      </c>
      <c r="I591">
        <v>765</v>
      </c>
    </row>
    <row r="592" spans="1:9" x14ac:dyDescent="0.3">
      <c r="A592">
        <v>589</v>
      </c>
      <c r="B592" s="24">
        <v>44054</v>
      </c>
      <c r="C592" t="s">
        <v>81</v>
      </c>
      <c r="D592" t="s">
        <v>12</v>
      </c>
      <c r="E592" t="s">
        <v>11</v>
      </c>
      <c r="F592">
        <v>1100</v>
      </c>
      <c r="G592">
        <v>1</v>
      </c>
      <c r="H592">
        <v>1100</v>
      </c>
      <c r="I592">
        <v>935</v>
      </c>
    </row>
    <row r="593" spans="1:9" x14ac:dyDescent="0.3">
      <c r="A593">
        <v>590</v>
      </c>
      <c r="B593" s="24">
        <v>44055</v>
      </c>
      <c r="C593" t="s">
        <v>81</v>
      </c>
      <c r="D593" t="s">
        <v>16</v>
      </c>
      <c r="E593" t="s">
        <v>17</v>
      </c>
      <c r="F593">
        <v>800</v>
      </c>
      <c r="G593">
        <v>1</v>
      </c>
      <c r="H593">
        <v>800</v>
      </c>
      <c r="I593">
        <v>800</v>
      </c>
    </row>
    <row r="594" spans="1:9" x14ac:dyDescent="0.3">
      <c r="A594">
        <v>591</v>
      </c>
      <c r="B594" s="24">
        <v>44056</v>
      </c>
      <c r="C594" t="s">
        <v>81</v>
      </c>
      <c r="D594" t="s">
        <v>16</v>
      </c>
      <c r="E594" t="s">
        <v>17</v>
      </c>
      <c r="F594">
        <v>800</v>
      </c>
      <c r="G594">
        <v>2</v>
      </c>
      <c r="H594">
        <v>1600</v>
      </c>
      <c r="I594">
        <v>1600</v>
      </c>
    </row>
    <row r="595" spans="1:9" x14ac:dyDescent="0.3">
      <c r="A595">
        <v>592</v>
      </c>
      <c r="B595" s="24">
        <v>44057</v>
      </c>
      <c r="C595" t="s">
        <v>81</v>
      </c>
      <c r="D595" t="s">
        <v>14</v>
      </c>
      <c r="E595" t="s">
        <v>11</v>
      </c>
      <c r="F595">
        <v>900</v>
      </c>
      <c r="G595">
        <v>1</v>
      </c>
      <c r="H595">
        <v>900</v>
      </c>
      <c r="I595">
        <v>900</v>
      </c>
    </row>
    <row r="596" spans="1:9" x14ac:dyDescent="0.3">
      <c r="A596">
        <v>593</v>
      </c>
      <c r="B596" s="24">
        <v>44058</v>
      </c>
      <c r="C596" t="s">
        <v>81</v>
      </c>
      <c r="D596" t="s">
        <v>12</v>
      </c>
      <c r="E596" t="s">
        <v>11</v>
      </c>
      <c r="F596">
        <v>1100</v>
      </c>
      <c r="G596">
        <v>1</v>
      </c>
      <c r="H596">
        <v>1100</v>
      </c>
      <c r="I596">
        <v>935</v>
      </c>
    </row>
    <row r="597" spans="1:9" x14ac:dyDescent="0.3">
      <c r="A597">
        <v>594</v>
      </c>
      <c r="B597" s="24">
        <v>44059</v>
      </c>
      <c r="C597" t="s">
        <v>81</v>
      </c>
      <c r="D597" t="s">
        <v>16</v>
      </c>
      <c r="E597" t="s">
        <v>17</v>
      </c>
      <c r="F597">
        <v>800</v>
      </c>
      <c r="G597">
        <v>1</v>
      </c>
      <c r="H597">
        <v>800</v>
      </c>
      <c r="I597">
        <v>800</v>
      </c>
    </row>
    <row r="598" spans="1:9" x14ac:dyDescent="0.3">
      <c r="A598">
        <v>595</v>
      </c>
      <c r="B598" s="24">
        <v>44060</v>
      </c>
      <c r="C598" t="s">
        <v>81</v>
      </c>
      <c r="D598" t="s">
        <v>15</v>
      </c>
      <c r="E598" t="s">
        <v>11</v>
      </c>
      <c r="F598">
        <v>1000</v>
      </c>
      <c r="G598">
        <v>1</v>
      </c>
      <c r="H598">
        <v>1000</v>
      </c>
      <c r="I598">
        <v>1000</v>
      </c>
    </row>
    <row r="599" spans="1:9" x14ac:dyDescent="0.3">
      <c r="A599">
        <v>596</v>
      </c>
      <c r="B599" s="24">
        <v>44061</v>
      </c>
      <c r="C599" t="s">
        <v>81</v>
      </c>
      <c r="D599" t="s">
        <v>16</v>
      </c>
      <c r="E599" t="s">
        <v>17</v>
      </c>
      <c r="F599">
        <v>800</v>
      </c>
      <c r="G599">
        <v>1</v>
      </c>
      <c r="H599">
        <v>800</v>
      </c>
      <c r="I599">
        <v>800</v>
      </c>
    </row>
    <row r="600" spans="1:9" x14ac:dyDescent="0.3">
      <c r="A600">
        <v>597</v>
      </c>
      <c r="B600" s="24">
        <v>44062</v>
      </c>
      <c r="C600" t="s">
        <v>81</v>
      </c>
      <c r="D600" t="s">
        <v>18</v>
      </c>
      <c r="E600" t="s">
        <v>17</v>
      </c>
      <c r="F600">
        <v>600</v>
      </c>
      <c r="G600">
        <v>1</v>
      </c>
      <c r="H600">
        <v>600</v>
      </c>
      <c r="I600">
        <v>600</v>
      </c>
    </row>
    <row r="601" spans="1:9" x14ac:dyDescent="0.3">
      <c r="A601">
        <v>598</v>
      </c>
      <c r="B601" s="24">
        <v>44063</v>
      </c>
      <c r="C601" t="s">
        <v>81</v>
      </c>
      <c r="D601" t="s">
        <v>12</v>
      </c>
      <c r="E601" t="s">
        <v>11</v>
      </c>
      <c r="F601">
        <v>900</v>
      </c>
      <c r="G601">
        <v>1</v>
      </c>
      <c r="H601">
        <v>900</v>
      </c>
      <c r="I601">
        <v>765</v>
      </c>
    </row>
    <row r="602" spans="1:9" x14ac:dyDescent="0.3">
      <c r="A602">
        <v>599</v>
      </c>
      <c r="B602" s="24">
        <v>44064</v>
      </c>
      <c r="C602" t="s">
        <v>81</v>
      </c>
      <c r="D602" t="s">
        <v>12</v>
      </c>
      <c r="E602" t="s">
        <v>11</v>
      </c>
      <c r="F602">
        <v>1100</v>
      </c>
      <c r="G602">
        <v>1</v>
      </c>
      <c r="H602">
        <v>1100</v>
      </c>
      <c r="I602">
        <v>935</v>
      </c>
    </row>
    <row r="603" spans="1:9" x14ac:dyDescent="0.3">
      <c r="A603">
        <v>600</v>
      </c>
      <c r="B603" s="24">
        <v>44065</v>
      </c>
      <c r="C603" t="s">
        <v>81</v>
      </c>
      <c r="D603" t="s">
        <v>15</v>
      </c>
      <c r="E603" t="s">
        <v>11</v>
      </c>
      <c r="F603">
        <v>1000</v>
      </c>
      <c r="G603">
        <v>1</v>
      </c>
      <c r="H603">
        <v>1000</v>
      </c>
      <c r="I603">
        <v>1000</v>
      </c>
    </row>
    <row r="604" spans="1:9" x14ac:dyDescent="0.3">
      <c r="A604">
        <v>601</v>
      </c>
      <c r="B604" s="24">
        <v>44066</v>
      </c>
      <c r="C604" t="s">
        <v>81</v>
      </c>
      <c r="D604" t="s">
        <v>12</v>
      </c>
      <c r="E604" t="s">
        <v>11</v>
      </c>
      <c r="F604">
        <v>900</v>
      </c>
      <c r="G604">
        <v>1</v>
      </c>
      <c r="H604">
        <v>900</v>
      </c>
      <c r="I604">
        <v>765</v>
      </c>
    </row>
    <row r="605" spans="1:9" x14ac:dyDescent="0.3">
      <c r="A605">
        <v>602</v>
      </c>
      <c r="B605" s="24">
        <v>44067</v>
      </c>
      <c r="C605" t="s">
        <v>81</v>
      </c>
      <c r="D605" t="s">
        <v>12</v>
      </c>
      <c r="E605" t="s">
        <v>11</v>
      </c>
      <c r="F605">
        <v>1100</v>
      </c>
      <c r="G605">
        <v>2</v>
      </c>
      <c r="H605">
        <v>2200</v>
      </c>
      <c r="I605">
        <v>1870</v>
      </c>
    </row>
    <row r="606" spans="1:9" x14ac:dyDescent="0.3">
      <c r="A606">
        <v>603</v>
      </c>
      <c r="B606" s="24">
        <v>44068</v>
      </c>
      <c r="C606" t="s">
        <v>81</v>
      </c>
      <c r="D606" t="s">
        <v>18</v>
      </c>
      <c r="E606" t="s">
        <v>17</v>
      </c>
      <c r="F606">
        <v>600</v>
      </c>
      <c r="G606">
        <v>1</v>
      </c>
      <c r="H606">
        <v>600</v>
      </c>
      <c r="I606">
        <v>600</v>
      </c>
    </row>
    <row r="607" spans="1:9" x14ac:dyDescent="0.3">
      <c r="A607">
        <v>604</v>
      </c>
      <c r="B607" s="24">
        <v>44069</v>
      </c>
      <c r="C607" t="s">
        <v>81</v>
      </c>
      <c r="D607" t="s">
        <v>18</v>
      </c>
      <c r="E607" t="s">
        <v>17</v>
      </c>
      <c r="F607">
        <v>600</v>
      </c>
      <c r="G607">
        <v>1</v>
      </c>
      <c r="H607">
        <v>600</v>
      </c>
      <c r="I607">
        <v>600</v>
      </c>
    </row>
    <row r="608" spans="1:9" x14ac:dyDescent="0.3">
      <c r="A608">
        <v>605</v>
      </c>
      <c r="B608" s="24">
        <v>44070</v>
      </c>
      <c r="C608" t="s">
        <v>81</v>
      </c>
      <c r="D608" t="s">
        <v>18</v>
      </c>
      <c r="E608" t="s">
        <v>17</v>
      </c>
      <c r="F608">
        <v>600</v>
      </c>
      <c r="G608">
        <v>1</v>
      </c>
      <c r="H608">
        <v>600</v>
      </c>
      <c r="I608">
        <v>600</v>
      </c>
    </row>
    <row r="609" spans="1:9" x14ac:dyDescent="0.3">
      <c r="A609">
        <v>606</v>
      </c>
      <c r="B609" s="24">
        <v>44071</v>
      </c>
      <c r="C609" t="s">
        <v>81</v>
      </c>
      <c r="D609" t="s">
        <v>12</v>
      </c>
      <c r="E609" t="s">
        <v>11</v>
      </c>
      <c r="F609">
        <v>900</v>
      </c>
      <c r="G609">
        <v>1</v>
      </c>
      <c r="H609">
        <v>900</v>
      </c>
      <c r="I609">
        <v>765</v>
      </c>
    </row>
    <row r="610" spans="1:9" x14ac:dyDescent="0.3">
      <c r="A610">
        <v>607</v>
      </c>
      <c r="B610" s="24">
        <v>44072</v>
      </c>
      <c r="C610" t="s">
        <v>81</v>
      </c>
      <c r="D610" t="s">
        <v>18</v>
      </c>
      <c r="E610" t="s">
        <v>17</v>
      </c>
      <c r="F610">
        <v>600</v>
      </c>
      <c r="G610">
        <v>1</v>
      </c>
      <c r="H610">
        <v>600</v>
      </c>
      <c r="I610">
        <v>600</v>
      </c>
    </row>
    <row r="611" spans="1:9" x14ac:dyDescent="0.3">
      <c r="A611">
        <v>608</v>
      </c>
      <c r="B611" s="24">
        <v>44073</v>
      </c>
      <c r="C611" t="s">
        <v>81</v>
      </c>
      <c r="D611" t="s">
        <v>18</v>
      </c>
      <c r="E611" t="s">
        <v>17</v>
      </c>
      <c r="F611">
        <v>600</v>
      </c>
      <c r="G611">
        <v>1</v>
      </c>
      <c r="H611">
        <v>600</v>
      </c>
      <c r="I611">
        <v>600</v>
      </c>
    </row>
    <row r="612" spans="1:9" x14ac:dyDescent="0.3">
      <c r="A612">
        <v>609</v>
      </c>
      <c r="B612" s="24">
        <v>44074</v>
      </c>
      <c r="C612" t="s">
        <v>81</v>
      </c>
      <c r="D612" t="s">
        <v>12</v>
      </c>
      <c r="E612" t="s">
        <v>11</v>
      </c>
      <c r="F612">
        <v>1100</v>
      </c>
      <c r="G612">
        <v>1</v>
      </c>
      <c r="H612">
        <v>1100</v>
      </c>
      <c r="I612">
        <v>935</v>
      </c>
    </row>
    <row r="613" spans="1:9" x14ac:dyDescent="0.3">
      <c r="A613">
        <v>610</v>
      </c>
      <c r="B613" s="24">
        <v>44075</v>
      </c>
      <c r="C613" t="s">
        <v>81</v>
      </c>
      <c r="D613" t="s">
        <v>14</v>
      </c>
      <c r="E613" t="s">
        <v>11</v>
      </c>
      <c r="F613">
        <v>900</v>
      </c>
      <c r="G613">
        <v>3</v>
      </c>
      <c r="H613">
        <v>2700</v>
      </c>
      <c r="I613">
        <v>2700</v>
      </c>
    </row>
    <row r="614" spans="1:9" x14ac:dyDescent="0.3">
      <c r="A614">
        <v>611</v>
      </c>
      <c r="B614" s="24">
        <v>44076</v>
      </c>
      <c r="C614" t="s">
        <v>81</v>
      </c>
      <c r="D614" t="s">
        <v>12</v>
      </c>
      <c r="E614" t="s">
        <v>11</v>
      </c>
      <c r="F614">
        <v>1100</v>
      </c>
      <c r="G614">
        <v>2</v>
      </c>
      <c r="H614">
        <v>2200</v>
      </c>
      <c r="I614">
        <v>1870</v>
      </c>
    </row>
    <row r="615" spans="1:9" x14ac:dyDescent="0.3">
      <c r="A615">
        <v>612</v>
      </c>
      <c r="B615" s="24">
        <v>44077</v>
      </c>
      <c r="C615" t="s">
        <v>81</v>
      </c>
      <c r="D615" t="s">
        <v>12</v>
      </c>
      <c r="E615" t="s">
        <v>11</v>
      </c>
      <c r="F615">
        <v>1100</v>
      </c>
      <c r="G615">
        <v>1</v>
      </c>
      <c r="H615">
        <v>1100</v>
      </c>
      <c r="I615">
        <v>935</v>
      </c>
    </row>
    <row r="616" spans="1:9" x14ac:dyDescent="0.3">
      <c r="A616">
        <v>613</v>
      </c>
      <c r="B616" s="24">
        <v>44078</v>
      </c>
      <c r="C616" t="s">
        <v>81</v>
      </c>
      <c r="D616" t="s">
        <v>18</v>
      </c>
      <c r="E616" t="s">
        <v>17</v>
      </c>
      <c r="F616">
        <v>600</v>
      </c>
      <c r="G616">
        <v>1</v>
      </c>
      <c r="H616">
        <v>600</v>
      </c>
      <c r="I616">
        <v>600</v>
      </c>
    </row>
    <row r="617" spans="1:9" x14ac:dyDescent="0.3">
      <c r="A617">
        <v>614</v>
      </c>
      <c r="B617" s="24">
        <v>44079</v>
      </c>
      <c r="C617" t="s">
        <v>81</v>
      </c>
      <c r="D617" t="s">
        <v>12</v>
      </c>
      <c r="E617" t="s">
        <v>11</v>
      </c>
      <c r="F617">
        <v>900</v>
      </c>
      <c r="G617">
        <v>1</v>
      </c>
      <c r="H617">
        <v>900</v>
      </c>
      <c r="I617">
        <v>765</v>
      </c>
    </row>
    <row r="618" spans="1:9" x14ac:dyDescent="0.3">
      <c r="A618">
        <v>615</v>
      </c>
      <c r="B618" s="24">
        <v>44080</v>
      </c>
      <c r="C618" t="s">
        <v>81</v>
      </c>
      <c r="D618" t="s">
        <v>18</v>
      </c>
      <c r="E618" t="s">
        <v>17</v>
      </c>
      <c r="F618">
        <v>600</v>
      </c>
      <c r="G618">
        <v>1</v>
      </c>
      <c r="H618">
        <v>600</v>
      </c>
      <c r="I618">
        <v>600</v>
      </c>
    </row>
    <row r="619" spans="1:9" x14ac:dyDescent="0.3">
      <c r="A619">
        <v>616</v>
      </c>
      <c r="B619" s="24">
        <v>44081</v>
      </c>
      <c r="C619" t="s">
        <v>81</v>
      </c>
      <c r="D619" t="s">
        <v>18</v>
      </c>
      <c r="E619" t="s">
        <v>17</v>
      </c>
      <c r="F619">
        <v>600</v>
      </c>
      <c r="G619">
        <v>1</v>
      </c>
      <c r="H619">
        <v>600</v>
      </c>
      <c r="I619">
        <v>600</v>
      </c>
    </row>
    <row r="620" spans="1:9" x14ac:dyDescent="0.3">
      <c r="A620">
        <v>617</v>
      </c>
      <c r="B620" s="24">
        <v>44082</v>
      </c>
      <c r="C620" t="s">
        <v>81</v>
      </c>
      <c r="D620" t="s">
        <v>12</v>
      </c>
      <c r="E620" t="s">
        <v>11</v>
      </c>
      <c r="F620">
        <v>900</v>
      </c>
      <c r="G620">
        <v>3</v>
      </c>
      <c r="H620">
        <v>2700</v>
      </c>
      <c r="I620">
        <v>2295</v>
      </c>
    </row>
    <row r="621" spans="1:9" x14ac:dyDescent="0.3">
      <c r="A621">
        <v>618</v>
      </c>
      <c r="B621" s="24">
        <v>44083</v>
      </c>
      <c r="C621" t="s">
        <v>81</v>
      </c>
      <c r="D621" t="s">
        <v>18</v>
      </c>
      <c r="E621" t="s">
        <v>17</v>
      </c>
      <c r="F621">
        <v>600</v>
      </c>
      <c r="G621">
        <v>1</v>
      </c>
      <c r="H621">
        <v>600</v>
      </c>
      <c r="I621">
        <v>600</v>
      </c>
    </row>
    <row r="622" spans="1:9" x14ac:dyDescent="0.3">
      <c r="A622">
        <v>619</v>
      </c>
      <c r="B622" s="24">
        <v>44084</v>
      </c>
      <c r="C622" t="s">
        <v>81</v>
      </c>
      <c r="D622" t="s">
        <v>16</v>
      </c>
      <c r="E622" t="s">
        <v>17</v>
      </c>
      <c r="F622">
        <v>800</v>
      </c>
      <c r="G622">
        <v>1</v>
      </c>
      <c r="H622">
        <v>800</v>
      </c>
      <c r="I622">
        <v>800</v>
      </c>
    </row>
    <row r="623" spans="1:9" x14ac:dyDescent="0.3">
      <c r="A623">
        <v>620</v>
      </c>
      <c r="B623" s="24">
        <v>44085</v>
      </c>
      <c r="C623" t="s">
        <v>81</v>
      </c>
      <c r="D623" t="s">
        <v>18</v>
      </c>
      <c r="E623" t="s">
        <v>17</v>
      </c>
      <c r="F623">
        <v>600</v>
      </c>
      <c r="G623">
        <v>1</v>
      </c>
      <c r="H623">
        <v>600</v>
      </c>
      <c r="I623">
        <v>600</v>
      </c>
    </row>
    <row r="624" spans="1:9" x14ac:dyDescent="0.3">
      <c r="A624">
        <v>621</v>
      </c>
      <c r="B624" s="24">
        <v>44086</v>
      </c>
      <c r="C624" t="s">
        <v>81</v>
      </c>
      <c r="D624" t="s">
        <v>12</v>
      </c>
      <c r="E624" t="s">
        <v>11</v>
      </c>
      <c r="F624">
        <v>1100</v>
      </c>
      <c r="G624">
        <v>1</v>
      </c>
      <c r="H624">
        <v>1100</v>
      </c>
      <c r="I624">
        <v>935</v>
      </c>
    </row>
    <row r="625" spans="1:9" x14ac:dyDescent="0.3">
      <c r="A625">
        <v>622</v>
      </c>
      <c r="B625" s="24">
        <v>44087</v>
      </c>
      <c r="C625" t="s">
        <v>81</v>
      </c>
      <c r="D625" t="s">
        <v>14</v>
      </c>
      <c r="E625" t="s">
        <v>11</v>
      </c>
      <c r="F625">
        <v>900</v>
      </c>
      <c r="G625">
        <v>1</v>
      </c>
      <c r="H625">
        <v>900</v>
      </c>
      <c r="I625">
        <v>900</v>
      </c>
    </row>
    <row r="626" spans="1:9" x14ac:dyDescent="0.3">
      <c r="A626">
        <v>623</v>
      </c>
      <c r="B626" s="24">
        <v>44088</v>
      </c>
      <c r="C626" t="s">
        <v>81</v>
      </c>
      <c r="D626" t="s">
        <v>12</v>
      </c>
      <c r="E626" t="s">
        <v>11</v>
      </c>
      <c r="F626">
        <v>1100</v>
      </c>
      <c r="G626">
        <v>1</v>
      </c>
      <c r="H626">
        <v>1100</v>
      </c>
      <c r="I626">
        <v>935</v>
      </c>
    </row>
    <row r="627" spans="1:9" x14ac:dyDescent="0.3">
      <c r="A627">
        <v>624</v>
      </c>
      <c r="B627" s="24">
        <v>44089</v>
      </c>
      <c r="C627" t="s">
        <v>81</v>
      </c>
      <c r="D627" t="s">
        <v>12</v>
      </c>
      <c r="E627" t="s">
        <v>11</v>
      </c>
      <c r="F627">
        <v>1100</v>
      </c>
      <c r="G627">
        <v>1</v>
      </c>
      <c r="H627">
        <v>1100</v>
      </c>
      <c r="I627">
        <v>935</v>
      </c>
    </row>
    <row r="628" spans="1:9" x14ac:dyDescent="0.3">
      <c r="A628">
        <v>625</v>
      </c>
      <c r="B628" s="24">
        <v>44090</v>
      </c>
      <c r="C628" t="s">
        <v>81</v>
      </c>
      <c r="D628" t="s">
        <v>12</v>
      </c>
      <c r="E628" t="s">
        <v>11</v>
      </c>
      <c r="F628">
        <v>1100</v>
      </c>
      <c r="G628">
        <v>1</v>
      </c>
      <c r="H628">
        <v>1100</v>
      </c>
      <c r="I628">
        <v>935</v>
      </c>
    </row>
    <row r="629" spans="1:9" x14ac:dyDescent="0.3">
      <c r="A629">
        <v>626</v>
      </c>
      <c r="B629" s="24">
        <v>44091</v>
      </c>
      <c r="C629" t="s">
        <v>81</v>
      </c>
      <c r="D629" t="s">
        <v>15</v>
      </c>
      <c r="E629" t="s">
        <v>11</v>
      </c>
      <c r="F629">
        <v>1000</v>
      </c>
      <c r="G629">
        <v>1</v>
      </c>
      <c r="H629">
        <v>1000</v>
      </c>
      <c r="I629">
        <v>1000</v>
      </c>
    </row>
    <row r="630" spans="1:9" x14ac:dyDescent="0.3">
      <c r="A630">
        <v>627</v>
      </c>
      <c r="B630" s="24">
        <v>44092</v>
      </c>
      <c r="C630" t="s">
        <v>81</v>
      </c>
      <c r="D630" t="s">
        <v>18</v>
      </c>
      <c r="E630" t="s">
        <v>17</v>
      </c>
      <c r="F630">
        <v>600</v>
      </c>
      <c r="G630">
        <v>1</v>
      </c>
      <c r="H630">
        <v>600</v>
      </c>
      <c r="I630">
        <v>600</v>
      </c>
    </row>
    <row r="631" spans="1:9" x14ac:dyDescent="0.3">
      <c r="A631">
        <v>628</v>
      </c>
      <c r="B631" s="24">
        <v>44093</v>
      </c>
      <c r="C631" t="s">
        <v>81</v>
      </c>
      <c r="D631" t="s">
        <v>16</v>
      </c>
      <c r="E631" t="s">
        <v>17</v>
      </c>
      <c r="F631">
        <v>800</v>
      </c>
      <c r="G631">
        <v>1</v>
      </c>
      <c r="H631">
        <v>800</v>
      </c>
      <c r="I631">
        <v>800</v>
      </c>
    </row>
    <row r="632" spans="1:9" x14ac:dyDescent="0.3">
      <c r="A632">
        <v>629</v>
      </c>
      <c r="B632" s="24">
        <v>44094</v>
      </c>
      <c r="C632" t="s">
        <v>81</v>
      </c>
      <c r="D632" t="s">
        <v>12</v>
      </c>
      <c r="E632" t="s">
        <v>11</v>
      </c>
      <c r="F632">
        <v>1100</v>
      </c>
      <c r="G632">
        <v>1</v>
      </c>
      <c r="H632">
        <v>1100</v>
      </c>
      <c r="I632">
        <v>935</v>
      </c>
    </row>
    <row r="633" spans="1:9" x14ac:dyDescent="0.3">
      <c r="A633">
        <v>630</v>
      </c>
      <c r="B633" s="24">
        <v>44095</v>
      </c>
      <c r="C633" t="s">
        <v>81</v>
      </c>
      <c r="D633" t="s">
        <v>18</v>
      </c>
      <c r="E633" t="s">
        <v>17</v>
      </c>
      <c r="F633">
        <v>600</v>
      </c>
      <c r="G633">
        <v>1</v>
      </c>
      <c r="H633">
        <v>600</v>
      </c>
      <c r="I633">
        <v>600</v>
      </c>
    </row>
    <row r="634" spans="1:9" x14ac:dyDescent="0.3">
      <c r="A634">
        <v>631</v>
      </c>
      <c r="B634" s="24">
        <v>44096</v>
      </c>
      <c r="C634" t="s">
        <v>81</v>
      </c>
      <c r="D634" t="s">
        <v>19</v>
      </c>
      <c r="E634" t="s">
        <v>20</v>
      </c>
      <c r="F634">
        <v>850</v>
      </c>
      <c r="G634">
        <v>1</v>
      </c>
      <c r="H634">
        <v>850</v>
      </c>
      <c r="I634">
        <v>850</v>
      </c>
    </row>
    <row r="635" spans="1:9" x14ac:dyDescent="0.3">
      <c r="A635">
        <v>632</v>
      </c>
      <c r="B635" s="24">
        <v>44097</v>
      </c>
      <c r="C635" t="s">
        <v>81</v>
      </c>
      <c r="D635" t="s">
        <v>14</v>
      </c>
      <c r="E635" t="s">
        <v>11</v>
      </c>
      <c r="F635">
        <v>900</v>
      </c>
      <c r="G635">
        <v>1</v>
      </c>
      <c r="H635">
        <v>900</v>
      </c>
      <c r="I635">
        <v>900</v>
      </c>
    </row>
    <row r="636" spans="1:9" x14ac:dyDescent="0.3">
      <c r="A636">
        <v>633</v>
      </c>
      <c r="B636" s="24">
        <v>44098</v>
      </c>
      <c r="C636" t="s">
        <v>81</v>
      </c>
      <c r="D636" t="s">
        <v>15</v>
      </c>
      <c r="E636" t="s">
        <v>11</v>
      </c>
      <c r="F636">
        <v>1000</v>
      </c>
      <c r="G636">
        <v>1</v>
      </c>
      <c r="H636">
        <v>1000</v>
      </c>
      <c r="I636">
        <v>1000</v>
      </c>
    </row>
    <row r="637" spans="1:9" x14ac:dyDescent="0.3">
      <c r="A637">
        <v>634</v>
      </c>
      <c r="B637" s="24">
        <v>44099</v>
      </c>
      <c r="C637" t="s">
        <v>81</v>
      </c>
      <c r="D637" t="s">
        <v>19</v>
      </c>
      <c r="E637" t="s">
        <v>20</v>
      </c>
      <c r="F637">
        <v>850</v>
      </c>
      <c r="G637">
        <v>1</v>
      </c>
      <c r="H637">
        <v>850</v>
      </c>
      <c r="I637">
        <v>850</v>
      </c>
    </row>
    <row r="638" spans="1:9" x14ac:dyDescent="0.3">
      <c r="A638">
        <v>635</v>
      </c>
      <c r="B638" s="24">
        <v>44100</v>
      </c>
      <c r="C638" t="s">
        <v>81</v>
      </c>
      <c r="D638" t="s">
        <v>19</v>
      </c>
      <c r="E638" t="s">
        <v>20</v>
      </c>
      <c r="F638">
        <v>850</v>
      </c>
      <c r="G638">
        <v>1</v>
      </c>
      <c r="H638">
        <v>850</v>
      </c>
      <c r="I638">
        <v>850</v>
      </c>
    </row>
    <row r="639" spans="1:9" x14ac:dyDescent="0.3">
      <c r="A639">
        <v>636</v>
      </c>
      <c r="B639" s="24">
        <v>44101</v>
      </c>
      <c r="C639" t="s">
        <v>81</v>
      </c>
      <c r="D639" t="s">
        <v>15</v>
      </c>
      <c r="E639" t="s">
        <v>11</v>
      </c>
      <c r="F639">
        <v>1000</v>
      </c>
      <c r="G639">
        <v>1</v>
      </c>
      <c r="H639">
        <v>1000</v>
      </c>
      <c r="I639">
        <v>1000</v>
      </c>
    </row>
    <row r="640" spans="1:9" x14ac:dyDescent="0.3">
      <c r="A640">
        <v>637</v>
      </c>
      <c r="B640" s="24">
        <v>44102</v>
      </c>
      <c r="C640" t="s">
        <v>81</v>
      </c>
      <c r="D640" t="s">
        <v>16</v>
      </c>
      <c r="E640" t="s">
        <v>17</v>
      </c>
      <c r="F640">
        <v>800</v>
      </c>
      <c r="G640">
        <v>1</v>
      </c>
      <c r="H640">
        <v>800</v>
      </c>
      <c r="I640">
        <v>800</v>
      </c>
    </row>
    <row r="641" spans="1:9" x14ac:dyDescent="0.3">
      <c r="A641">
        <v>638</v>
      </c>
      <c r="B641" s="24">
        <v>44103</v>
      </c>
      <c r="C641" t="s">
        <v>81</v>
      </c>
      <c r="D641" t="s">
        <v>12</v>
      </c>
      <c r="E641" t="s">
        <v>11</v>
      </c>
      <c r="F641">
        <v>1100</v>
      </c>
      <c r="G641">
        <v>1</v>
      </c>
      <c r="H641">
        <v>1100</v>
      </c>
      <c r="I641">
        <v>935</v>
      </c>
    </row>
    <row r="642" spans="1:9" x14ac:dyDescent="0.3">
      <c r="A642">
        <v>639</v>
      </c>
      <c r="B642" s="24">
        <v>44104</v>
      </c>
      <c r="C642" t="s">
        <v>81</v>
      </c>
      <c r="D642" t="s">
        <v>12</v>
      </c>
      <c r="E642" t="s">
        <v>11</v>
      </c>
      <c r="F642">
        <v>1100</v>
      </c>
      <c r="G642">
        <v>1</v>
      </c>
      <c r="H642">
        <v>1100</v>
      </c>
      <c r="I642">
        <v>935</v>
      </c>
    </row>
    <row r="643" spans="1:9" x14ac:dyDescent="0.3">
      <c r="A643">
        <v>640</v>
      </c>
      <c r="B643" s="24">
        <v>44105</v>
      </c>
      <c r="C643" t="s">
        <v>81</v>
      </c>
      <c r="D643" t="s">
        <v>12</v>
      </c>
      <c r="E643" t="s">
        <v>11</v>
      </c>
      <c r="F643">
        <v>1100</v>
      </c>
      <c r="G643">
        <v>1</v>
      </c>
      <c r="H643">
        <v>1100</v>
      </c>
      <c r="I643">
        <v>935</v>
      </c>
    </row>
    <row r="644" spans="1:9" x14ac:dyDescent="0.3">
      <c r="A644">
        <v>641</v>
      </c>
      <c r="B644" s="24">
        <v>44106</v>
      </c>
      <c r="C644" t="s">
        <v>81</v>
      </c>
      <c r="D644" t="s">
        <v>12</v>
      </c>
      <c r="E644" t="s">
        <v>11</v>
      </c>
      <c r="F644">
        <v>1100</v>
      </c>
      <c r="G644">
        <v>1</v>
      </c>
      <c r="H644">
        <v>1100</v>
      </c>
      <c r="I644">
        <v>935</v>
      </c>
    </row>
    <row r="645" spans="1:9" x14ac:dyDescent="0.3">
      <c r="A645">
        <v>642</v>
      </c>
      <c r="B645" s="24">
        <v>44107</v>
      </c>
      <c r="C645" t="s">
        <v>81</v>
      </c>
      <c r="D645" t="s">
        <v>12</v>
      </c>
      <c r="E645" t="s">
        <v>11</v>
      </c>
      <c r="F645">
        <v>1100</v>
      </c>
      <c r="G645">
        <v>1</v>
      </c>
      <c r="H645">
        <v>1100</v>
      </c>
      <c r="I645">
        <v>935</v>
      </c>
    </row>
    <row r="646" spans="1:9" x14ac:dyDescent="0.3">
      <c r="A646">
        <v>643</v>
      </c>
      <c r="B646" s="24">
        <v>44108</v>
      </c>
      <c r="C646" t="s">
        <v>81</v>
      </c>
      <c r="D646" t="s">
        <v>12</v>
      </c>
      <c r="E646" t="s">
        <v>11</v>
      </c>
      <c r="F646">
        <v>1100</v>
      </c>
      <c r="G646">
        <v>1</v>
      </c>
      <c r="H646">
        <v>1100</v>
      </c>
      <c r="I646">
        <v>935</v>
      </c>
    </row>
    <row r="647" spans="1:9" x14ac:dyDescent="0.3">
      <c r="A647">
        <v>644</v>
      </c>
      <c r="B647" s="24">
        <v>44109</v>
      </c>
      <c r="C647" t="s">
        <v>81</v>
      </c>
      <c r="D647" t="s">
        <v>12</v>
      </c>
      <c r="E647" t="s">
        <v>11</v>
      </c>
      <c r="F647">
        <v>1100</v>
      </c>
      <c r="G647">
        <v>2</v>
      </c>
      <c r="H647">
        <v>2200</v>
      </c>
      <c r="I647">
        <v>1870</v>
      </c>
    </row>
    <row r="648" spans="1:9" x14ac:dyDescent="0.3">
      <c r="A648">
        <v>645</v>
      </c>
      <c r="B648" s="24">
        <v>44110</v>
      </c>
      <c r="C648" t="s">
        <v>81</v>
      </c>
      <c r="D648" t="s">
        <v>12</v>
      </c>
      <c r="E648" t="s">
        <v>11</v>
      </c>
      <c r="F648">
        <v>1100</v>
      </c>
      <c r="G648">
        <v>1</v>
      </c>
      <c r="H648">
        <v>1100</v>
      </c>
      <c r="I648">
        <v>935</v>
      </c>
    </row>
    <row r="649" spans="1:9" x14ac:dyDescent="0.3">
      <c r="A649">
        <v>646</v>
      </c>
      <c r="B649" s="24">
        <v>44111</v>
      </c>
      <c r="C649" t="s">
        <v>81</v>
      </c>
      <c r="D649" t="s">
        <v>12</v>
      </c>
      <c r="E649" t="s">
        <v>11</v>
      </c>
      <c r="F649">
        <v>1100</v>
      </c>
      <c r="G649">
        <v>1</v>
      </c>
      <c r="H649">
        <v>1100</v>
      </c>
      <c r="I649">
        <v>935</v>
      </c>
    </row>
    <row r="650" spans="1:9" x14ac:dyDescent="0.3">
      <c r="A650">
        <v>647</v>
      </c>
      <c r="B650" s="24">
        <v>44112</v>
      </c>
      <c r="C650" t="s">
        <v>81</v>
      </c>
      <c r="D650" t="s">
        <v>12</v>
      </c>
      <c r="E650" t="s">
        <v>11</v>
      </c>
      <c r="F650">
        <v>900</v>
      </c>
      <c r="G650">
        <v>1</v>
      </c>
      <c r="H650">
        <v>900</v>
      </c>
      <c r="I650">
        <v>765</v>
      </c>
    </row>
    <row r="651" spans="1:9" x14ac:dyDescent="0.3">
      <c r="A651">
        <v>648</v>
      </c>
      <c r="B651" s="24">
        <v>44113</v>
      </c>
      <c r="C651" t="s">
        <v>81</v>
      </c>
      <c r="D651" t="s">
        <v>12</v>
      </c>
      <c r="E651" t="s">
        <v>11</v>
      </c>
      <c r="F651">
        <v>900</v>
      </c>
      <c r="G651">
        <v>1</v>
      </c>
      <c r="H651">
        <v>900</v>
      </c>
      <c r="I651">
        <v>765</v>
      </c>
    </row>
    <row r="652" spans="1:9" x14ac:dyDescent="0.3">
      <c r="A652">
        <v>649</v>
      </c>
      <c r="B652" s="24">
        <v>44114</v>
      </c>
      <c r="C652" t="s">
        <v>81</v>
      </c>
      <c r="D652" t="s">
        <v>12</v>
      </c>
      <c r="E652" t="s">
        <v>11</v>
      </c>
      <c r="F652">
        <v>900</v>
      </c>
      <c r="G652">
        <v>1</v>
      </c>
      <c r="H652">
        <v>900</v>
      </c>
      <c r="I652">
        <v>765</v>
      </c>
    </row>
    <row r="653" spans="1:9" x14ac:dyDescent="0.3">
      <c r="A653">
        <v>650</v>
      </c>
      <c r="B653" s="24">
        <v>44115</v>
      </c>
      <c r="C653" t="s">
        <v>81</v>
      </c>
      <c r="D653" t="s">
        <v>12</v>
      </c>
      <c r="E653" t="s">
        <v>11</v>
      </c>
      <c r="F653">
        <v>900</v>
      </c>
      <c r="G653">
        <v>2</v>
      </c>
      <c r="H653">
        <v>1800</v>
      </c>
      <c r="I653">
        <v>1530</v>
      </c>
    </row>
    <row r="654" spans="1:9" x14ac:dyDescent="0.3">
      <c r="A654">
        <v>651</v>
      </c>
      <c r="B654" s="24">
        <v>44116</v>
      </c>
      <c r="C654" t="s">
        <v>81</v>
      </c>
      <c r="D654" t="s">
        <v>12</v>
      </c>
      <c r="E654" t="s">
        <v>11</v>
      </c>
      <c r="F654">
        <v>900</v>
      </c>
      <c r="G654">
        <v>1</v>
      </c>
      <c r="H654">
        <v>900</v>
      </c>
      <c r="I654">
        <v>765</v>
      </c>
    </row>
    <row r="655" spans="1:9" x14ac:dyDescent="0.3">
      <c r="A655">
        <v>652</v>
      </c>
      <c r="B655" s="24">
        <v>44117</v>
      </c>
      <c r="C655" t="s">
        <v>81</v>
      </c>
      <c r="D655" t="s">
        <v>12</v>
      </c>
      <c r="E655" t="s">
        <v>11</v>
      </c>
      <c r="F655">
        <v>900</v>
      </c>
      <c r="G655">
        <v>1</v>
      </c>
      <c r="H655">
        <v>900</v>
      </c>
      <c r="I655">
        <v>765</v>
      </c>
    </row>
    <row r="656" spans="1:9" x14ac:dyDescent="0.3">
      <c r="A656">
        <v>653</v>
      </c>
      <c r="B656" s="24">
        <v>44118</v>
      </c>
      <c r="C656" t="s">
        <v>81</v>
      </c>
      <c r="D656" t="s">
        <v>12</v>
      </c>
      <c r="E656" t="s">
        <v>11</v>
      </c>
      <c r="F656">
        <v>1100</v>
      </c>
      <c r="G656">
        <v>1</v>
      </c>
      <c r="H656">
        <v>1100</v>
      </c>
      <c r="I656">
        <v>935</v>
      </c>
    </row>
    <row r="657" spans="1:9" x14ac:dyDescent="0.3">
      <c r="A657">
        <v>654</v>
      </c>
      <c r="B657" s="24">
        <v>44119</v>
      </c>
      <c r="C657" t="s">
        <v>81</v>
      </c>
      <c r="D657" t="s">
        <v>12</v>
      </c>
      <c r="E657" t="s">
        <v>11</v>
      </c>
      <c r="F657">
        <v>900</v>
      </c>
      <c r="G657">
        <v>1</v>
      </c>
      <c r="H657">
        <v>900</v>
      </c>
      <c r="I657">
        <v>765</v>
      </c>
    </row>
    <row r="658" spans="1:9" x14ac:dyDescent="0.3">
      <c r="A658">
        <v>655</v>
      </c>
      <c r="B658" s="24">
        <v>44120</v>
      </c>
      <c r="C658" t="s">
        <v>81</v>
      </c>
      <c r="D658" t="s">
        <v>12</v>
      </c>
      <c r="E658" t="s">
        <v>11</v>
      </c>
      <c r="F658">
        <v>1100</v>
      </c>
      <c r="G658">
        <v>2</v>
      </c>
      <c r="H658">
        <v>2200</v>
      </c>
      <c r="I658">
        <v>1870</v>
      </c>
    </row>
    <row r="659" spans="1:9" x14ac:dyDescent="0.3">
      <c r="A659">
        <v>656</v>
      </c>
      <c r="B659" s="24">
        <v>44121</v>
      </c>
      <c r="C659" t="s">
        <v>81</v>
      </c>
      <c r="D659" t="s">
        <v>12</v>
      </c>
      <c r="E659" t="s">
        <v>11</v>
      </c>
      <c r="F659">
        <v>1100</v>
      </c>
      <c r="G659">
        <v>1</v>
      </c>
      <c r="H659">
        <v>1100</v>
      </c>
      <c r="I659">
        <v>935</v>
      </c>
    </row>
    <row r="660" spans="1:9" x14ac:dyDescent="0.3">
      <c r="A660">
        <v>657</v>
      </c>
      <c r="B660" s="24">
        <v>44122</v>
      </c>
      <c r="C660" t="s">
        <v>81</v>
      </c>
      <c r="D660" t="s">
        <v>12</v>
      </c>
      <c r="E660" t="s">
        <v>11</v>
      </c>
      <c r="F660">
        <v>900</v>
      </c>
      <c r="G660">
        <v>1</v>
      </c>
      <c r="H660">
        <v>900</v>
      </c>
      <c r="I660">
        <v>765</v>
      </c>
    </row>
    <row r="661" spans="1:9" x14ac:dyDescent="0.3">
      <c r="A661">
        <v>658</v>
      </c>
      <c r="B661" s="24">
        <v>44123</v>
      </c>
      <c r="C661" t="s">
        <v>81</v>
      </c>
      <c r="D661" t="s">
        <v>12</v>
      </c>
      <c r="E661" t="s">
        <v>11</v>
      </c>
      <c r="F661">
        <v>900</v>
      </c>
      <c r="G661">
        <v>1</v>
      </c>
      <c r="H661">
        <v>900</v>
      </c>
      <c r="I661">
        <v>765</v>
      </c>
    </row>
    <row r="662" spans="1:9" x14ac:dyDescent="0.3">
      <c r="A662">
        <v>659</v>
      </c>
      <c r="B662" s="24">
        <v>44124</v>
      </c>
      <c r="C662" t="s">
        <v>81</v>
      </c>
      <c r="D662" t="s">
        <v>14</v>
      </c>
      <c r="E662" t="s">
        <v>11</v>
      </c>
      <c r="F662">
        <v>900</v>
      </c>
      <c r="G662">
        <v>1</v>
      </c>
      <c r="H662">
        <v>900</v>
      </c>
      <c r="I662">
        <v>900</v>
      </c>
    </row>
    <row r="663" spans="1:9" x14ac:dyDescent="0.3">
      <c r="A663">
        <v>660</v>
      </c>
      <c r="B663" s="24">
        <v>44125</v>
      </c>
      <c r="C663" t="s">
        <v>81</v>
      </c>
      <c r="D663" t="s">
        <v>12</v>
      </c>
      <c r="E663" t="s">
        <v>11</v>
      </c>
      <c r="F663">
        <v>1100</v>
      </c>
      <c r="G663">
        <v>1</v>
      </c>
      <c r="H663">
        <v>1100</v>
      </c>
      <c r="I663">
        <v>935</v>
      </c>
    </row>
    <row r="664" spans="1:9" x14ac:dyDescent="0.3">
      <c r="A664">
        <v>661</v>
      </c>
      <c r="B664" s="24">
        <v>44126</v>
      </c>
      <c r="C664" t="s">
        <v>81</v>
      </c>
      <c r="D664" t="s">
        <v>12</v>
      </c>
      <c r="E664" t="s">
        <v>11</v>
      </c>
      <c r="F664">
        <v>1100</v>
      </c>
      <c r="G664">
        <v>1</v>
      </c>
      <c r="H664">
        <v>1100</v>
      </c>
      <c r="I664">
        <v>935</v>
      </c>
    </row>
    <row r="665" spans="1:9" x14ac:dyDescent="0.3">
      <c r="A665">
        <v>662</v>
      </c>
      <c r="B665" s="24">
        <v>44127</v>
      </c>
      <c r="C665" t="s">
        <v>81</v>
      </c>
      <c r="D665" t="s">
        <v>14</v>
      </c>
      <c r="E665" t="s">
        <v>11</v>
      </c>
      <c r="F665">
        <v>900</v>
      </c>
      <c r="G665">
        <v>1</v>
      </c>
      <c r="H665">
        <v>900</v>
      </c>
      <c r="I665">
        <v>900</v>
      </c>
    </row>
    <row r="666" spans="1:9" x14ac:dyDescent="0.3">
      <c r="A666">
        <v>663</v>
      </c>
      <c r="B666" s="24">
        <v>44128</v>
      </c>
      <c r="C666" t="s">
        <v>81</v>
      </c>
      <c r="D666" t="s">
        <v>12</v>
      </c>
      <c r="E666" t="s">
        <v>11</v>
      </c>
      <c r="F666">
        <v>900</v>
      </c>
      <c r="G666">
        <v>1</v>
      </c>
      <c r="H666">
        <v>900</v>
      </c>
      <c r="I666">
        <v>765</v>
      </c>
    </row>
    <row r="667" spans="1:9" x14ac:dyDescent="0.3">
      <c r="A667">
        <v>664</v>
      </c>
      <c r="B667" s="24">
        <v>44129</v>
      </c>
      <c r="C667" t="s">
        <v>81</v>
      </c>
      <c r="D667" t="s">
        <v>14</v>
      </c>
      <c r="E667" t="s">
        <v>11</v>
      </c>
      <c r="F667">
        <v>900</v>
      </c>
      <c r="G667">
        <v>1</v>
      </c>
      <c r="H667">
        <v>900</v>
      </c>
      <c r="I667">
        <v>900</v>
      </c>
    </row>
    <row r="668" spans="1:9" x14ac:dyDescent="0.3">
      <c r="A668">
        <v>665</v>
      </c>
      <c r="B668" s="24">
        <v>44130</v>
      </c>
      <c r="C668" t="s">
        <v>81</v>
      </c>
      <c r="D668" t="s">
        <v>12</v>
      </c>
      <c r="E668" t="s">
        <v>11</v>
      </c>
      <c r="F668">
        <v>1100</v>
      </c>
      <c r="G668">
        <v>1</v>
      </c>
      <c r="H668">
        <v>1100</v>
      </c>
      <c r="I668">
        <v>935</v>
      </c>
    </row>
    <row r="669" spans="1:9" x14ac:dyDescent="0.3">
      <c r="A669">
        <v>666</v>
      </c>
      <c r="B669" s="24">
        <v>44131</v>
      </c>
      <c r="C669" t="s">
        <v>81</v>
      </c>
      <c r="D669" t="s">
        <v>12</v>
      </c>
      <c r="E669" t="s">
        <v>11</v>
      </c>
      <c r="F669">
        <v>1100</v>
      </c>
      <c r="G669">
        <v>1</v>
      </c>
      <c r="H669">
        <v>1100</v>
      </c>
      <c r="I669">
        <v>935</v>
      </c>
    </row>
    <row r="670" spans="1:9" x14ac:dyDescent="0.3">
      <c r="A670">
        <v>667</v>
      </c>
      <c r="B670" s="24">
        <v>44132</v>
      </c>
      <c r="C670" t="s">
        <v>81</v>
      </c>
      <c r="D670" t="s">
        <v>14</v>
      </c>
      <c r="E670" t="s">
        <v>11</v>
      </c>
      <c r="F670">
        <v>900</v>
      </c>
      <c r="G670">
        <v>1</v>
      </c>
      <c r="H670">
        <v>900</v>
      </c>
      <c r="I670">
        <v>900</v>
      </c>
    </row>
    <row r="671" spans="1:9" x14ac:dyDescent="0.3">
      <c r="A671">
        <v>668</v>
      </c>
      <c r="B671" s="24">
        <v>44133</v>
      </c>
      <c r="C671" t="s">
        <v>81</v>
      </c>
      <c r="D671" t="s">
        <v>14</v>
      </c>
      <c r="E671" t="s">
        <v>11</v>
      </c>
      <c r="F671">
        <v>900</v>
      </c>
      <c r="G671">
        <v>1</v>
      </c>
      <c r="H671">
        <v>900</v>
      </c>
      <c r="I671">
        <v>900</v>
      </c>
    </row>
    <row r="672" spans="1:9" x14ac:dyDescent="0.3">
      <c r="A672">
        <v>669</v>
      </c>
      <c r="B672" s="24">
        <v>44134</v>
      </c>
      <c r="C672" t="s">
        <v>81</v>
      </c>
      <c r="D672" t="s">
        <v>14</v>
      </c>
      <c r="E672" t="s">
        <v>11</v>
      </c>
      <c r="F672">
        <v>900</v>
      </c>
      <c r="G672">
        <v>1</v>
      </c>
      <c r="H672">
        <v>900</v>
      </c>
      <c r="I672">
        <v>900</v>
      </c>
    </row>
    <row r="673" spans="1:9" x14ac:dyDescent="0.3">
      <c r="A673">
        <v>670</v>
      </c>
      <c r="B673" s="24">
        <v>44135</v>
      </c>
      <c r="C673" t="s">
        <v>81</v>
      </c>
      <c r="D673" t="s">
        <v>14</v>
      </c>
      <c r="E673" t="s">
        <v>11</v>
      </c>
      <c r="F673">
        <v>900</v>
      </c>
      <c r="G673">
        <v>1</v>
      </c>
      <c r="H673">
        <v>900</v>
      </c>
      <c r="I673">
        <v>900</v>
      </c>
    </row>
    <row r="674" spans="1:9" x14ac:dyDescent="0.3">
      <c r="A674">
        <v>671</v>
      </c>
      <c r="B674" s="24">
        <v>44136</v>
      </c>
      <c r="C674" t="s">
        <v>81</v>
      </c>
      <c r="D674" t="s">
        <v>14</v>
      </c>
      <c r="E674" t="s">
        <v>11</v>
      </c>
      <c r="F674">
        <v>900</v>
      </c>
      <c r="G674">
        <v>1</v>
      </c>
      <c r="H674">
        <v>900</v>
      </c>
      <c r="I674">
        <v>900</v>
      </c>
    </row>
    <row r="675" spans="1:9" x14ac:dyDescent="0.3">
      <c r="A675">
        <v>672</v>
      </c>
      <c r="B675" s="24">
        <v>44137</v>
      </c>
      <c r="C675" t="s">
        <v>81</v>
      </c>
      <c r="D675" t="s">
        <v>12</v>
      </c>
      <c r="E675" t="s">
        <v>11</v>
      </c>
      <c r="F675">
        <v>900</v>
      </c>
      <c r="G675">
        <v>1</v>
      </c>
      <c r="H675">
        <v>900</v>
      </c>
      <c r="I675">
        <v>765</v>
      </c>
    </row>
    <row r="676" spans="1:9" x14ac:dyDescent="0.3">
      <c r="A676">
        <v>673</v>
      </c>
      <c r="B676" s="24">
        <v>44138</v>
      </c>
      <c r="C676" t="s">
        <v>81</v>
      </c>
      <c r="D676" t="s">
        <v>12</v>
      </c>
      <c r="E676" t="s">
        <v>11</v>
      </c>
      <c r="F676">
        <v>900</v>
      </c>
      <c r="G676">
        <v>1</v>
      </c>
      <c r="H676">
        <v>900</v>
      </c>
      <c r="I676">
        <v>765</v>
      </c>
    </row>
    <row r="677" spans="1:9" x14ac:dyDescent="0.3">
      <c r="A677">
        <v>674</v>
      </c>
      <c r="B677" s="24">
        <v>44139</v>
      </c>
      <c r="C677" t="s">
        <v>81</v>
      </c>
      <c r="D677" t="s">
        <v>12</v>
      </c>
      <c r="E677" t="s">
        <v>11</v>
      </c>
      <c r="F677">
        <v>900</v>
      </c>
      <c r="G677">
        <v>1</v>
      </c>
      <c r="H677">
        <v>900</v>
      </c>
      <c r="I677">
        <v>765</v>
      </c>
    </row>
    <row r="678" spans="1:9" x14ac:dyDescent="0.3">
      <c r="A678">
        <v>675</v>
      </c>
      <c r="B678" s="24">
        <v>44140</v>
      </c>
      <c r="C678" t="s">
        <v>81</v>
      </c>
      <c r="D678" t="s">
        <v>12</v>
      </c>
      <c r="E678" t="s">
        <v>11</v>
      </c>
      <c r="F678">
        <v>1100</v>
      </c>
      <c r="G678">
        <v>1</v>
      </c>
      <c r="H678">
        <v>1100</v>
      </c>
      <c r="I678">
        <v>935</v>
      </c>
    </row>
    <row r="679" spans="1:9" x14ac:dyDescent="0.3">
      <c r="A679">
        <v>676</v>
      </c>
      <c r="B679" s="24">
        <v>44141</v>
      </c>
      <c r="C679" t="s">
        <v>81</v>
      </c>
      <c r="D679" t="s">
        <v>12</v>
      </c>
      <c r="E679" t="s">
        <v>11</v>
      </c>
      <c r="F679">
        <v>1100</v>
      </c>
      <c r="G679">
        <v>1</v>
      </c>
      <c r="H679">
        <v>1100</v>
      </c>
      <c r="I679">
        <v>935</v>
      </c>
    </row>
    <row r="680" spans="1:9" x14ac:dyDescent="0.3">
      <c r="A680">
        <v>677</v>
      </c>
      <c r="B680" s="24">
        <v>44142</v>
      </c>
      <c r="C680" t="s">
        <v>81</v>
      </c>
      <c r="D680" t="s">
        <v>15</v>
      </c>
      <c r="E680" t="s">
        <v>11</v>
      </c>
      <c r="F680">
        <v>1000</v>
      </c>
      <c r="G680">
        <v>1</v>
      </c>
      <c r="H680">
        <v>1000</v>
      </c>
      <c r="I680">
        <v>1000</v>
      </c>
    </row>
    <row r="681" spans="1:9" x14ac:dyDescent="0.3">
      <c r="A681">
        <v>678</v>
      </c>
      <c r="B681" s="24">
        <v>44143</v>
      </c>
      <c r="C681" t="s">
        <v>81</v>
      </c>
      <c r="D681" t="s">
        <v>15</v>
      </c>
      <c r="E681" t="s">
        <v>11</v>
      </c>
      <c r="F681">
        <v>1000</v>
      </c>
      <c r="G681">
        <v>1</v>
      </c>
      <c r="H681">
        <v>1000</v>
      </c>
      <c r="I681">
        <v>1000</v>
      </c>
    </row>
    <row r="682" spans="1:9" x14ac:dyDescent="0.3">
      <c r="A682">
        <v>679</v>
      </c>
      <c r="B682" s="24">
        <v>44144</v>
      </c>
      <c r="C682" t="s">
        <v>81</v>
      </c>
      <c r="D682" t="s">
        <v>12</v>
      </c>
      <c r="E682" t="s">
        <v>11</v>
      </c>
      <c r="F682">
        <v>1100</v>
      </c>
      <c r="G682">
        <v>1</v>
      </c>
      <c r="H682">
        <v>1100</v>
      </c>
      <c r="I682">
        <v>935</v>
      </c>
    </row>
    <row r="683" spans="1:9" x14ac:dyDescent="0.3">
      <c r="A683">
        <v>680</v>
      </c>
      <c r="B683" s="24">
        <v>44145</v>
      </c>
      <c r="C683" t="s">
        <v>81</v>
      </c>
      <c r="D683" t="s">
        <v>15</v>
      </c>
      <c r="E683" t="s">
        <v>11</v>
      </c>
      <c r="F683">
        <v>1000</v>
      </c>
      <c r="G683">
        <v>1</v>
      </c>
      <c r="H683">
        <v>1000</v>
      </c>
      <c r="I683">
        <v>1000</v>
      </c>
    </row>
    <row r="684" spans="1:9" x14ac:dyDescent="0.3">
      <c r="A684">
        <v>681</v>
      </c>
      <c r="B684" s="24">
        <v>44146</v>
      </c>
      <c r="C684" t="s">
        <v>81</v>
      </c>
      <c r="D684" t="s">
        <v>12</v>
      </c>
      <c r="E684" t="s">
        <v>11</v>
      </c>
      <c r="F684">
        <v>900</v>
      </c>
      <c r="G684">
        <v>1</v>
      </c>
      <c r="H684">
        <v>900</v>
      </c>
      <c r="I684">
        <v>765</v>
      </c>
    </row>
    <row r="685" spans="1:9" x14ac:dyDescent="0.3">
      <c r="A685">
        <v>682</v>
      </c>
      <c r="B685" s="24">
        <v>44147</v>
      </c>
      <c r="C685" t="s">
        <v>81</v>
      </c>
      <c r="D685" t="s">
        <v>12</v>
      </c>
      <c r="E685" t="s">
        <v>11</v>
      </c>
      <c r="F685">
        <v>900</v>
      </c>
      <c r="G685">
        <v>2</v>
      </c>
      <c r="H685">
        <v>1800</v>
      </c>
      <c r="I685">
        <v>1530</v>
      </c>
    </row>
    <row r="686" spans="1:9" x14ac:dyDescent="0.3">
      <c r="A686">
        <v>683</v>
      </c>
      <c r="B686" s="24">
        <v>44148</v>
      </c>
      <c r="C686" t="s">
        <v>81</v>
      </c>
      <c r="D686" t="s">
        <v>12</v>
      </c>
      <c r="E686" t="s">
        <v>11</v>
      </c>
      <c r="F686">
        <v>1100</v>
      </c>
      <c r="G686">
        <v>1</v>
      </c>
      <c r="H686">
        <v>1100</v>
      </c>
      <c r="I686">
        <v>935</v>
      </c>
    </row>
    <row r="687" spans="1:9" x14ac:dyDescent="0.3">
      <c r="A687">
        <v>684</v>
      </c>
      <c r="B687" s="24">
        <v>44149</v>
      </c>
      <c r="C687" t="s">
        <v>81</v>
      </c>
      <c r="D687" t="s">
        <v>12</v>
      </c>
      <c r="E687" t="s">
        <v>11</v>
      </c>
      <c r="F687">
        <v>900</v>
      </c>
      <c r="G687">
        <v>1</v>
      </c>
      <c r="H687">
        <v>900</v>
      </c>
      <c r="I687">
        <v>765</v>
      </c>
    </row>
    <row r="688" spans="1:9" x14ac:dyDescent="0.3">
      <c r="A688">
        <v>685</v>
      </c>
      <c r="B688" s="24">
        <v>44150</v>
      </c>
      <c r="C688" t="s">
        <v>81</v>
      </c>
      <c r="D688" t="s">
        <v>12</v>
      </c>
      <c r="E688" t="s">
        <v>11</v>
      </c>
      <c r="F688">
        <v>1100</v>
      </c>
      <c r="G688">
        <v>1</v>
      </c>
      <c r="H688">
        <v>1100</v>
      </c>
      <c r="I688">
        <v>935</v>
      </c>
    </row>
    <row r="689" spans="1:9" x14ac:dyDescent="0.3">
      <c r="A689">
        <v>686</v>
      </c>
      <c r="B689" s="24">
        <v>44151</v>
      </c>
      <c r="C689" t="s">
        <v>81</v>
      </c>
      <c r="D689" t="s">
        <v>16</v>
      </c>
      <c r="E689" t="s">
        <v>17</v>
      </c>
      <c r="F689">
        <v>800</v>
      </c>
      <c r="G689">
        <v>1</v>
      </c>
      <c r="H689">
        <v>800</v>
      </c>
      <c r="I689">
        <v>800</v>
      </c>
    </row>
    <row r="690" spans="1:9" x14ac:dyDescent="0.3">
      <c r="A690">
        <v>687</v>
      </c>
      <c r="B690" s="24">
        <v>44152</v>
      </c>
      <c r="C690" t="s">
        <v>81</v>
      </c>
      <c r="D690" t="s">
        <v>16</v>
      </c>
      <c r="E690" t="s">
        <v>17</v>
      </c>
      <c r="F690">
        <v>800</v>
      </c>
      <c r="G690">
        <v>2</v>
      </c>
      <c r="H690">
        <v>1600</v>
      </c>
      <c r="I690">
        <v>1600</v>
      </c>
    </row>
    <row r="691" spans="1:9" x14ac:dyDescent="0.3">
      <c r="A691">
        <v>688</v>
      </c>
      <c r="B691" s="24">
        <v>44153</v>
      </c>
      <c r="C691" t="s">
        <v>81</v>
      </c>
      <c r="D691" t="s">
        <v>14</v>
      </c>
      <c r="E691" t="s">
        <v>11</v>
      </c>
      <c r="F691">
        <v>900</v>
      </c>
      <c r="G691">
        <v>1</v>
      </c>
      <c r="H691">
        <v>900</v>
      </c>
      <c r="I691">
        <v>900</v>
      </c>
    </row>
    <row r="692" spans="1:9" x14ac:dyDescent="0.3">
      <c r="A692">
        <v>689</v>
      </c>
      <c r="B692" s="24">
        <v>44154</v>
      </c>
      <c r="C692" t="s">
        <v>81</v>
      </c>
      <c r="D692" t="s">
        <v>12</v>
      </c>
      <c r="E692" t="s">
        <v>11</v>
      </c>
      <c r="F692">
        <v>1100</v>
      </c>
      <c r="G692">
        <v>1</v>
      </c>
      <c r="H692">
        <v>1100</v>
      </c>
      <c r="I692">
        <v>935</v>
      </c>
    </row>
    <row r="693" spans="1:9" x14ac:dyDescent="0.3">
      <c r="A693">
        <v>690</v>
      </c>
      <c r="B693" s="24">
        <v>44155</v>
      </c>
      <c r="C693" t="s">
        <v>81</v>
      </c>
      <c r="D693" t="s">
        <v>16</v>
      </c>
      <c r="E693" t="s">
        <v>17</v>
      </c>
      <c r="F693">
        <v>800</v>
      </c>
      <c r="G693">
        <v>1</v>
      </c>
      <c r="H693">
        <v>800</v>
      </c>
      <c r="I693">
        <v>800</v>
      </c>
    </row>
    <row r="694" spans="1:9" x14ac:dyDescent="0.3">
      <c r="A694">
        <v>691</v>
      </c>
      <c r="B694" s="24">
        <v>44156</v>
      </c>
      <c r="C694" t="s">
        <v>81</v>
      </c>
      <c r="D694" t="s">
        <v>15</v>
      </c>
      <c r="E694" t="s">
        <v>11</v>
      </c>
      <c r="F694">
        <v>1000</v>
      </c>
      <c r="G694">
        <v>1</v>
      </c>
      <c r="H694">
        <v>1000</v>
      </c>
      <c r="I694">
        <v>1000</v>
      </c>
    </row>
    <row r="695" spans="1:9" x14ac:dyDescent="0.3">
      <c r="A695">
        <v>692</v>
      </c>
      <c r="B695" s="24">
        <v>44157</v>
      </c>
      <c r="C695" t="s">
        <v>81</v>
      </c>
      <c r="D695" t="s">
        <v>16</v>
      </c>
      <c r="E695" t="s">
        <v>17</v>
      </c>
      <c r="F695">
        <v>800</v>
      </c>
      <c r="G695">
        <v>1</v>
      </c>
      <c r="H695">
        <v>800</v>
      </c>
      <c r="I695">
        <v>800</v>
      </c>
    </row>
    <row r="696" spans="1:9" x14ac:dyDescent="0.3">
      <c r="A696">
        <v>693</v>
      </c>
      <c r="B696" s="24">
        <v>44158</v>
      </c>
      <c r="C696" t="s">
        <v>81</v>
      </c>
      <c r="D696" t="s">
        <v>18</v>
      </c>
      <c r="E696" t="s">
        <v>17</v>
      </c>
      <c r="F696">
        <v>600</v>
      </c>
      <c r="G696">
        <v>1</v>
      </c>
      <c r="H696">
        <v>600</v>
      </c>
      <c r="I696">
        <v>600</v>
      </c>
    </row>
    <row r="697" spans="1:9" x14ac:dyDescent="0.3">
      <c r="A697">
        <v>694</v>
      </c>
      <c r="B697" s="24">
        <v>44159</v>
      </c>
      <c r="C697" t="s">
        <v>81</v>
      </c>
      <c r="D697" t="s">
        <v>12</v>
      </c>
      <c r="E697" t="s">
        <v>11</v>
      </c>
      <c r="F697">
        <v>900</v>
      </c>
      <c r="G697">
        <v>1</v>
      </c>
      <c r="H697">
        <v>900</v>
      </c>
      <c r="I697">
        <v>765</v>
      </c>
    </row>
    <row r="698" spans="1:9" x14ac:dyDescent="0.3">
      <c r="A698">
        <v>695</v>
      </c>
      <c r="B698" s="24">
        <v>44160</v>
      </c>
      <c r="C698" t="s">
        <v>81</v>
      </c>
      <c r="D698" t="s">
        <v>12</v>
      </c>
      <c r="E698" t="s">
        <v>11</v>
      </c>
      <c r="F698">
        <v>1100</v>
      </c>
      <c r="G698">
        <v>1</v>
      </c>
      <c r="H698">
        <v>1100</v>
      </c>
      <c r="I698">
        <v>935</v>
      </c>
    </row>
    <row r="699" spans="1:9" x14ac:dyDescent="0.3">
      <c r="A699">
        <v>696</v>
      </c>
      <c r="B699" s="24">
        <v>44161</v>
      </c>
      <c r="C699" t="s">
        <v>81</v>
      </c>
      <c r="D699" t="s">
        <v>15</v>
      </c>
      <c r="E699" t="s">
        <v>11</v>
      </c>
      <c r="F699">
        <v>1000</v>
      </c>
      <c r="G699">
        <v>1</v>
      </c>
      <c r="H699">
        <v>1000</v>
      </c>
      <c r="I699">
        <v>1000</v>
      </c>
    </row>
    <row r="700" spans="1:9" x14ac:dyDescent="0.3">
      <c r="A700">
        <v>697</v>
      </c>
      <c r="B700" s="24">
        <v>44162</v>
      </c>
      <c r="C700" t="s">
        <v>81</v>
      </c>
      <c r="D700" t="s">
        <v>12</v>
      </c>
      <c r="E700" t="s">
        <v>11</v>
      </c>
      <c r="F700">
        <v>900</v>
      </c>
      <c r="G700">
        <v>1</v>
      </c>
      <c r="H700">
        <v>900</v>
      </c>
      <c r="I700">
        <v>765</v>
      </c>
    </row>
    <row r="701" spans="1:9" x14ac:dyDescent="0.3">
      <c r="A701">
        <v>698</v>
      </c>
      <c r="B701" s="24">
        <v>44163</v>
      </c>
      <c r="C701" t="s">
        <v>81</v>
      </c>
      <c r="D701" t="s">
        <v>12</v>
      </c>
      <c r="E701" t="s">
        <v>11</v>
      </c>
      <c r="F701">
        <v>1100</v>
      </c>
      <c r="G701">
        <v>2</v>
      </c>
      <c r="H701">
        <v>2200</v>
      </c>
      <c r="I701">
        <v>1870</v>
      </c>
    </row>
    <row r="702" spans="1:9" x14ac:dyDescent="0.3">
      <c r="A702">
        <v>699</v>
      </c>
      <c r="B702" s="24">
        <v>44164</v>
      </c>
      <c r="C702" t="s">
        <v>81</v>
      </c>
      <c r="D702" t="s">
        <v>18</v>
      </c>
      <c r="E702" t="s">
        <v>17</v>
      </c>
      <c r="F702">
        <v>600</v>
      </c>
      <c r="G702">
        <v>1</v>
      </c>
      <c r="H702">
        <v>600</v>
      </c>
      <c r="I702">
        <v>600</v>
      </c>
    </row>
    <row r="703" spans="1:9" x14ac:dyDescent="0.3">
      <c r="A703">
        <v>700</v>
      </c>
      <c r="B703" s="24">
        <v>44165</v>
      </c>
      <c r="C703" t="s">
        <v>81</v>
      </c>
      <c r="D703" t="s">
        <v>18</v>
      </c>
      <c r="E703" t="s">
        <v>17</v>
      </c>
      <c r="F703">
        <v>600</v>
      </c>
      <c r="G703">
        <v>1</v>
      </c>
      <c r="H703">
        <v>600</v>
      </c>
      <c r="I703">
        <v>600</v>
      </c>
    </row>
    <row r="704" spans="1:9" x14ac:dyDescent="0.3">
      <c r="A704">
        <v>701</v>
      </c>
      <c r="B704" s="24">
        <v>44166</v>
      </c>
      <c r="C704" t="s">
        <v>81</v>
      </c>
      <c r="D704" t="s">
        <v>18</v>
      </c>
      <c r="E704" t="s">
        <v>17</v>
      </c>
      <c r="F704">
        <v>600</v>
      </c>
      <c r="G704">
        <v>1</v>
      </c>
      <c r="H704">
        <v>600</v>
      </c>
      <c r="I704">
        <v>600</v>
      </c>
    </row>
    <row r="705" spans="1:9" x14ac:dyDescent="0.3">
      <c r="A705">
        <v>702</v>
      </c>
      <c r="B705" s="24">
        <v>44167</v>
      </c>
      <c r="C705" t="s">
        <v>81</v>
      </c>
      <c r="D705" t="s">
        <v>12</v>
      </c>
      <c r="E705" t="s">
        <v>11</v>
      </c>
      <c r="F705">
        <v>900</v>
      </c>
      <c r="G705">
        <v>1</v>
      </c>
      <c r="H705">
        <v>900</v>
      </c>
      <c r="I705">
        <v>765</v>
      </c>
    </row>
    <row r="706" spans="1:9" x14ac:dyDescent="0.3">
      <c r="A706">
        <v>703</v>
      </c>
      <c r="B706" s="24">
        <v>44168</v>
      </c>
      <c r="C706" t="s">
        <v>81</v>
      </c>
      <c r="D706" t="s">
        <v>18</v>
      </c>
      <c r="E706" t="s">
        <v>17</v>
      </c>
      <c r="F706">
        <v>600</v>
      </c>
      <c r="G706">
        <v>1</v>
      </c>
      <c r="H706">
        <v>600</v>
      </c>
      <c r="I706">
        <v>600</v>
      </c>
    </row>
    <row r="707" spans="1:9" x14ac:dyDescent="0.3">
      <c r="A707">
        <v>704</v>
      </c>
      <c r="B707" s="24">
        <v>44169</v>
      </c>
      <c r="C707" t="s">
        <v>81</v>
      </c>
      <c r="D707" t="s">
        <v>18</v>
      </c>
      <c r="E707" t="s">
        <v>17</v>
      </c>
      <c r="F707">
        <v>600</v>
      </c>
      <c r="G707">
        <v>1</v>
      </c>
      <c r="H707">
        <v>600</v>
      </c>
      <c r="I707">
        <v>600</v>
      </c>
    </row>
    <row r="708" spans="1:9" x14ac:dyDescent="0.3">
      <c r="A708">
        <v>705</v>
      </c>
      <c r="B708" s="24">
        <v>44170</v>
      </c>
      <c r="C708" t="s">
        <v>81</v>
      </c>
      <c r="D708" t="s">
        <v>12</v>
      </c>
      <c r="E708" t="s">
        <v>11</v>
      </c>
      <c r="F708">
        <v>1100</v>
      </c>
      <c r="G708">
        <v>1</v>
      </c>
      <c r="H708">
        <v>1100</v>
      </c>
      <c r="I708">
        <v>935</v>
      </c>
    </row>
    <row r="709" spans="1:9" x14ac:dyDescent="0.3">
      <c r="A709">
        <v>706</v>
      </c>
      <c r="B709" s="24">
        <v>44171</v>
      </c>
      <c r="C709" t="s">
        <v>81</v>
      </c>
      <c r="D709" t="s">
        <v>14</v>
      </c>
      <c r="E709" t="s">
        <v>11</v>
      </c>
      <c r="F709">
        <v>900</v>
      </c>
      <c r="G709">
        <v>3</v>
      </c>
      <c r="H709">
        <v>2700</v>
      </c>
      <c r="I709">
        <v>2700</v>
      </c>
    </row>
    <row r="710" spans="1:9" x14ac:dyDescent="0.3">
      <c r="A710">
        <v>707</v>
      </c>
      <c r="B710" s="24">
        <v>44172</v>
      </c>
      <c r="C710" t="s">
        <v>81</v>
      </c>
      <c r="D710" t="s">
        <v>10</v>
      </c>
      <c r="E710" t="s">
        <v>11</v>
      </c>
      <c r="F710">
        <v>1100</v>
      </c>
      <c r="G710">
        <v>2</v>
      </c>
      <c r="H710">
        <v>2200</v>
      </c>
      <c r="I710">
        <v>2200</v>
      </c>
    </row>
    <row r="711" spans="1:9" x14ac:dyDescent="0.3">
      <c r="A711">
        <v>708</v>
      </c>
      <c r="B711" s="24">
        <v>44173</v>
      </c>
      <c r="C711" t="s">
        <v>81</v>
      </c>
      <c r="D711" t="s">
        <v>10</v>
      </c>
      <c r="E711" t="s">
        <v>11</v>
      </c>
      <c r="F711">
        <v>1100</v>
      </c>
      <c r="G711">
        <v>1</v>
      </c>
      <c r="H711">
        <v>1100</v>
      </c>
      <c r="I711">
        <v>1100</v>
      </c>
    </row>
    <row r="712" spans="1:9" x14ac:dyDescent="0.3">
      <c r="A712">
        <v>709</v>
      </c>
      <c r="B712" s="24">
        <v>44174</v>
      </c>
      <c r="C712" t="s">
        <v>81</v>
      </c>
      <c r="D712" t="s">
        <v>18</v>
      </c>
      <c r="E712" t="s">
        <v>17</v>
      </c>
      <c r="F712">
        <v>600</v>
      </c>
      <c r="G712">
        <v>1</v>
      </c>
      <c r="H712">
        <v>600</v>
      </c>
      <c r="I712">
        <v>600</v>
      </c>
    </row>
    <row r="713" spans="1:9" x14ac:dyDescent="0.3">
      <c r="A713">
        <v>710</v>
      </c>
      <c r="B713" s="24">
        <v>44175</v>
      </c>
      <c r="C713" t="s">
        <v>81</v>
      </c>
      <c r="D713" t="s">
        <v>12</v>
      </c>
      <c r="E713" t="s">
        <v>11</v>
      </c>
      <c r="F713">
        <v>900</v>
      </c>
      <c r="G713">
        <v>1</v>
      </c>
      <c r="H713">
        <v>900</v>
      </c>
      <c r="I713">
        <v>765</v>
      </c>
    </row>
    <row r="714" spans="1:9" x14ac:dyDescent="0.3">
      <c r="A714">
        <v>711</v>
      </c>
      <c r="B714" s="24">
        <v>44176</v>
      </c>
      <c r="C714" t="s">
        <v>81</v>
      </c>
      <c r="D714" t="s">
        <v>18</v>
      </c>
      <c r="E714" t="s">
        <v>17</v>
      </c>
      <c r="F714">
        <v>600</v>
      </c>
      <c r="G714">
        <v>1</v>
      </c>
      <c r="H714">
        <v>600</v>
      </c>
      <c r="I714">
        <v>600</v>
      </c>
    </row>
    <row r="715" spans="1:9" x14ac:dyDescent="0.3">
      <c r="A715">
        <v>712</v>
      </c>
      <c r="B715" s="24">
        <v>44177</v>
      </c>
      <c r="C715" t="s">
        <v>81</v>
      </c>
      <c r="D715" t="s">
        <v>18</v>
      </c>
      <c r="E715" t="s">
        <v>17</v>
      </c>
      <c r="F715">
        <v>600</v>
      </c>
      <c r="G715">
        <v>1</v>
      </c>
      <c r="H715">
        <v>600</v>
      </c>
      <c r="I715">
        <v>600</v>
      </c>
    </row>
    <row r="716" spans="1:9" x14ac:dyDescent="0.3">
      <c r="A716">
        <v>713</v>
      </c>
      <c r="B716" s="24">
        <v>44178</v>
      </c>
      <c r="C716" t="s">
        <v>80</v>
      </c>
      <c r="D716" t="s">
        <v>12</v>
      </c>
      <c r="E716" t="s">
        <v>11</v>
      </c>
      <c r="F716">
        <v>900</v>
      </c>
      <c r="G716">
        <v>3</v>
      </c>
      <c r="H716">
        <v>2700</v>
      </c>
      <c r="I716">
        <v>2295</v>
      </c>
    </row>
    <row r="717" spans="1:9" x14ac:dyDescent="0.3">
      <c r="A717">
        <v>714</v>
      </c>
      <c r="B717" s="24">
        <v>44179</v>
      </c>
      <c r="C717" t="s">
        <v>80</v>
      </c>
      <c r="D717" t="s">
        <v>18</v>
      </c>
      <c r="E717" t="s">
        <v>17</v>
      </c>
      <c r="F717">
        <v>600</v>
      </c>
      <c r="G717">
        <v>1</v>
      </c>
      <c r="H717">
        <v>600</v>
      </c>
      <c r="I717">
        <v>600</v>
      </c>
    </row>
    <row r="718" spans="1:9" x14ac:dyDescent="0.3">
      <c r="A718">
        <v>715</v>
      </c>
      <c r="B718" s="24">
        <v>44180</v>
      </c>
      <c r="C718" t="s">
        <v>80</v>
      </c>
      <c r="D718" t="s">
        <v>16</v>
      </c>
      <c r="E718" t="s">
        <v>17</v>
      </c>
      <c r="F718">
        <v>800</v>
      </c>
      <c r="G718">
        <v>1</v>
      </c>
      <c r="H718">
        <v>800</v>
      </c>
      <c r="I718">
        <v>800</v>
      </c>
    </row>
    <row r="719" spans="1:9" x14ac:dyDescent="0.3">
      <c r="A719">
        <v>716</v>
      </c>
      <c r="B719" s="24">
        <v>44181</v>
      </c>
      <c r="C719" t="s">
        <v>80</v>
      </c>
      <c r="D719" t="s">
        <v>18</v>
      </c>
      <c r="E719" t="s">
        <v>17</v>
      </c>
      <c r="F719">
        <v>600</v>
      </c>
      <c r="G719">
        <v>1</v>
      </c>
      <c r="H719">
        <v>600</v>
      </c>
      <c r="I719">
        <v>600</v>
      </c>
    </row>
    <row r="720" spans="1:9" x14ac:dyDescent="0.3">
      <c r="A720">
        <v>717</v>
      </c>
      <c r="B720" s="24">
        <v>44182</v>
      </c>
      <c r="C720" t="s">
        <v>80</v>
      </c>
      <c r="D720" t="s">
        <v>10</v>
      </c>
      <c r="E720" t="s">
        <v>11</v>
      </c>
      <c r="F720">
        <v>1100</v>
      </c>
      <c r="G720">
        <v>1</v>
      </c>
      <c r="H720">
        <v>1100</v>
      </c>
      <c r="I720">
        <v>1100</v>
      </c>
    </row>
    <row r="721" spans="1:9" x14ac:dyDescent="0.3">
      <c r="A721">
        <v>718</v>
      </c>
      <c r="B721" s="24">
        <v>44183</v>
      </c>
      <c r="C721" t="s">
        <v>80</v>
      </c>
      <c r="D721" t="s">
        <v>14</v>
      </c>
      <c r="E721" t="s">
        <v>11</v>
      </c>
      <c r="F721">
        <v>900</v>
      </c>
      <c r="G721">
        <v>1</v>
      </c>
      <c r="H721">
        <v>900</v>
      </c>
      <c r="I721">
        <v>900</v>
      </c>
    </row>
    <row r="722" spans="1:9" x14ac:dyDescent="0.3">
      <c r="A722">
        <v>719</v>
      </c>
      <c r="B722" s="24">
        <v>44184</v>
      </c>
      <c r="C722" t="s">
        <v>80</v>
      </c>
      <c r="D722" t="s">
        <v>10</v>
      </c>
      <c r="E722" t="s">
        <v>11</v>
      </c>
      <c r="F722">
        <v>1100</v>
      </c>
      <c r="G722">
        <v>1</v>
      </c>
      <c r="H722">
        <v>1100</v>
      </c>
      <c r="I722">
        <v>1100</v>
      </c>
    </row>
    <row r="723" spans="1:9" x14ac:dyDescent="0.3">
      <c r="A723">
        <v>720</v>
      </c>
      <c r="B723" s="24">
        <v>44185</v>
      </c>
      <c r="C723" t="s">
        <v>80</v>
      </c>
      <c r="D723" t="s">
        <v>10</v>
      </c>
      <c r="E723" t="s">
        <v>11</v>
      </c>
      <c r="F723">
        <v>1100</v>
      </c>
      <c r="G723">
        <v>1</v>
      </c>
      <c r="H723">
        <v>1100</v>
      </c>
      <c r="I723">
        <v>1100</v>
      </c>
    </row>
    <row r="724" spans="1:9" x14ac:dyDescent="0.3">
      <c r="A724">
        <v>721</v>
      </c>
      <c r="B724" s="24">
        <v>44186</v>
      </c>
      <c r="C724" t="s">
        <v>80</v>
      </c>
      <c r="D724" t="s">
        <v>10</v>
      </c>
      <c r="E724" t="s">
        <v>11</v>
      </c>
      <c r="F724">
        <v>1100</v>
      </c>
      <c r="G724">
        <v>1</v>
      </c>
      <c r="H724">
        <v>1100</v>
      </c>
      <c r="I724">
        <v>1100</v>
      </c>
    </row>
    <row r="725" spans="1:9" x14ac:dyDescent="0.3">
      <c r="A725">
        <v>722</v>
      </c>
      <c r="B725" s="24">
        <v>44187</v>
      </c>
      <c r="C725" t="s">
        <v>81</v>
      </c>
      <c r="D725" t="s">
        <v>15</v>
      </c>
      <c r="E725" t="s">
        <v>11</v>
      </c>
      <c r="F725">
        <v>1000</v>
      </c>
      <c r="G725">
        <v>1</v>
      </c>
      <c r="H725">
        <v>1000</v>
      </c>
      <c r="I725">
        <v>1000</v>
      </c>
    </row>
    <row r="726" spans="1:9" x14ac:dyDescent="0.3">
      <c r="A726">
        <v>723</v>
      </c>
      <c r="B726" s="24">
        <v>44188</v>
      </c>
      <c r="C726" t="s">
        <v>81</v>
      </c>
      <c r="D726" t="s">
        <v>18</v>
      </c>
      <c r="E726" t="s">
        <v>17</v>
      </c>
      <c r="F726">
        <v>600</v>
      </c>
      <c r="G726">
        <v>1</v>
      </c>
      <c r="H726">
        <v>600</v>
      </c>
      <c r="I726">
        <v>600</v>
      </c>
    </row>
    <row r="727" spans="1:9" x14ac:dyDescent="0.3">
      <c r="A727">
        <v>724</v>
      </c>
      <c r="B727" s="24">
        <v>44189</v>
      </c>
      <c r="C727" t="s">
        <v>81</v>
      </c>
      <c r="D727" t="s">
        <v>16</v>
      </c>
      <c r="E727" t="s">
        <v>17</v>
      </c>
      <c r="F727">
        <v>800</v>
      </c>
      <c r="G727">
        <v>1</v>
      </c>
      <c r="H727">
        <v>800</v>
      </c>
      <c r="I727">
        <v>800</v>
      </c>
    </row>
    <row r="728" spans="1:9" x14ac:dyDescent="0.3">
      <c r="A728">
        <v>725</v>
      </c>
      <c r="B728" s="24">
        <v>44190</v>
      </c>
      <c r="C728" t="s">
        <v>81</v>
      </c>
      <c r="D728" t="s">
        <v>10</v>
      </c>
      <c r="E728" t="s">
        <v>11</v>
      </c>
      <c r="F728">
        <v>1100</v>
      </c>
      <c r="G728">
        <v>1</v>
      </c>
      <c r="H728">
        <v>1100</v>
      </c>
      <c r="I728">
        <v>1100</v>
      </c>
    </row>
    <row r="729" spans="1:9" x14ac:dyDescent="0.3">
      <c r="A729">
        <v>726</v>
      </c>
      <c r="B729" s="24">
        <v>44191</v>
      </c>
      <c r="C729" t="s">
        <v>81</v>
      </c>
      <c r="D729" t="s">
        <v>18</v>
      </c>
      <c r="E729" t="s">
        <v>17</v>
      </c>
      <c r="F729">
        <v>600</v>
      </c>
      <c r="G729">
        <v>1</v>
      </c>
      <c r="H729">
        <v>600</v>
      </c>
      <c r="I729">
        <v>600</v>
      </c>
    </row>
    <row r="730" spans="1:9" x14ac:dyDescent="0.3">
      <c r="A730">
        <v>727</v>
      </c>
      <c r="B730" s="24">
        <v>44192</v>
      </c>
      <c r="C730" t="s">
        <v>81</v>
      </c>
      <c r="D730" t="s">
        <v>19</v>
      </c>
      <c r="E730" t="s">
        <v>20</v>
      </c>
      <c r="F730">
        <v>850</v>
      </c>
      <c r="G730">
        <v>1</v>
      </c>
      <c r="H730">
        <v>850</v>
      </c>
      <c r="I730">
        <v>850</v>
      </c>
    </row>
    <row r="731" spans="1:9" x14ac:dyDescent="0.3">
      <c r="A731">
        <v>728</v>
      </c>
      <c r="B731" s="24">
        <v>44193</v>
      </c>
      <c r="C731" t="s">
        <v>81</v>
      </c>
      <c r="D731" t="s">
        <v>14</v>
      </c>
      <c r="E731" t="s">
        <v>11</v>
      </c>
      <c r="F731">
        <v>900</v>
      </c>
      <c r="G731">
        <v>1</v>
      </c>
      <c r="H731">
        <v>900</v>
      </c>
      <c r="I731">
        <v>900</v>
      </c>
    </row>
    <row r="732" spans="1:9" x14ac:dyDescent="0.3">
      <c r="A732">
        <v>729</v>
      </c>
      <c r="B732" s="24">
        <v>44194</v>
      </c>
      <c r="C732" t="s">
        <v>81</v>
      </c>
      <c r="D732" t="s">
        <v>15</v>
      </c>
      <c r="E732" t="s">
        <v>11</v>
      </c>
      <c r="F732">
        <v>1000</v>
      </c>
      <c r="G732">
        <v>1</v>
      </c>
      <c r="H732">
        <v>1000</v>
      </c>
      <c r="I732">
        <v>1000</v>
      </c>
    </row>
    <row r="733" spans="1:9" x14ac:dyDescent="0.3">
      <c r="A733">
        <v>730</v>
      </c>
      <c r="B733" s="24">
        <v>44195</v>
      </c>
      <c r="C733" t="s">
        <v>81</v>
      </c>
      <c r="D733" t="s">
        <v>19</v>
      </c>
      <c r="E733" t="s">
        <v>20</v>
      </c>
      <c r="F733">
        <v>850</v>
      </c>
      <c r="G733">
        <v>1</v>
      </c>
      <c r="H733">
        <v>850</v>
      </c>
      <c r="I733">
        <v>850</v>
      </c>
    </row>
    <row r="734" spans="1:9" x14ac:dyDescent="0.3">
      <c r="A734">
        <v>731</v>
      </c>
      <c r="B734" s="24">
        <v>44196</v>
      </c>
      <c r="C734" t="s">
        <v>81</v>
      </c>
      <c r="D734" t="s">
        <v>19</v>
      </c>
      <c r="E734" t="s">
        <v>20</v>
      </c>
      <c r="F734">
        <v>850</v>
      </c>
      <c r="G734">
        <v>1</v>
      </c>
      <c r="H734">
        <v>850</v>
      </c>
      <c r="I734">
        <v>850</v>
      </c>
    </row>
    <row r="735" spans="1:9" x14ac:dyDescent="0.3">
      <c r="A735">
        <v>732</v>
      </c>
      <c r="B735" s="24">
        <v>44197</v>
      </c>
      <c r="C735" t="s">
        <v>81</v>
      </c>
      <c r="D735" t="s">
        <v>15</v>
      </c>
      <c r="E735" t="s">
        <v>11</v>
      </c>
      <c r="F735">
        <v>1000</v>
      </c>
      <c r="G735">
        <v>1</v>
      </c>
      <c r="H735">
        <v>1000</v>
      </c>
      <c r="I735">
        <v>1000</v>
      </c>
    </row>
    <row r="736" spans="1:9" x14ac:dyDescent="0.3">
      <c r="A736">
        <v>733</v>
      </c>
      <c r="B736" s="24">
        <v>44198</v>
      </c>
      <c r="C736" t="s">
        <v>81</v>
      </c>
      <c r="D736" t="s">
        <v>16</v>
      </c>
      <c r="E736" t="s">
        <v>17</v>
      </c>
      <c r="F736">
        <v>800</v>
      </c>
      <c r="G736">
        <v>1</v>
      </c>
      <c r="H736">
        <v>800</v>
      </c>
      <c r="I736">
        <v>800</v>
      </c>
    </row>
    <row r="737" spans="1:9" x14ac:dyDescent="0.3">
      <c r="A737">
        <v>734</v>
      </c>
      <c r="B737" s="24">
        <v>44199</v>
      </c>
      <c r="C737" t="s">
        <v>81</v>
      </c>
      <c r="D737" t="s">
        <v>18</v>
      </c>
      <c r="E737" t="s">
        <v>17</v>
      </c>
      <c r="F737">
        <v>600</v>
      </c>
      <c r="G737">
        <v>1</v>
      </c>
      <c r="H737">
        <v>600</v>
      </c>
      <c r="I737">
        <v>600</v>
      </c>
    </row>
    <row r="738" spans="1:9" x14ac:dyDescent="0.3">
      <c r="A738">
        <v>735</v>
      </c>
      <c r="B738" s="24">
        <v>44200</v>
      </c>
      <c r="C738" t="s">
        <v>81</v>
      </c>
      <c r="D738" t="s">
        <v>16</v>
      </c>
      <c r="E738" t="s">
        <v>17</v>
      </c>
      <c r="F738">
        <v>800</v>
      </c>
      <c r="G738">
        <v>1</v>
      </c>
      <c r="H738">
        <v>800</v>
      </c>
      <c r="I738">
        <v>800</v>
      </c>
    </row>
    <row r="739" spans="1:9" x14ac:dyDescent="0.3">
      <c r="A739">
        <v>736</v>
      </c>
      <c r="B739" s="24">
        <v>44201</v>
      </c>
      <c r="C739" t="s">
        <v>81</v>
      </c>
      <c r="D739" t="s">
        <v>10</v>
      </c>
      <c r="E739" t="s">
        <v>11</v>
      </c>
      <c r="F739">
        <v>1100</v>
      </c>
      <c r="G739">
        <v>1</v>
      </c>
      <c r="H739">
        <v>1100</v>
      </c>
      <c r="I739">
        <v>1100</v>
      </c>
    </row>
    <row r="740" spans="1:9" x14ac:dyDescent="0.3">
      <c r="A740">
        <v>737</v>
      </c>
      <c r="B740" s="24">
        <v>44202</v>
      </c>
      <c r="C740" t="s">
        <v>81</v>
      </c>
      <c r="D740" t="s">
        <v>19</v>
      </c>
      <c r="E740" t="s">
        <v>20</v>
      </c>
      <c r="F740">
        <v>850</v>
      </c>
      <c r="G740">
        <v>1</v>
      </c>
      <c r="H740">
        <v>850</v>
      </c>
      <c r="I740">
        <v>850</v>
      </c>
    </row>
    <row r="741" spans="1:9" x14ac:dyDescent="0.3">
      <c r="A741">
        <v>738</v>
      </c>
      <c r="B741" s="24">
        <v>44203</v>
      </c>
      <c r="C741" t="s">
        <v>81</v>
      </c>
      <c r="D741" t="s">
        <v>19</v>
      </c>
      <c r="E741" t="s">
        <v>20</v>
      </c>
      <c r="F741">
        <v>850</v>
      </c>
      <c r="G741">
        <v>1</v>
      </c>
      <c r="H741">
        <v>850</v>
      </c>
      <c r="I741">
        <v>850</v>
      </c>
    </row>
    <row r="742" spans="1:9" x14ac:dyDescent="0.3">
      <c r="A742">
        <v>739</v>
      </c>
      <c r="B742" s="24">
        <v>44204</v>
      </c>
      <c r="C742" t="s">
        <v>81</v>
      </c>
      <c r="D742" t="s">
        <v>19</v>
      </c>
      <c r="E742" t="s">
        <v>20</v>
      </c>
      <c r="F742">
        <v>850</v>
      </c>
      <c r="G742">
        <v>1</v>
      </c>
      <c r="H742">
        <v>850</v>
      </c>
      <c r="I742">
        <v>850</v>
      </c>
    </row>
    <row r="743" spans="1:9" x14ac:dyDescent="0.3">
      <c r="A743">
        <v>740</v>
      </c>
      <c r="B743" s="24">
        <v>44205</v>
      </c>
      <c r="C743" t="s">
        <v>81</v>
      </c>
      <c r="D743" t="s">
        <v>18</v>
      </c>
      <c r="E743" t="s">
        <v>17</v>
      </c>
      <c r="F743">
        <v>600</v>
      </c>
      <c r="G743">
        <v>1</v>
      </c>
      <c r="H743">
        <v>600</v>
      </c>
      <c r="I743">
        <v>600</v>
      </c>
    </row>
    <row r="744" spans="1:9" x14ac:dyDescent="0.3">
      <c r="A744">
        <v>741</v>
      </c>
      <c r="B744" s="24">
        <v>44206</v>
      </c>
      <c r="C744" t="s">
        <v>81</v>
      </c>
      <c r="D744" t="s">
        <v>19</v>
      </c>
      <c r="E744" t="s">
        <v>20</v>
      </c>
      <c r="F744">
        <v>850</v>
      </c>
      <c r="G744">
        <v>1</v>
      </c>
      <c r="H744">
        <v>850</v>
      </c>
      <c r="I744">
        <v>850</v>
      </c>
    </row>
    <row r="745" spans="1:9" x14ac:dyDescent="0.3">
      <c r="A745">
        <v>742</v>
      </c>
      <c r="B745" s="24">
        <v>44207</v>
      </c>
      <c r="C745" t="s">
        <v>81</v>
      </c>
      <c r="D745" t="s">
        <v>19</v>
      </c>
      <c r="E745" t="s">
        <v>20</v>
      </c>
      <c r="F745">
        <v>850</v>
      </c>
      <c r="G745">
        <v>1</v>
      </c>
      <c r="H745">
        <v>850</v>
      </c>
      <c r="I745">
        <v>850</v>
      </c>
    </row>
    <row r="746" spans="1:9" x14ac:dyDescent="0.3">
      <c r="A746">
        <v>743</v>
      </c>
      <c r="B746" s="24">
        <v>44208</v>
      </c>
      <c r="C746" t="s">
        <v>81</v>
      </c>
      <c r="D746" t="s">
        <v>10</v>
      </c>
      <c r="E746" t="s">
        <v>11</v>
      </c>
      <c r="F746">
        <v>1100</v>
      </c>
      <c r="G746">
        <v>1</v>
      </c>
      <c r="H746">
        <v>1100</v>
      </c>
      <c r="I746">
        <v>1100</v>
      </c>
    </row>
    <row r="747" spans="1:9" x14ac:dyDescent="0.3">
      <c r="A747">
        <v>744</v>
      </c>
      <c r="B747" s="24">
        <v>44209</v>
      </c>
      <c r="C747" t="s">
        <v>81</v>
      </c>
      <c r="D747" t="s">
        <v>15</v>
      </c>
      <c r="E747" t="s">
        <v>11</v>
      </c>
      <c r="F747">
        <v>1000</v>
      </c>
      <c r="G747">
        <v>1</v>
      </c>
      <c r="H747">
        <v>1000</v>
      </c>
      <c r="I747">
        <v>1000</v>
      </c>
    </row>
    <row r="748" spans="1:9" x14ac:dyDescent="0.3">
      <c r="A748">
        <v>745</v>
      </c>
      <c r="B748" s="24">
        <v>44210</v>
      </c>
      <c r="C748" t="s">
        <v>81</v>
      </c>
      <c r="D748" t="s">
        <v>10</v>
      </c>
      <c r="E748" t="s">
        <v>11</v>
      </c>
      <c r="F748">
        <v>1100</v>
      </c>
      <c r="G748">
        <v>1</v>
      </c>
      <c r="H748">
        <v>1100</v>
      </c>
      <c r="I748">
        <v>1100</v>
      </c>
    </row>
    <row r="749" spans="1:9" x14ac:dyDescent="0.3">
      <c r="A749">
        <v>746</v>
      </c>
      <c r="B749" s="24">
        <v>44211</v>
      </c>
      <c r="C749" t="s">
        <v>81</v>
      </c>
      <c r="D749" t="s">
        <v>18</v>
      </c>
      <c r="E749" t="s">
        <v>17</v>
      </c>
      <c r="F749">
        <v>600</v>
      </c>
      <c r="G749">
        <v>1</v>
      </c>
      <c r="H749">
        <v>600</v>
      </c>
      <c r="I749">
        <v>600</v>
      </c>
    </row>
    <row r="750" spans="1:9" x14ac:dyDescent="0.3">
      <c r="A750">
        <v>747</v>
      </c>
      <c r="B750" s="24">
        <v>44212</v>
      </c>
      <c r="C750" t="s">
        <v>81</v>
      </c>
      <c r="D750" t="s">
        <v>18</v>
      </c>
      <c r="E750" t="s">
        <v>17</v>
      </c>
      <c r="F750">
        <v>600</v>
      </c>
      <c r="G750">
        <v>2</v>
      </c>
      <c r="H750">
        <v>1200</v>
      </c>
      <c r="I750">
        <v>1200</v>
      </c>
    </row>
    <row r="751" spans="1:9" x14ac:dyDescent="0.3">
      <c r="A751">
        <v>748</v>
      </c>
      <c r="B751" s="24">
        <v>44213</v>
      </c>
      <c r="C751" t="s">
        <v>81</v>
      </c>
      <c r="D751" t="s">
        <v>18</v>
      </c>
      <c r="E751" t="s">
        <v>17</v>
      </c>
      <c r="F751">
        <v>600</v>
      </c>
      <c r="G751">
        <v>1</v>
      </c>
      <c r="H751">
        <v>600</v>
      </c>
      <c r="I751">
        <v>600</v>
      </c>
    </row>
    <row r="752" spans="1:9" x14ac:dyDescent="0.3">
      <c r="A752">
        <v>749</v>
      </c>
      <c r="B752" s="24">
        <v>44214</v>
      </c>
      <c r="C752" t="s">
        <v>81</v>
      </c>
      <c r="D752" t="s">
        <v>18</v>
      </c>
      <c r="E752" t="s">
        <v>17</v>
      </c>
      <c r="F752">
        <v>600</v>
      </c>
      <c r="G752">
        <v>1</v>
      </c>
      <c r="H752">
        <v>600</v>
      </c>
      <c r="I752">
        <v>600</v>
      </c>
    </row>
    <row r="753" spans="1:9" x14ac:dyDescent="0.3">
      <c r="A753">
        <v>750</v>
      </c>
      <c r="B753" s="24">
        <v>44215</v>
      </c>
      <c r="C753" t="s">
        <v>81</v>
      </c>
      <c r="D753" t="s">
        <v>10</v>
      </c>
      <c r="E753" t="s">
        <v>11</v>
      </c>
      <c r="F753">
        <v>1100</v>
      </c>
      <c r="G753">
        <v>1</v>
      </c>
      <c r="H753">
        <v>1100</v>
      </c>
      <c r="I753">
        <v>1100</v>
      </c>
    </row>
    <row r="754" spans="1:9" x14ac:dyDescent="0.3">
      <c r="A754">
        <v>751</v>
      </c>
      <c r="B754" s="24">
        <v>44216</v>
      </c>
      <c r="C754" t="s">
        <v>81</v>
      </c>
      <c r="D754" t="s">
        <v>14</v>
      </c>
      <c r="E754" t="s">
        <v>11</v>
      </c>
      <c r="F754">
        <v>900</v>
      </c>
      <c r="G754">
        <v>1</v>
      </c>
      <c r="H754">
        <v>900</v>
      </c>
      <c r="I754">
        <v>900</v>
      </c>
    </row>
    <row r="755" spans="1:9" x14ac:dyDescent="0.3">
      <c r="A755">
        <v>752</v>
      </c>
      <c r="B755" s="24">
        <v>44217</v>
      </c>
      <c r="C755" t="s">
        <v>81</v>
      </c>
      <c r="D755" t="s">
        <v>18</v>
      </c>
      <c r="E755" t="s">
        <v>17</v>
      </c>
      <c r="F755">
        <v>600</v>
      </c>
      <c r="G755">
        <v>1</v>
      </c>
      <c r="H755">
        <v>600</v>
      </c>
      <c r="I755">
        <v>600</v>
      </c>
    </row>
    <row r="756" spans="1:9" x14ac:dyDescent="0.3">
      <c r="A756">
        <v>753</v>
      </c>
      <c r="B756" s="24">
        <v>44218</v>
      </c>
      <c r="C756" t="s">
        <v>81</v>
      </c>
      <c r="D756" t="s">
        <v>14</v>
      </c>
      <c r="E756" t="s">
        <v>11</v>
      </c>
      <c r="F756">
        <v>900</v>
      </c>
      <c r="G756">
        <v>1</v>
      </c>
      <c r="H756">
        <v>900</v>
      </c>
      <c r="I756">
        <v>900</v>
      </c>
    </row>
    <row r="757" spans="1:9" x14ac:dyDescent="0.3">
      <c r="A757">
        <v>754</v>
      </c>
      <c r="B757" s="24">
        <v>44219</v>
      </c>
      <c r="C757" t="s">
        <v>81</v>
      </c>
      <c r="D757" t="s">
        <v>12</v>
      </c>
      <c r="E757" t="s">
        <v>11</v>
      </c>
      <c r="F757">
        <v>900</v>
      </c>
      <c r="G757">
        <v>1</v>
      </c>
      <c r="H757">
        <v>900</v>
      </c>
      <c r="I757">
        <v>765</v>
      </c>
    </row>
    <row r="758" spans="1:9" x14ac:dyDescent="0.3">
      <c r="A758">
        <v>755</v>
      </c>
      <c r="B758" s="24">
        <v>44220</v>
      </c>
      <c r="C758" t="s">
        <v>81</v>
      </c>
      <c r="D758" t="s">
        <v>18</v>
      </c>
      <c r="E758" t="s">
        <v>17</v>
      </c>
      <c r="F758">
        <v>600</v>
      </c>
      <c r="G758">
        <v>1</v>
      </c>
      <c r="H758">
        <v>600</v>
      </c>
      <c r="I758">
        <v>600</v>
      </c>
    </row>
    <row r="759" spans="1:9" x14ac:dyDescent="0.3">
      <c r="A759">
        <v>756</v>
      </c>
      <c r="B759" s="24">
        <v>44221</v>
      </c>
      <c r="C759" t="s">
        <v>81</v>
      </c>
      <c r="D759" t="s">
        <v>18</v>
      </c>
      <c r="E759" t="s">
        <v>17</v>
      </c>
      <c r="F759">
        <v>600</v>
      </c>
      <c r="G759">
        <v>1</v>
      </c>
      <c r="H759">
        <v>600</v>
      </c>
      <c r="I759">
        <v>600</v>
      </c>
    </row>
    <row r="760" spans="1:9" x14ac:dyDescent="0.3">
      <c r="A760">
        <v>757</v>
      </c>
      <c r="B760" s="24">
        <v>44222</v>
      </c>
      <c r="C760" t="s">
        <v>81</v>
      </c>
      <c r="D760" t="s">
        <v>18</v>
      </c>
      <c r="E760" t="s">
        <v>17</v>
      </c>
      <c r="F760">
        <v>600</v>
      </c>
      <c r="G760">
        <v>1</v>
      </c>
      <c r="H760">
        <v>600</v>
      </c>
      <c r="I760">
        <v>600</v>
      </c>
    </row>
    <row r="761" spans="1:9" x14ac:dyDescent="0.3">
      <c r="A761">
        <v>758</v>
      </c>
      <c r="B761" s="24">
        <v>44223</v>
      </c>
      <c r="C761" t="s">
        <v>81</v>
      </c>
      <c r="D761" t="s">
        <v>10</v>
      </c>
      <c r="E761" t="s">
        <v>11</v>
      </c>
      <c r="F761">
        <v>1100</v>
      </c>
      <c r="G761">
        <v>1</v>
      </c>
      <c r="H761">
        <v>1100</v>
      </c>
      <c r="I761">
        <v>1100</v>
      </c>
    </row>
    <row r="762" spans="1:9" x14ac:dyDescent="0.3">
      <c r="A762">
        <v>759</v>
      </c>
      <c r="B762" s="24">
        <v>44224</v>
      </c>
      <c r="C762" t="s">
        <v>81</v>
      </c>
      <c r="D762" t="s">
        <v>18</v>
      </c>
      <c r="E762" t="s">
        <v>17</v>
      </c>
      <c r="F762">
        <v>600</v>
      </c>
      <c r="G762">
        <v>1</v>
      </c>
      <c r="H762">
        <v>600</v>
      </c>
      <c r="I762">
        <v>600</v>
      </c>
    </row>
    <row r="763" spans="1:9" x14ac:dyDescent="0.3">
      <c r="A763">
        <v>760</v>
      </c>
      <c r="B763" s="24">
        <v>44225</v>
      </c>
      <c r="C763" t="s">
        <v>81</v>
      </c>
      <c r="D763" t="s">
        <v>18</v>
      </c>
      <c r="E763" t="s">
        <v>17</v>
      </c>
      <c r="F763">
        <v>600</v>
      </c>
      <c r="G763">
        <v>1</v>
      </c>
      <c r="H763">
        <v>600</v>
      </c>
      <c r="I763">
        <v>600</v>
      </c>
    </row>
    <row r="764" spans="1:9" x14ac:dyDescent="0.3">
      <c r="A764">
        <v>761</v>
      </c>
      <c r="B764" s="24">
        <v>44226</v>
      </c>
      <c r="C764" t="s">
        <v>81</v>
      </c>
      <c r="D764" t="s">
        <v>18</v>
      </c>
      <c r="E764" t="s">
        <v>17</v>
      </c>
      <c r="F764">
        <v>600</v>
      </c>
      <c r="G764">
        <v>1</v>
      </c>
      <c r="H764">
        <v>600</v>
      </c>
      <c r="I764">
        <v>600</v>
      </c>
    </row>
    <row r="765" spans="1:9" x14ac:dyDescent="0.3">
      <c r="A765">
        <v>762</v>
      </c>
      <c r="B765" s="24">
        <v>44227</v>
      </c>
      <c r="C765" t="s">
        <v>81</v>
      </c>
      <c r="D765" t="s">
        <v>12</v>
      </c>
      <c r="E765" t="s">
        <v>11</v>
      </c>
      <c r="F765">
        <v>900</v>
      </c>
      <c r="G765">
        <v>1</v>
      </c>
      <c r="H765">
        <v>900</v>
      </c>
      <c r="I765">
        <v>765</v>
      </c>
    </row>
    <row r="766" spans="1:9" x14ac:dyDescent="0.3">
      <c r="A766">
        <v>763</v>
      </c>
      <c r="B766" s="24">
        <v>44228</v>
      </c>
      <c r="C766" t="s">
        <v>81</v>
      </c>
      <c r="D766" t="s">
        <v>18</v>
      </c>
      <c r="E766" t="s">
        <v>17</v>
      </c>
      <c r="F766">
        <v>600</v>
      </c>
      <c r="G766">
        <v>1</v>
      </c>
      <c r="H766">
        <v>600</v>
      </c>
      <c r="I766">
        <v>600</v>
      </c>
    </row>
    <row r="767" spans="1:9" x14ac:dyDescent="0.3">
      <c r="A767">
        <v>764</v>
      </c>
      <c r="B767" s="24">
        <v>44229</v>
      </c>
      <c r="C767" t="s">
        <v>81</v>
      </c>
      <c r="D767" t="s">
        <v>14</v>
      </c>
      <c r="E767" t="s">
        <v>11</v>
      </c>
      <c r="F767">
        <v>900</v>
      </c>
      <c r="G767">
        <v>1</v>
      </c>
      <c r="H767">
        <v>900</v>
      </c>
      <c r="I767">
        <v>900</v>
      </c>
    </row>
    <row r="768" spans="1:9" x14ac:dyDescent="0.3">
      <c r="A768">
        <v>765</v>
      </c>
      <c r="B768" s="24">
        <v>44230</v>
      </c>
      <c r="C768" t="s">
        <v>81</v>
      </c>
      <c r="D768" t="s">
        <v>21</v>
      </c>
      <c r="E768" t="s">
        <v>20</v>
      </c>
      <c r="F768">
        <v>1200</v>
      </c>
      <c r="G768">
        <v>1</v>
      </c>
      <c r="H768">
        <v>1200</v>
      </c>
      <c r="I768">
        <v>1200</v>
      </c>
    </row>
    <row r="769" spans="1:9" x14ac:dyDescent="0.3">
      <c r="A769">
        <v>766</v>
      </c>
      <c r="B769" s="24">
        <v>44231</v>
      </c>
      <c r="C769" t="s">
        <v>81</v>
      </c>
      <c r="D769" t="s">
        <v>10</v>
      </c>
      <c r="E769" t="s">
        <v>11</v>
      </c>
      <c r="F769">
        <v>1100</v>
      </c>
      <c r="G769">
        <v>1</v>
      </c>
      <c r="H769">
        <v>1100</v>
      </c>
      <c r="I769">
        <v>1100</v>
      </c>
    </row>
    <row r="770" spans="1:9" x14ac:dyDescent="0.3">
      <c r="A770">
        <v>767</v>
      </c>
      <c r="B770" s="24">
        <v>44232</v>
      </c>
      <c r="C770" t="s">
        <v>81</v>
      </c>
      <c r="D770" t="s">
        <v>10</v>
      </c>
      <c r="E770" t="s">
        <v>11</v>
      </c>
      <c r="F770">
        <v>1100</v>
      </c>
      <c r="G770">
        <v>1</v>
      </c>
      <c r="H770">
        <v>1100</v>
      </c>
      <c r="I770">
        <v>1100</v>
      </c>
    </row>
    <row r="771" spans="1:9" x14ac:dyDescent="0.3">
      <c r="A771">
        <v>768</v>
      </c>
      <c r="B771" s="24">
        <v>44233</v>
      </c>
      <c r="C771" t="s">
        <v>81</v>
      </c>
      <c r="D771" t="s">
        <v>18</v>
      </c>
      <c r="E771" t="s">
        <v>17</v>
      </c>
      <c r="F771">
        <v>600</v>
      </c>
      <c r="G771">
        <v>1</v>
      </c>
      <c r="H771">
        <v>600</v>
      </c>
      <c r="I771">
        <v>600</v>
      </c>
    </row>
    <row r="772" spans="1:9" x14ac:dyDescent="0.3">
      <c r="A772">
        <v>769</v>
      </c>
      <c r="B772" s="24">
        <v>44234</v>
      </c>
      <c r="C772" t="s">
        <v>81</v>
      </c>
      <c r="D772" t="s">
        <v>18</v>
      </c>
      <c r="E772" t="s">
        <v>17</v>
      </c>
      <c r="F772">
        <v>600</v>
      </c>
      <c r="G772">
        <v>2</v>
      </c>
      <c r="H772">
        <v>1200</v>
      </c>
      <c r="I772">
        <v>1200</v>
      </c>
    </row>
    <row r="773" spans="1:9" x14ac:dyDescent="0.3">
      <c r="A773">
        <v>770</v>
      </c>
      <c r="B773" s="24">
        <v>44235</v>
      </c>
      <c r="C773" t="s">
        <v>81</v>
      </c>
      <c r="D773" t="s">
        <v>21</v>
      </c>
      <c r="E773" t="s">
        <v>20</v>
      </c>
      <c r="F773">
        <v>1200</v>
      </c>
      <c r="G773">
        <v>1</v>
      </c>
      <c r="H773">
        <v>1200</v>
      </c>
      <c r="I773">
        <v>1200</v>
      </c>
    </row>
    <row r="774" spans="1:9" x14ac:dyDescent="0.3">
      <c r="A774">
        <v>771</v>
      </c>
      <c r="B774" s="24">
        <v>44236</v>
      </c>
      <c r="C774" t="s">
        <v>81</v>
      </c>
      <c r="D774" t="s">
        <v>21</v>
      </c>
      <c r="E774" t="s">
        <v>20</v>
      </c>
      <c r="F774">
        <v>1200</v>
      </c>
      <c r="G774">
        <v>1</v>
      </c>
      <c r="H774">
        <v>1200</v>
      </c>
      <c r="I774">
        <v>1200</v>
      </c>
    </row>
    <row r="775" spans="1:9" x14ac:dyDescent="0.3">
      <c r="A775">
        <v>772</v>
      </c>
      <c r="B775" s="24">
        <v>44237</v>
      </c>
      <c r="C775" t="s">
        <v>81</v>
      </c>
      <c r="D775" t="s">
        <v>15</v>
      </c>
      <c r="E775" t="s">
        <v>11</v>
      </c>
      <c r="F775">
        <v>1000</v>
      </c>
      <c r="G775">
        <v>1</v>
      </c>
      <c r="H775">
        <v>1000</v>
      </c>
      <c r="I775">
        <v>1000</v>
      </c>
    </row>
    <row r="776" spans="1:9" x14ac:dyDescent="0.3">
      <c r="A776">
        <v>773</v>
      </c>
      <c r="B776" s="24">
        <v>44238</v>
      </c>
      <c r="C776" t="s">
        <v>81</v>
      </c>
      <c r="D776" t="s">
        <v>16</v>
      </c>
      <c r="E776" t="s">
        <v>17</v>
      </c>
      <c r="F776">
        <v>800</v>
      </c>
      <c r="G776">
        <v>2</v>
      </c>
      <c r="H776">
        <v>1600</v>
      </c>
      <c r="I776">
        <v>1600</v>
      </c>
    </row>
    <row r="777" spans="1:9" x14ac:dyDescent="0.3">
      <c r="A777">
        <v>774</v>
      </c>
      <c r="B777" s="24">
        <v>44239</v>
      </c>
      <c r="C777" t="s">
        <v>81</v>
      </c>
      <c r="D777" t="s">
        <v>21</v>
      </c>
      <c r="E777" t="s">
        <v>20</v>
      </c>
      <c r="F777">
        <v>1200</v>
      </c>
      <c r="G777">
        <v>1</v>
      </c>
      <c r="H777">
        <v>1200</v>
      </c>
      <c r="I777">
        <v>1200</v>
      </c>
    </row>
    <row r="778" spans="1:9" x14ac:dyDescent="0.3">
      <c r="A778">
        <v>775</v>
      </c>
      <c r="B778" s="24">
        <v>44240</v>
      </c>
      <c r="C778" t="s">
        <v>81</v>
      </c>
      <c r="D778" t="s">
        <v>14</v>
      </c>
      <c r="E778" t="s">
        <v>11</v>
      </c>
      <c r="F778">
        <v>900</v>
      </c>
      <c r="G778">
        <v>1</v>
      </c>
      <c r="H778">
        <v>900</v>
      </c>
      <c r="I778">
        <v>900</v>
      </c>
    </row>
    <row r="779" spans="1:9" x14ac:dyDescent="0.3">
      <c r="A779">
        <v>776</v>
      </c>
      <c r="B779" s="24">
        <v>44241</v>
      </c>
      <c r="C779" t="s">
        <v>81</v>
      </c>
      <c r="D779" t="s">
        <v>15</v>
      </c>
      <c r="E779" t="s">
        <v>11</v>
      </c>
      <c r="F779">
        <v>1000</v>
      </c>
      <c r="G779">
        <v>1</v>
      </c>
      <c r="H779">
        <v>1000</v>
      </c>
      <c r="I779">
        <v>1000</v>
      </c>
    </row>
    <row r="780" spans="1:9" x14ac:dyDescent="0.3">
      <c r="A780">
        <v>777</v>
      </c>
      <c r="B780" s="24">
        <v>44242</v>
      </c>
      <c r="C780" t="s">
        <v>81</v>
      </c>
      <c r="D780" t="s">
        <v>16</v>
      </c>
      <c r="E780" t="s">
        <v>17</v>
      </c>
      <c r="F780">
        <v>800</v>
      </c>
      <c r="G780">
        <v>1</v>
      </c>
      <c r="H780">
        <v>800</v>
      </c>
      <c r="I780">
        <v>800</v>
      </c>
    </row>
    <row r="781" spans="1:9" x14ac:dyDescent="0.3">
      <c r="A781">
        <v>778</v>
      </c>
      <c r="B781" s="24">
        <v>44243</v>
      </c>
      <c r="C781" t="s">
        <v>81</v>
      </c>
      <c r="D781" t="s">
        <v>21</v>
      </c>
      <c r="E781" t="s">
        <v>20</v>
      </c>
      <c r="F781">
        <v>1200</v>
      </c>
      <c r="G781">
        <v>1</v>
      </c>
      <c r="H781">
        <v>1200</v>
      </c>
      <c r="I781">
        <v>1200</v>
      </c>
    </row>
    <row r="782" spans="1:9" x14ac:dyDescent="0.3">
      <c r="A782">
        <v>779</v>
      </c>
      <c r="B782" s="24">
        <v>44244</v>
      </c>
      <c r="C782" t="s">
        <v>81</v>
      </c>
      <c r="D782" t="s">
        <v>21</v>
      </c>
      <c r="E782" t="s">
        <v>20</v>
      </c>
      <c r="F782">
        <v>1200</v>
      </c>
      <c r="G782">
        <v>1</v>
      </c>
      <c r="H782">
        <v>1200</v>
      </c>
      <c r="I782">
        <v>1200</v>
      </c>
    </row>
    <row r="783" spans="1:9" x14ac:dyDescent="0.3">
      <c r="A783">
        <v>780</v>
      </c>
      <c r="B783" s="24">
        <v>44245</v>
      </c>
      <c r="C783" t="s">
        <v>81</v>
      </c>
      <c r="D783" t="s">
        <v>16</v>
      </c>
      <c r="E783" t="s">
        <v>17</v>
      </c>
      <c r="F783">
        <v>800</v>
      </c>
      <c r="G783">
        <v>2</v>
      </c>
      <c r="H783">
        <v>1600</v>
      </c>
      <c r="I783">
        <v>1600</v>
      </c>
    </row>
    <row r="784" spans="1:9" x14ac:dyDescent="0.3">
      <c r="A784">
        <v>781</v>
      </c>
      <c r="B784" s="24">
        <v>44246</v>
      </c>
      <c r="C784" t="s">
        <v>81</v>
      </c>
      <c r="D784" t="s">
        <v>12</v>
      </c>
      <c r="E784" t="s">
        <v>11</v>
      </c>
      <c r="F784">
        <v>900</v>
      </c>
      <c r="G784">
        <v>1</v>
      </c>
      <c r="H784">
        <v>900</v>
      </c>
      <c r="I784">
        <v>765</v>
      </c>
    </row>
    <row r="785" spans="1:9" x14ac:dyDescent="0.3">
      <c r="A785">
        <v>782</v>
      </c>
      <c r="B785" s="24">
        <v>44247</v>
      </c>
      <c r="C785" t="s">
        <v>81</v>
      </c>
      <c r="D785" t="s">
        <v>15</v>
      </c>
      <c r="E785" t="s">
        <v>11</v>
      </c>
      <c r="F785">
        <v>1000</v>
      </c>
      <c r="G785">
        <v>1</v>
      </c>
      <c r="H785">
        <v>1000</v>
      </c>
      <c r="I785">
        <v>1000</v>
      </c>
    </row>
    <row r="786" spans="1:9" x14ac:dyDescent="0.3">
      <c r="A786">
        <v>783</v>
      </c>
      <c r="B786" s="24">
        <v>44248</v>
      </c>
      <c r="C786" t="s">
        <v>81</v>
      </c>
      <c r="D786" t="s">
        <v>15</v>
      </c>
      <c r="E786" t="s">
        <v>11</v>
      </c>
      <c r="F786">
        <v>1000</v>
      </c>
      <c r="G786">
        <v>1</v>
      </c>
      <c r="H786">
        <v>1000</v>
      </c>
      <c r="I786">
        <v>1000</v>
      </c>
    </row>
    <row r="787" spans="1:9" x14ac:dyDescent="0.3">
      <c r="A787">
        <v>784</v>
      </c>
      <c r="B787" s="24">
        <v>44249</v>
      </c>
      <c r="C787" t="s">
        <v>81</v>
      </c>
      <c r="D787" t="s">
        <v>18</v>
      </c>
      <c r="E787" t="s">
        <v>17</v>
      </c>
      <c r="F787">
        <v>600</v>
      </c>
      <c r="G787">
        <v>1</v>
      </c>
      <c r="H787">
        <v>600</v>
      </c>
      <c r="I787">
        <v>600</v>
      </c>
    </row>
    <row r="788" spans="1:9" x14ac:dyDescent="0.3">
      <c r="A788">
        <v>785</v>
      </c>
      <c r="B788" s="24">
        <v>44250</v>
      </c>
      <c r="C788" t="s">
        <v>81</v>
      </c>
      <c r="D788" t="s">
        <v>19</v>
      </c>
      <c r="E788" t="s">
        <v>20</v>
      </c>
      <c r="F788">
        <v>850</v>
      </c>
      <c r="G788">
        <v>1</v>
      </c>
      <c r="H788">
        <v>850</v>
      </c>
      <c r="I788">
        <v>850</v>
      </c>
    </row>
    <row r="789" spans="1:9" x14ac:dyDescent="0.3">
      <c r="A789">
        <v>786</v>
      </c>
      <c r="B789" s="24">
        <v>44251</v>
      </c>
      <c r="C789" t="s">
        <v>81</v>
      </c>
      <c r="D789" t="s">
        <v>18</v>
      </c>
      <c r="E789" t="s">
        <v>17</v>
      </c>
      <c r="F789">
        <v>600</v>
      </c>
      <c r="G789">
        <v>1</v>
      </c>
      <c r="H789">
        <v>600</v>
      </c>
      <c r="I789">
        <v>600</v>
      </c>
    </row>
    <row r="790" spans="1:9" x14ac:dyDescent="0.3">
      <c r="A790">
        <v>787</v>
      </c>
      <c r="B790" s="24">
        <v>44252</v>
      </c>
      <c r="C790" t="s">
        <v>81</v>
      </c>
      <c r="D790" t="s">
        <v>19</v>
      </c>
      <c r="E790" t="s">
        <v>20</v>
      </c>
      <c r="F790">
        <v>850</v>
      </c>
      <c r="G790">
        <v>1</v>
      </c>
      <c r="H790">
        <v>850</v>
      </c>
      <c r="I790">
        <v>850</v>
      </c>
    </row>
    <row r="791" spans="1:9" x14ac:dyDescent="0.3">
      <c r="A791">
        <v>788</v>
      </c>
      <c r="B791" s="24">
        <v>44253</v>
      </c>
      <c r="C791" t="s">
        <v>81</v>
      </c>
      <c r="D791" t="s">
        <v>19</v>
      </c>
      <c r="E791" t="s">
        <v>20</v>
      </c>
      <c r="F791">
        <v>850</v>
      </c>
      <c r="G791">
        <v>1</v>
      </c>
      <c r="H791">
        <v>850</v>
      </c>
      <c r="I791">
        <v>850</v>
      </c>
    </row>
    <row r="792" spans="1:9" x14ac:dyDescent="0.3">
      <c r="A792">
        <v>789</v>
      </c>
      <c r="B792" s="24">
        <v>44254</v>
      </c>
      <c r="C792" t="s">
        <v>81</v>
      </c>
      <c r="D792" t="s">
        <v>12</v>
      </c>
      <c r="E792" t="s">
        <v>11</v>
      </c>
      <c r="F792">
        <v>900</v>
      </c>
      <c r="G792">
        <v>1</v>
      </c>
      <c r="H792">
        <v>900</v>
      </c>
      <c r="I792">
        <v>765</v>
      </c>
    </row>
    <row r="793" spans="1:9" x14ac:dyDescent="0.3">
      <c r="A793">
        <v>790</v>
      </c>
      <c r="B793" s="24">
        <v>44255</v>
      </c>
      <c r="C793" t="s">
        <v>81</v>
      </c>
      <c r="D793" t="s">
        <v>21</v>
      </c>
      <c r="E793" t="s">
        <v>20</v>
      </c>
      <c r="F793">
        <v>1200</v>
      </c>
      <c r="G793">
        <v>2</v>
      </c>
      <c r="H793">
        <v>2400</v>
      </c>
      <c r="I793">
        <v>2400</v>
      </c>
    </row>
    <row r="794" spans="1:9" x14ac:dyDescent="0.3">
      <c r="A794">
        <v>791</v>
      </c>
      <c r="B794" s="24">
        <v>44256</v>
      </c>
      <c r="C794" t="s">
        <v>81</v>
      </c>
      <c r="D794" t="s">
        <v>16</v>
      </c>
      <c r="E794" t="s">
        <v>17</v>
      </c>
      <c r="F794">
        <v>800</v>
      </c>
      <c r="G794">
        <v>1</v>
      </c>
      <c r="H794">
        <v>800</v>
      </c>
      <c r="I794">
        <v>800</v>
      </c>
    </row>
    <row r="795" spans="1:9" x14ac:dyDescent="0.3">
      <c r="A795">
        <v>792</v>
      </c>
      <c r="B795" s="24">
        <v>44257</v>
      </c>
      <c r="C795" t="s">
        <v>81</v>
      </c>
      <c r="D795" t="s">
        <v>16</v>
      </c>
      <c r="E795" t="s">
        <v>17</v>
      </c>
      <c r="F795">
        <v>800</v>
      </c>
      <c r="G795">
        <v>1</v>
      </c>
      <c r="H795">
        <v>800</v>
      </c>
      <c r="I795">
        <v>800</v>
      </c>
    </row>
    <row r="796" spans="1:9" x14ac:dyDescent="0.3">
      <c r="A796">
        <v>793</v>
      </c>
      <c r="B796" s="24">
        <v>44258</v>
      </c>
      <c r="C796" t="s">
        <v>81</v>
      </c>
      <c r="D796" t="s">
        <v>14</v>
      </c>
      <c r="E796" t="s">
        <v>11</v>
      </c>
      <c r="F796">
        <v>900</v>
      </c>
      <c r="G796">
        <v>1</v>
      </c>
      <c r="H796">
        <v>900</v>
      </c>
      <c r="I796">
        <v>900</v>
      </c>
    </row>
    <row r="797" spans="1:9" x14ac:dyDescent="0.3">
      <c r="A797">
        <v>794</v>
      </c>
      <c r="B797" s="24">
        <v>44259</v>
      </c>
      <c r="C797" t="s">
        <v>81</v>
      </c>
      <c r="D797" t="s">
        <v>16</v>
      </c>
      <c r="E797" t="s">
        <v>17</v>
      </c>
      <c r="F797">
        <v>800</v>
      </c>
      <c r="G797">
        <v>1</v>
      </c>
      <c r="H797">
        <v>800</v>
      </c>
      <c r="I797">
        <v>800</v>
      </c>
    </row>
    <row r="798" spans="1:9" x14ac:dyDescent="0.3">
      <c r="A798">
        <v>795</v>
      </c>
      <c r="B798" s="24">
        <v>44260</v>
      </c>
      <c r="C798" t="s">
        <v>81</v>
      </c>
      <c r="D798" t="s">
        <v>18</v>
      </c>
      <c r="E798" t="s">
        <v>17</v>
      </c>
      <c r="F798">
        <v>600</v>
      </c>
      <c r="G798">
        <v>1</v>
      </c>
      <c r="H798">
        <v>600</v>
      </c>
      <c r="I798">
        <v>600</v>
      </c>
    </row>
    <row r="799" spans="1:9" x14ac:dyDescent="0.3">
      <c r="A799">
        <v>796</v>
      </c>
      <c r="B799" s="24">
        <v>44261</v>
      </c>
      <c r="C799" t="s">
        <v>81</v>
      </c>
      <c r="D799" t="s">
        <v>12</v>
      </c>
      <c r="E799" t="s">
        <v>11</v>
      </c>
      <c r="F799">
        <v>900</v>
      </c>
      <c r="G799">
        <v>3</v>
      </c>
      <c r="H799">
        <v>2700</v>
      </c>
      <c r="I799">
        <v>2295</v>
      </c>
    </row>
    <row r="800" spans="1:9" x14ac:dyDescent="0.3">
      <c r="A800">
        <v>797</v>
      </c>
      <c r="B800" s="24">
        <v>44262</v>
      </c>
      <c r="C800" t="s">
        <v>81</v>
      </c>
      <c r="D800" t="s">
        <v>18</v>
      </c>
      <c r="E800" t="s">
        <v>17</v>
      </c>
      <c r="F800">
        <v>600</v>
      </c>
      <c r="G800">
        <v>1</v>
      </c>
      <c r="H800">
        <v>600</v>
      </c>
      <c r="I800">
        <v>600</v>
      </c>
    </row>
    <row r="801" spans="1:9" x14ac:dyDescent="0.3">
      <c r="A801">
        <v>798</v>
      </c>
      <c r="B801" s="24">
        <v>44263</v>
      </c>
      <c r="C801" t="s">
        <v>81</v>
      </c>
      <c r="D801" t="s">
        <v>16</v>
      </c>
      <c r="E801" t="s">
        <v>17</v>
      </c>
      <c r="F801">
        <v>800</v>
      </c>
      <c r="G801">
        <v>1</v>
      </c>
      <c r="H801">
        <v>800</v>
      </c>
      <c r="I801">
        <v>800</v>
      </c>
    </row>
    <row r="802" spans="1:9" x14ac:dyDescent="0.3">
      <c r="A802">
        <v>799</v>
      </c>
      <c r="B802" s="24">
        <v>44264</v>
      </c>
      <c r="C802" t="s">
        <v>81</v>
      </c>
      <c r="D802" t="s">
        <v>18</v>
      </c>
      <c r="E802" t="s">
        <v>17</v>
      </c>
      <c r="F802">
        <v>600</v>
      </c>
      <c r="G802">
        <v>1</v>
      </c>
      <c r="H802">
        <v>600</v>
      </c>
      <c r="I802">
        <v>600</v>
      </c>
    </row>
    <row r="803" spans="1:9" x14ac:dyDescent="0.3">
      <c r="A803">
        <v>800</v>
      </c>
      <c r="B803" s="24">
        <v>44265</v>
      </c>
      <c r="C803" t="s">
        <v>81</v>
      </c>
      <c r="D803" t="s">
        <v>10</v>
      </c>
      <c r="E803" t="s">
        <v>11</v>
      </c>
      <c r="F803">
        <v>1100</v>
      </c>
      <c r="G803">
        <v>1</v>
      </c>
      <c r="H803">
        <v>1100</v>
      </c>
      <c r="I803">
        <v>1100</v>
      </c>
    </row>
    <row r="804" spans="1:9" x14ac:dyDescent="0.3">
      <c r="A804">
        <v>801</v>
      </c>
      <c r="B804" s="24">
        <v>44266</v>
      </c>
      <c r="C804" t="s">
        <v>81</v>
      </c>
      <c r="D804" t="s">
        <v>14</v>
      </c>
      <c r="E804" t="s">
        <v>11</v>
      </c>
      <c r="F804">
        <v>900</v>
      </c>
      <c r="G804">
        <v>1</v>
      </c>
      <c r="H804">
        <v>900</v>
      </c>
      <c r="I804">
        <v>900</v>
      </c>
    </row>
    <row r="805" spans="1:9" x14ac:dyDescent="0.3">
      <c r="A805">
        <v>802</v>
      </c>
      <c r="B805" s="24">
        <v>44267</v>
      </c>
      <c r="C805" t="s">
        <v>81</v>
      </c>
      <c r="D805" t="s">
        <v>10</v>
      </c>
      <c r="E805" t="s">
        <v>11</v>
      </c>
      <c r="F805">
        <v>1100</v>
      </c>
      <c r="G805">
        <v>1</v>
      </c>
      <c r="H805">
        <v>1100</v>
      </c>
      <c r="I805">
        <v>1100</v>
      </c>
    </row>
    <row r="806" spans="1:9" x14ac:dyDescent="0.3">
      <c r="A806">
        <v>803</v>
      </c>
      <c r="B806" s="24">
        <v>44268</v>
      </c>
      <c r="C806" t="s">
        <v>81</v>
      </c>
      <c r="D806" t="s">
        <v>10</v>
      </c>
      <c r="E806" t="s">
        <v>11</v>
      </c>
      <c r="F806">
        <v>1100</v>
      </c>
      <c r="G806">
        <v>1</v>
      </c>
      <c r="H806">
        <v>1100</v>
      </c>
      <c r="I806">
        <v>1100</v>
      </c>
    </row>
    <row r="807" spans="1:9" x14ac:dyDescent="0.3">
      <c r="A807">
        <v>804</v>
      </c>
      <c r="B807" s="24">
        <v>44269</v>
      </c>
      <c r="C807" t="s">
        <v>81</v>
      </c>
      <c r="D807" t="s">
        <v>21</v>
      </c>
      <c r="E807" t="s">
        <v>20</v>
      </c>
      <c r="F807">
        <v>1200</v>
      </c>
      <c r="G807">
        <v>1</v>
      </c>
      <c r="H807">
        <v>1200</v>
      </c>
      <c r="I807">
        <v>1200</v>
      </c>
    </row>
    <row r="808" spans="1:9" x14ac:dyDescent="0.3">
      <c r="A808">
        <v>805</v>
      </c>
      <c r="B808" s="24">
        <v>44270</v>
      </c>
      <c r="C808" t="s">
        <v>81</v>
      </c>
      <c r="D808" t="s">
        <v>21</v>
      </c>
      <c r="E808" t="s">
        <v>20</v>
      </c>
      <c r="F808">
        <v>1200</v>
      </c>
      <c r="G808">
        <v>1</v>
      </c>
      <c r="H808">
        <v>1200</v>
      </c>
      <c r="I808">
        <v>1200</v>
      </c>
    </row>
    <row r="809" spans="1:9" x14ac:dyDescent="0.3">
      <c r="A809">
        <v>806</v>
      </c>
      <c r="B809" s="24">
        <v>44271</v>
      </c>
      <c r="C809" t="s">
        <v>81</v>
      </c>
      <c r="D809" t="s">
        <v>10</v>
      </c>
      <c r="E809" t="s">
        <v>11</v>
      </c>
      <c r="F809">
        <v>1100</v>
      </c>
      <c r="G809">
        <v>1</v>
      </c>
      <c r="H809">
        <v>1100</v>
      </c>
      <c r="I809">
        <v>1100</v>
      </c>
    </row>
    <row r="810" spans="1:9" x14ac:dyDescent="0.3">
      <c r="A810">
        <v>807</v>
      </c>
      <c r="B810" s="24">
        <v>44272</v>
      </c>
      <c r="C810" t="s">
        <v>81</v>
      </c>
      <c r="D810" t="s">
        <v>10</v>
      </c>
      <c r="E810" t="s">
        <v>11</v>
      </c>
      <c r="F810">
        <v>1100</v>
      </c>
      <c r="G810">
        <v>1</v>
      </c>
      <c r="H810">
        <v>1100</v>
      </c>
      <c r="I810">
        <v>1100</v>
      </c>
    </row>
    <row r="811" spans="1:9" x14ac:dyDescent="0.3">
      <c r="A811">
        <v>808</v>
      </c>
      <c r="B811" s="24">
        <v>44273</v>
      </c>
      <c r="C811" t="s">
        <v>81</v>
      </c>
      <c r="D811" t="s">
        <v>22</v>
      </c>
      <c r="E811" t="s">
        <v>23</v>
      </c>
      <c r="F811">
        <v>900</v>
      </c>
      <c r="G811">
        <v>1</v>
      </c>
      <c r="H811">
        <v>900</v>
      </c>
      <c r="I811">
        <v>900</v>
      </c>
    </row>
    <row r="812" spans="1:9" x14ac:dyDescent="0.3">
      <c r="A812">
        <v>809</v>
      </c>
      <c r="B812" s="24">
        <v>44274</v>
      </c>
      <c r="C812" t="s">
        <v>81</v>
      </c>
      <c r="D812" t="s">
        <v>14</v>
      </c>
      <c r="E812" t="s">
        <v>11</v>
      </c>
      <c r="F812">
        <v>900</v>
      </c>
      <c r="G812">
        <v>1</v>
      </c>
      <c r="H812">
        <v>900</v>
      </c>
      <c r="I812">
        <v>900</v>
      </c>
    </row>
    <row r="813" spans="1:9" x14ac:dyDescent="0.3">
      <c r="A813">
        <v>810</v>
      </c>
      <c r="B813" s="24">
        <v>44275</v>
      </c>
      <c r="C813" t="s">
        <v>81</v>
      </c>
      <c r="D813" t="s">
        <v>22</v>
      </c>
      <c r="E813" t="s">
        <v>23</v>
      </c>
      <c r="F813">
        <v>800</v>
      </c>
      <c r="G813">
        <v>1</v>
      </c>
      <c r="H813">
        <v>800</v>
      </c>
      <c r="I813">
        <v>800</v>
      </c>
    </row>
    <row r="814" spans="1:9" x14ac:dyDescent="0.3">
      <c r="A814">
        <v>811</v>
      </c>
      <c r="B814" s="24">
        <v>44276</v>
      </c>
      <c r="C814" t="s">
        <v>81</v>
      </c>
      <c r="D814" t="s">
        <v>18</v>
      </c>
      <c r="E814" t="s">
        <v>17</v>
      </c>
      <c r="F814">
        <v>600</v>
      </c>
      <c r="G814">
        <v>1</v>
      </c>
      <c r="H814">
        <v>600</v>
      </c>
      <c r="I814">
        <v>600</v>
      </c>
    </row>
    <row r="815" spans="1:9" x14ac:dyDescent="0.3">
      <c r="A815">
        <v>812</v>
      </c>
      <c r="B815" s="24">
        <v>44277</v>
      </c>
      <c r="C815" t="s">
        <v>81</v>
      </c>
      <c r="D815" t="s">
        <v>22</v>
      </c>
      <c r="E815" t="s">
        <v>23</v>
      </c>
      <c r="F815">
        <v>800</v>
      </c>
      <c r="G815">
        <v>1</v>
      </c>
      <c r="H815">
        <v>800</v>
      </c>
      <c r="I815">
        <v>800</v>
      </c>
    </row>
    <row r="816" spans="1:9" x14ac:dyDescent="0.3">
      <c r="A816">
        <v>813</v>
      </c>
      <c r="B816" s="24">
        <v>44278</v>
      </c>
      <c r="C816" t="s">
        <v>81</v>
      </c>
      <c r="D816" t="s">
        <v>14</v>
      </c>
      <c r="E816" t="s">
        <v>11</v>
      </c>
      <c r="F816">
        <v>900</v>
      </c>
      <c r="G816">
        <v>1</v>
      </c>
      <c r="H816">
        <v>900</v>
      </c>
      <c r="I816">
        <v>900</v>
      </c>
    </row>
    <row r="817" spans="1:9" x14ac:dyDescent="0.3">
      <c r="A817">
        <v>814</v>
      </c>
      <c r="B817" s="24">
        <v>44279</v>
      </c>
      <c r="C817" t="s">
        <v>81</v>
      </c>
      <c r="D817" t="s">
        <v>21</v>
      </c>
      <c r="E817" t="s">
        <v>20</v>
      </c>
      <c r="F817">
        <v>1200</v>
      </c>
      <c r="G817">
        <v>1</v>
      </c>
      <c r="H817">
        <v>1200</v>
      </c>
      <c r="I817">
        <v>1200</v>
      </c>
    </row>
    <row r="818" spans="1:9" x14ac:dyDescent="0.3">
      <c r="A818">
        <v>815</v>
      </c>
      <c r="B818" s="24">
        <v>44280</v>
      </c>
      <c r="C818" t="s">
        <v>81</v>
      </c>
      <c r="D818" t="s">
        <v>22</v>
      </c>
      <c r="E818" t="s">
        <v>23</v>
      </c>
      <c r="F818">
        <v>800</v>
      </c>
      <c r="G818">
        <v>1</v>
      </c>
      <c r="H818">
        <v>800</v>
      </c>
      <c r="I818">
        <v>800</v>
      </c>
    </row>
    <row r="819" spans="1:9" x14ac:dyDescent="0.3">
      <c r="A819">
        <v>816</v>
      </c>
      <c r="B819" s="24">
        <v>44281</v>
      </c>
      <c r="C819" t="s">
        <v>81</v>
      </c>
      <c r="D819" t="s">
        <v>12</v>
      </c>
      <c r="E819" t="s">
        <v>11</v>
      </c>
      <c r="F819">
        <v>900</v>
      </c>
      <c r="G819">
        <v>1</v>
      </c>
      <c r="H819">
        <v>900</v>
      </c>
      <c r="I819">
        <v>765</v>
      </c>
    </row>
    <row r="820" spans="1:9" x14ac:dyDescent="0.3">
      <c r="A820">
        <v>817</v>
      </c>
      <c r="B820" s="24">
        <v>44282</v>
      </c>
      <c r="C820" t="s">
        <v>81</v>
      </c>
      <c r="D820" t="s">
        <v>21</v>
      </c>
      <c r="E820" t="s">
        <v>20</v>
      </c>
      <c r="F820">
        <v>1200</v>
      </c>
      <c r="G820">
        <v>1</v>
      </c>
      <c r="H820">
        <v>1200</v>
      </c>
      <c r="I820">
        <v>1200</v>
      </c>
    </row>
    <row r="821" spans="1:9" x14ac:dyDescent="0.3">
      <c r="A821">
        <v>818</v>
      </c>
      <c r="B821" s="24">
        <v>44283</v>
      </c>
      <c r="C821" t="s">
        <v>81</v>
      </c>
      <c r="D821" t="s">
        <v>10</v>
      </c>
      <c r="E821" t="s">
        <v>11</v>
      </c>
      <c r="F821">
        <v>1100</v>
      </c>
      <c r="G821">
        <v>1</v>
      </c>
      <c r="H821">
        <v>1100</v>
      </c>
      <c r="I821">
        <v>1100</v>
      </c>
    </row>
    <row r="822" spans="1:9" x14ac:dyDescent="0.3">
      <c r="A822">
        <v>819</v>
      </c>
      <c r="B822" s="24">
        <v>44284</v>
      </c>
      <c r="C822" t="s">
        <v>81</v>
      </c>
      <c r="D822" t="s">
        <v>21</v>
      </c>
      <c r="E822" t="s">
        <v>20</v>
      </c>
      <c r="F822">
        <v>1200</v>
      </c>
      <c r="G822">
        <v>1</v>
      </c>
      <c r="H822">
        <v>1200</v>
      </c>
      <c r="I822">
        <v>1200</v>
      </c>
    </row>
    <row r="823" spans="1:9" x14ac:dyDescent="0.3">
      <c r="A823">
        <v>820</v>
      </c>
      <c r="B823" s="24">
        <v>44285</v>
      </c>
      <c r="C823" t="s">
        <v>81</v>
      </c>
      <c r="D823" t="s">
        <v>14</v>
      </c>
      <c r="E823" t="s">
        <v>11</v>
      </c>
      <c r="F823">
        <v>900</v>
      </c>
      <c r="G823">
        <v>1</v>
      </c>
      <c r="H823">
        <v>900</v>
      </c>
      <c r="I823">
        <v>900</v>
      </c>
    </row>
    <row r="824" spans="1:9" x14ac:dyDescent="0.3">
      <c r="A824">
        <v>821</v>
      </c>
      <c r="B824" s="24">
        <v>44286</v>
      </c>
      <c r="C824" t="s">
        <v>81</v>
      </c>
      <c r="D824" t="s">
        <v>10</v>
      </c>
      <c r="E824" t="s">
        <v>11</v>
      </c>
      <c r="F824">
        <v>1100</v>
      </c>
      <c r="G824">
        <v>2</v>
      </c>
      <c r="H824">
        <v>2200</v>
      </c>
      <c r="I824">
        <v>2200</v>
      </c>
    </row>
    <row r="825" spans="1:9" x14ac:dyDescent="0.3">
      <c r="A825">
        <v>822</v>
      </c>
      <c r="B825" s="24">
        <v>44287</v>
      </c>
      <c r="C825" t="s">
        <v>81</v>
      </c>
      <c r="D825" t="s">
        <v>21</v>
      </c>
      <c r="E825" t="s">
        <v>20</v>
      </c>
      <c r="F825">
        <v>1200</v>
      </c>
      <c r="G825">
        <v>1</v>
      </c>
      <c r="H825">
        <v>1200</v>
      </c>
      <c r="I825">
        <v>1200</v>
      </c>
    </row>
    <row r="826" spans="1:9" x14ac:dyDescent="0.3">
      <c r="A826">
        <v>823</v>
      </c>
      <c r="B826" s="24">
        <v>44288</v>
      </c>
      <c r="C826" t="s">
        <v>81</v>
      </c>
      <c r="D826" t="s">
        <v>10</v>
      </c>
      <c r="E826" t="s">
        <v>11</v>
      </c>
      <c r="F826">
        <v>1100</v>
      </c>
      <c r="G826">
        <v>1</v>
      </c>
      <c r="H826">
        <v>1100</v>
      </c>
      <c r="I826">
        <v>1100</v>
      </c>
    </row>
    <row r="827" spans="1:9" x14ac:dyDescent="0.3">
      <c r="A827">
        <v>824</v>
      </c>
      <c r="B827" s="24">
        <v>44289</v>
      </c>
      <c r="C827" t="s">
        <v>81</v>
      </c>
      <c r="D827" t="s">
        <v>12</v>
      </c>
      <c r="E827" t="s">
        <v>11</v>
      </c>
      <c r="F827">
        <v>900</v>
      </c>
      <c r="G827">
        <v>1</v>
      </c>
      <c r="H827">
        <v>900</v>
      </c>
      <c r="I827">
        <v>765</v>
      </c>
    </row>
    <row r="828" spans="1:9" x14ac:dyDescent="0.3">
      <c r="A828">
        <v>825</v>
      </c>
      <c r="B828" s="24">
        <v>44290</v>
      </c>
      <c r="C828" t="s">
        <v>81</v>
      </c>
      <c r="D828" t="s">
        <v>18</v>
      </c>
      <c r="E828" t="s">
        <v>17</v>
      </c>
      <c r="F828">
        <v>600</v>
      </c>
      <c r="G828">
        <v>1</v>
      </c>
      <c r="H828">
        <v>600</v>
      </c>
      <c r="I828">
        <v>600</v>
      </c>
    </row>
    <row r="829" spans="1:9" x14ac:dyDescent="0.3">
      <c r="A829">
        <v>826</v>
      </c>
      <c r="B829" s="24">
        <v>44291</v>
      </c>
      <c r="C829" t="s">
        <v>81</v>
      </c>
      <c r="D829" t="s">
        <v>22</v>
      </c>
      <c r="E829" t="s">
        <v>23</v>
      </c>
      <c r="F829">
        <v>900</v>
      </c>
      <c r="G829">
        <v>1</v>
      </c>
      <c r="H829">
        <v>900</v>
      </c>
      <c r="I829">
        <v>900</v>
      </c>
    </row>
    <row r="830" spans="1:9" x14ac:dyDescent="0.3">
      <c r="A830">
        <v>827</v>
      </c>
      <c r="B830" s="24">
        <v>44292</v>
      </c>
      <c r="C830" t="s">
        <v>81</v>
      </c>
      <c r="D830" t="s">
        <v>16</v>
      </c>
      <c r="E830" t="s">
        <v>17</v>
      </c>
      <c r="F830">
        <v>800</v>
      </c>
      <c r="G830">
        <v>1</v>
      </c>
      <c r="H830">
        <v>800</v>
      </c>
      <c r="I830">
        <v>800</v>
      </c>
    </row>
    <row r="831" spans="1:9" x14ac:dyDescent="0.3">
      <c r="A831">
        <v>828</v>
      </c>
      <c r="B831" s="24">
        <v>44293</v>
      </c>
      <c r="C831" t="s">
        <v>81</v>
      </c>
      <c r="D831" t="s">
        <v>10</v>
      </c>
      <c r="E831" t="s">
        <v>11</v>
      </c>
      <c r="F831">
        <v>1100</v>
      </c>
      <c r="G831">
        <v>1</v>
      </c>
      <c r="H831">
        <v>1100</v>
      </c>
      <c r="I831">
        <v>1100</v>
      </c>
    </row>
    <row r="832" spans="1:9" x14ac:dyDescent="0.3">
      <c r="A832">
        <v>829</v>
      </c>
      <c r="B832" s="24">
        <v>44294</v>
      </c>
      <c r="C832" t="s">
        <v>81</v>
      </c>
      <c r="D832" t="s">
        <v>14</v>
      </c>
      <c r="E832" t="s">
        <v>11</v>
      </c>
      <c r="F832">
        <v>900</v>
      </c>
      <c r="G832">
        <v>1</v>
      </c>
      <c r="H832">
        <v>900</v>
      </c>
      <c r="I832">
        <v>900</v>
      </c>
    </row>
    <row r="833" spans="1:9" x14ac:dyDescent="0.3">
      <c r="A833">
        <v>830</v>
      </c>
      <c r="B833" s="24">
        <v>44295</v>
      </c>
      <c r="C833" t="s">
        <v>81</v>
      </c>
      <c r="D833" t="s">
        <v>15</v>
      </c>
      <c r="E833" t="s">
        <v>11</v>
      </c>
      <c r="F833">
        <v>1000</v>
      </c>
      <c r="G833">
        <v>1</v>
      </c>
      <c r="H833">
        <v>1000</v>
      </c>
      <c r="I833">
        <v>1000</v>
      </c>
    </row>
    <row r="834" spans="1:9" x14ac:dyDescent="0.3">
      <c r="A834">
        <v>831</v>
      </c>
      <c r="B834" s="24">
        <v>44296</v>
      </c>
      <c r="C834" t="s">
        <v>81</v>
      </c>
      <c r="D834" t="s">
        <v>19</v>
      </c>
      <c r="E834" t="s">
        <v>20</v>
      </c>
      <c r="F834">
        <v>850</v>
      </c>
      <c r="G834">
        <v>1</v>
      </c>
      <c r="H834">
        <v>850</v>
      </c>
      <c r="I834">
        <v>850</v>
      </c>
    </row>
    <row r="835" spans="1:9" x14ac:dyDescent="0.3">
      <c r="A835">
        <v>832</v>
      </c>
      <c r="B835" s="24">
        <v>44297</v>
      </c>
      <c r="C835" t="s">
        <v>81</v>
      </c>
      <c r="D835" t="s">
        <v>18</v>
      </c>
      <c r="E835" t="s">
        <v>17</v>
      </c>
      <c r="F835">
        <v>600</v>
      </c>
      <c r="G835">
        <v>1</v>
      </c>
      <c r="H835">
        <v>600</v>
      </c>
      <c r="I835">
        <v>600</v>
      </c>
    </row>
    <row r="836" spans="1:9" x14ac:dyDescent="0.3">
      <c r="A836">
        <v>833</v>
      </c>
      <c r="B836" s="24">
        <v>44298</v>
      </c>
      <c r="C836" t="s">
        <v>81</v>
      </c>
      <c r="D836" t="s">
        <v>14</v>
      </c>
      <c r="E836" t="s">
        <v>11</v>
      </c>
      <c r="F836">
        <v>900</v>
      </c>
      <c r="G836">
        <v>1</v>
      </c>
      <c r="H836">
        <v>900</v>
      </c>
      <c r="I836">
        <v>900</v>
      </c>
    </row>
    <row r="837" spans="1:9" x14ac:dyDescent="0.3">
      <c r="A837">
        <v>834</v>
      </c>
      <c r="B837" s="24">
        <v>44299</v>
      </c>
      <c r="C837" t="s">
        <v>81</v>
      </c>
      <c r="D837" t="s">
        <v>15</v>
      </c>
      <c r="E837" t="s">
        <v>11</v>
      </c>
      <c r="F837">
        <v>1000</v>
      </c>
      <c r="G837">
        <v>1</v>
      </c>
      <c r="H837">
        <v>1000</v>
      </c>
      <c r="I837">
        <v>1000</v>
      </c>
    </row>
    <row r="838" spans="1:9" x14ac:dyDescent="0.3">
      <c r="A838">
        <v>835</v>
      </c>
      <c r="B838" s="24">
        <v>44300</v>
      </c>
      <c r="C838" t="s">
        <v>81</v>
      </c>
      <c r="D838" t="s">
        <v>14</v>
      </c>
      <c r="E838" t="s">
        <v>11</v>
      </c>
      <c r="F838">
        <v>900</v>
      </c>
      <c r="G838">
        <v>1</v>
      </c>
      <c r="H838">
        <v>900</v>
      </c>
      <c r="I838">
        <v>900</v>
      </c>
    </row>
    <row r="839" spans="1:9" x14ac:dyDescent="0.3">
      <c r="A839">
        <v>836</v>
      </c>
      <c r="B839" s="24">
        <v>44301</v>
      </c>
      <c r="C839" t="s">
        <v>81</v>
      </c>
      <c r="D839" t="s">
        <v>12</v>
      </c>
      <c r="E839" t="s">
        <v>11</v>
      </c>
      <c r="F839">
        <v>900</v>
      </c>
      <c r="G839">
        <v>1</v>
      </c>
      <c r="H839">
        <v>900</v>
      </c>
      <c r="I839">
        <v>765</v>
      </c>
    </row>
    <row r="840" spans="1:9" x14ac:dyDescent="0.3">
      <c r="A840">
        <v>837</v>
      </c>
      <c r="B840" s="24">
        <v>44302</v>
      </c>
      <c r="C840" t="s">
        <v>81</v>
      </c>
      <c r="D840" t="s">
        <v>18</v>
      </c>
      <c r="E840" t="s">
        <v>17</v>
      </c>
      <c r="F840">
        <v>600</v>
      </c>
      <c r="G840">
        <v>1</v>
      </c>
      <c r="H840">
        <v>600</v>
      </c>
      <c r="I840">
        <v>600</v>
      </c>
    </row>
    <row r="841" spans="1:9" x14ac:dyDescent="0.3">
      <c r="A841">
        <v>838</v>
      </c>
      <c r="B841" s="24">
        <v>44303</v>
      </c>
      <c r="C841" t="s">
        <v>81</v>
      </c>
      <c r="D841" t="s">
        <v>22</v>
      </c>
      <c r="E841" t="s">
        <v>23</v>
      </c>
      <c r="F841">
        <v>900</v>
      </c>
      <c r="G841">
        <v>1</v>
      </c>
      <c r="H841">
        <v>900</v>
      </c>
      <c r="I841">
        <v>900</v>
      </c>
    </row>
    <row r="842" spans="1:9" x14ac:dyDescent="0.3">
      <c r="A842">
        <v>839</v>
      </c>
      <c r="B842" s="24">
        <v>44304</v>
      </c>
      <c r="C842" t="s">
        <v>81</v>
      </c>
      <c r="D842" t="s">
        <v>22</v>
      </c>
      <c r="E842" t="s">
        <v>23</v>
      </c>
      <c r="F842">
        <v>800</v>
      </c>
      <c r="G842">
        <v>1</v>
      </c>
      <c r="H842">
        <v>800</v>
      </c>
      <c r="I842">
        <v>800</v>
      </c>
    </row>
    <row r="843" spans="1:9" x14ac:dyDescent="0.3">
      <c r="A843">
        <v>840</v>
      </c>
      <c r="B843" s="24">
        <v>44305</v>
      </c>
      <c r="C843" t="s">
        <v>81</v>
      </c>
      <c r="D843" t="s">
        <v>16</v>
      </c>
      <c r="E843" t="s">
        <v>17</v>
      </c>
      <c r="F843">
        <v>800</v>
      </c>
      <c r="G843">
        <v>1</v>
      </c>
      <c r="H843">
        <v>800</v>
      </c>
      <c r="I843">
        <v>800</v>
      </c>
    </row>
    <row r="844" spans="1:9" x14ac:dyDescent="0.3">
      <c r="A844">
        <v>841</v>
      </c>
      <c r="B844" s="24">
        <v>44306</v>
      </c>
      <c r="C844" t="s">
        <v>81</v>
      </c>
      <c r="D844" t="s">
        <v>18</v>
      </c>
      <c r="E844" t="s">
        <v>17</v>
      </c>
      <c r="F844">
        <v>600</v>
      </c>
      <c r="G844">
        <v>1</v>
      </c>
      <c r="H844">
        <v>600</v>
      </c>
      <c r="I844">
        <v>600</v>
      </c>
    </row>
    <row r="845" spans="1:9" x14ac:dyDescent="0.3">
      <c r="A845">
        <v>842</v>
      </c>
      <c r="B845" s="24">
        <v>44307</v>
      </c>
      <c r="C845" t="s">
        <v>81</v>
      </c>
      <c r="D845" t="s">
        <v>22</v>
      </c>
      <c r="E845" t="s">
        <v>23</v>
      </c>
      <c r="F845">
        <v>500</v>
      </c>
      <c r="G845">
        <v>1</v>
      </c>
      <c r="H845">
        <v>500</v>
      </c>
      <c r="I845">
        <v>500</v>
      </c>
    </row>
    <row r="846" spans="1:9" x14ac:dyDescent="0.3">
      <c r="A846">
        <v>843</v>
      </c>
      <c r="B846" s="24">
        <v>44308</v>
      </c>
      <c r="C846" t="s">
        <v>81</v>
      </c>
      <c r="D846" t="s">
        <v>14</v>
      </c>
      <c r="E846" t="s">
        <v>11</v>
      </c>
      <c r="F846">
        <v>900</v>
      </c>
      <c r="G846">
        <v>1</v>
      </c>
      <c r="H846">
        <v>900</v>
      </c>
      <c r="I846">
        <v>900</v>
      </c>
    </row>
    <row r="847" spans="1:9" x14ac:dyDescent="0.3">
      <c r="A847">
        <v>844</v>
      </c>
      <c r="B847" s="24">
        <v>44309</v>
      </c>
      <c r="C847" t="s">
        <v>81</v>
      </c>
      <c r="D847" t="s">
        <v>10</v>
      </c>
      <c r="E847" t="s">
        <v>11</v>
      </c>
      <c r="F847">
        <v>1100</v>
      </c>
      <c r="G847">
        <v>1</v>
      </c>
      <c r="H847">
        <v>1100</v>
      </c>
      <c r="I847">
        <v>1100</v>
      </c>
    </row>
    <row r="848" spans="1:9" x14ac:dyDescent="0.3">
      <c r="A848">
        <v>845</v>
      </c>
      <c r="B848" s="24">
        <v>44310</v>
      </c>
      <c r="C848" t="s">
        <v>81</v>
      </c>
      <c r="D848" t="s">
        <v>22</v>
      </c>
      <c r="E848" t="s">
        <v>23</v>
      </c>
      <c r="F848">
        <v>500</v>
      </c>
      <c r="G848">
        <v>1</v>
      </c>
      <c r="H848">
        <v>500</v>
      </c>
      <c r="I848">
        <v>500</v>
      </c>
    </row>
    <row r="849" spans="1:9" x14ac:dyDescent="0.3">
      <c r="A849">
        <v>846</v>
      </c>
      <c r="B849" s="24">
        <v>44311</v>
      </c>
      <c r="C849" t="s">
        <v>81</v>
      </c>
      <c r="D849" t="s">
        <v>18</v>
      </c>
      <c r="E849" t="s">
        <v>17</v>
      </c>
      <c r="F849">
        <v>600</v>
      </c>
      <c r="G849">
        <v>1</v>
      </c>
      <c r="H849">
        <v>600</v>
      </c>
      <c r="I849">
        <v>600</v>
      </c>
    </row>
    <row r="850" spans="1:9" x14ac:dyDescent="0.3">
      <c r="A850">
        <v>847</v>
      </c>
      <c r="B850" s="24">
        <v>44312</v>
      </c>
      <c r="C850" t="s">
        <v>81</v>
      </c>
      <c r="D850" t="s">
        <v>14</v>
      </c>
      <c r="E850" t="s">
        <v>11</v>
      </c>
      <c r="F850">
        <v>900</v>
      </c>
      <c r="G850">
        <v>1</v>
      </c>
      <c r="H850">
        <v>900</v>
      </c>
      <c r="I850">
        <v>900</v>
      </c>
    </row>
    <row r="851" spans="1:9" x14ac:dyDescent="0.3">
      <c r="A851">
        <v>848</v>
      </c>
      <c r="B851" s="24">
        <v>44313</v>
      </c>
      <c r="C851" t="s">
        <v>81</v>
      </c>
      <c r="D851" t="s">
        <v>22</v>
      </c>
      <c r="E851" t="s">
        <v>23</v>
      </c>
      <c r="F851">
        <v>500</v>
      </c>
      <c r="G851">
        <v>1</v>
      </c>
      <c r="H851">
        <v>500</v>
      </c>
      <c r="I851">
        <v>500</v>
      </c>
    </row>
    <row r="852" spans="1:9" x14ac:dyDescent="0.3">
      <c r="A852">
        <v>849</v>
      </c>
      <c r="B852" s="24">
        <v>44314</v>
      </c>
      <c r="C852" t="s">
        <v>81</v>
      </c>
      <c r="D852" t="s">
        <v>22</v>
      </c>
      <c r="E852" t="s">
        <v>23</v>
      </c>
      <c r="F852">
        <v>500</v>
      </c>
      <c r="G852">
        <v>1</v>
      </c>
      <c r="H852">
        <v>500</v>
      </c>
      <c r="I852">
        <v>500</v>
      </c>
    </row>
    <row r="853" spans="1:9" x14ac:dyDescent="0.3">
      <c r="A853">
        <v>850</v>
      </c>
      <c r="B853" s="24">
        <v>44315</v>
      </c>
      <c r="C853" t="s">
        <v>81</v>
      </c>
      <c r="D853" t="s">
        <v>18</v>
      </c>
      <c r="E853" t="s">
        <v>17</v>
      </c>
      <c r="F853">
        <v>600</v>
      </c>
      <c r="G853">
        <v>1</v>
      </c>
      <c r="H853">
        <v>600</v>
      </c>
      <c r="I853">
        <v>600</v>
      </c>
    </row>
    <row r="854" spans="1:9" x14ac:dyDescent="0.3">
      <c r="A854">
        <v>851</v>
      </c>
      <c r="B854" s="24">
        <v>44316</v>
      </c>
      <c r="C854" t="s">
        <v>81</v>
      </c>
      <c r="D854" t="s">
        <v>18</v>
      </c>
      <c r="E854" t="s">
        <v>17</v>
      </c>
      <c r="F854">
        <v>600</v>
      </c>
      <c r="G854">
        <v>1</v>
      </c>
      <c r="H854">
        <v>600</v>
      </c>
      <c r="I854">
        <v>600</v>
      </c>
    </row>
    <row r="855" spans="1:9" x14ac:dyDescent="0.3">
      <c r="A855">
        <v>852</v>
      </c>
      <c r="B855" s="24">
        <v>44317</v>
      </c>
      <c r="C855" t="s">
        <v>81</v>
      </c>
      <c r="D855" t="s">
        <v>16</v>
      </c>
      <c r="E855" t="s">
        <v>17</v>
      </c>
      <c r="F855">
        <v>800</v>
      </c>
      <c r="G855">
        <v>1</v>
      </c>
      <c r="H855">
        <v>800</v>
      </c>
      <c r="I855">
        <v>800</v>
      </c>
    </row>
    <row r="856" spans="1:9" x14ac:dyDescent="0.3">
      <c r="A856">
        <v>853</v>
      </c>
      <c r="B856" s="24">
        <v>44318</v>
      </c>
      <c r="C856" t="s">
        <v>81</v>
      </c>
      <c r="D856" t="s">
        <v>19</v>
      </c>
      <c r="E856" t="s">
        <v>20</v>
      </c>
      <c r="F856">
        <v>850</v>
      </c>
      <c r="G856">
        <v>1</v>
      </c>
      <c r="H856">
        <v>850</v>
      </c>
      <c r="I856">
        <v>850</v>
      </c>
    </row>
    <row r="857" spans="1:9" x14ac:dyDescent="0.3">
      <c r="A857">
        <v>854</v>
      </c>
      <c r="B857" s="24">
        <v>44319</v>
      </c>
      <c r="C857" t="s">
        <v>81</v>
      </c>
      <c r="D857" t="s">
        <v>22</v>
      </c>
      <c r="E857" t="s">
        <v>23</v>
      </c>
      <c r="F857">
        <v>500</v>
      </c>
      <c r="G857">
        <v>1</v>
      </c>
      <c r="H857">
        <v>500</v>
      </c>
      <c r="I857">
        <v>500</v>
      </c>
    </row>
    <row r="858" spans="1:9" x14ac:dyDescent="0.3">
      <c r="A858">
        <v>855</v>
      </c>
      <c r="B858" s="24">
        <v>44320</v>
      </c>
      <c r="C858" t="s">
        <v>81</v>
      </c>
      <c r="D858" t="s">
        <v>22</v>
      </c>
      <c r="E858" t="s">
        <v>23</v>
      </c>
      <c r="F858">
        <v>500</v>
      </c>
      <c r="G858">
        <v>1</v>
      </c>
      <c r="H858">
        <v>500</v>
      </c>
      <c r="I858">
        <v>500</v>
      </c>
    </row>
    <row r="859" spans="1:9" x14ac:dyDescent="0.3">
      <c r="A859">
        <v>856</v>
      </c>
      <c r="B859" s="24">
        <v>44321</v>
      </c>
      <c r="C859" t="s">
        <v>81</v>
      </c>
      <c r="D859" t="s">
        <v>10</v>
      </c>
      <c r="E859" t="s">
        <v>11</v>
      </c>
      <c r="F859">
        <v>1100</v>
      </c>
      <c r="G859">
        <v>1</v>
      </c>
      <c r="H859">
        <v>1100</v>
      </c>
      <c r="I859">
        <v>1100</v>
      </c>
    </row>
    <row r="860" spans="1:9" x14ac:dyDescent="0.3">
      <c r="A860">
        <v>857</v>
      </c>
      <c r="B860" s="24">
        <v>44322</v>
      </c>
      <c r="C860" t="s">
        <v>81</v>
      </c>
      <c r="D860" t="s">
        <v>22</v>
      </c>
      <c r="E860" t="s">
        <v>23</v>
      </c>
      <c r="F860">
        <v>500</v>
      </c>
      <c r="G860">
        <v>1</v>
      </c>
      <c r="H860">
        <v>500</v>
      </c>
      <c r="I860">
        <v>500</v>
      </c>
    </row>
    <row r="861" spans="1:9" x14ac:dyDescent="0.3">
      <c r="A861">
        <v>858</v>
      </c>
      <c r="B861" s="24">
        <v>44323</v>
      </c>
      <c r="C861" t="s">
        <v>81</v>
      </c>
      <c r="D861" t="s">
        <v>15</v>
      </c>
      <c r="E861" t="s">
        <v>11</v>
      </c>
      <c r="F861">
        <v>1000</v>
      </c>
      <c r="G861">
        <v>1</v>
      </c>
      <c r="H861">
        <v>1000</v>
      </c>
      <c r="I861">
        <v>1000</v>
      </c>
    </row>
    <row r="862" spans="1:9" x14ac:dyDescent="0.3">
      <c r="A862">
        <v>859</v>
      </c>
      <c r="B862" s="24">
        <v>44324</v>
      </c>
      <c r="C862" t="s">
        <v>81</v>
      </c>
      <c r="D862" t="s">
        <v>16</v>
      </c>
      <c r="E862" t="s">
        <v>17</v>
      </c>
      <c r="F862">
        <v>800</v>
      </c>
      <c r="G862">
        <v>1</v>
      </c>
      <c r="H862">
        <v>800</v>
      </c>
      <c r="I862">
        <v>800</v>
      </c>
    </row>
    <row r="863" spans="1:9" x14ac:dyDescent="0.3">
      <c r="A863">
        <v>860</v>
      </c>
      <c r="B863" s="24">
        <v>44325</v>
      </c>
      <c r="C863" t="s">
        <v>81</v>
      </c>
      <c r="D863" t="s">
        <v>24</v>
      </c>
      <c r="E863" t="s">
        <v>23</v>
      </c>
      <c r="F863">
        <v>600</v>
      </c>
      <c r="G863">
        <v>1</v>
      </c>
      <c r="H863">
        <v>600</v>
      </c>
      <c r="I863">
        <v>600</v>
      </c>
    </row>
    <row r="864" spans="1:9" x14ac:dyDescent="0.3">
      <c r="A864">
        <v>861</v>
      </c>
      <c r="B864" s="24">
        <v>44326</v>
      </c>
      <c r="C864" t="s">
        <v>81</v>
      </c>
      <c r="D864" t="s">
        <v>24</v>
      </c>
      <c r="E864" t="s">
        <v>23</v>
      </c>
      <c r="F864">
        <v>600</v>
      </c>
      <c r="G864">
        <v>1</v>
      </c>
      <c r="H864">
        <v>600</v>
      </c>
      <c r="I864">
        <v>600</v>
      </c>
    </row>
    <row r="865" spans="1:9" x14ac:dyDescent="0.3">
      <c r="A865">
        <v>862</v>
      </c>
      <c r="B865" s="24">
        <v>44327</v>
      </c>
      <c r="C865" t="s">
        <v>81</v>
      </c>
      <c r="D865" t="s">
        <v>19</v>
      </c>
      <c r="E865" t="s">
        <v>20</v>
      </c>
      <c r="F865">
        <v>850</v>
      </c>
      <c r="G865">
        <v>1</v>
      </c>
      <c r="H865">
        <v>850</v>
      </c>
      <c r="I865">
        <v>850</v>
      </c>
    </row>
    <row r="866" spans="1:9" x14ac:dyDescent="0.3">
      <c r="A866">
        <v>863</v>
      </c>
      <c r="B866" s="24">
        <v>44328</v>
      </c>
      <c r="C866" t="s">
        <v>81</v>
      </c>
      <c r="D866" t="s">
        <v>24</v>
      </c>
      <c r="E866" t="s">
        <v>23</v>
      </c>
      <c r="F866">
        <v>600</v>
      </c>
      <c r="G866">
        <v>1</v>
      </c>
      <c r="H866">
        <v>600</v>
      </c>
      <c r="I866">
        <v>600</v>
      </c>
    </row>
    <row r="867" spans="1:9" x14ac:dyDescent="0.3">
      <c r="A867">
        <v>864</v>
      </c>
      <c r="B867" s="24">
        <v>44329</v>
      </c>
      <c r="C867" t="s">
        <v>81</v>
      </c>
      <c r="D867" t="s">
        <v>18</v>
      </c>
      <c r="E867" t="s">
        <v>17</v>
      </c>
      <c r="F867">
        <v>600</v>
      </c>
      <c r="G867">
        <v>1</v>
      </c>
      <c r="H867">
        <v>600</v>
      </c>
      <c r="I867">
        <v>600</v>
      </c>
    </row>
    <row r="868" spans="1:9" x14ac:dyDescent="0.3">
      <c r="A868">
        <v>865</v>
      </c>
      <c r="B868" s="24">
        <v>44330</v>
      </c>
      <c r="C868" t="s">
        <v>81</v>
      </c>
      <c r="D868" t="s">
        <v>24</v>
      </c>
      <c r="E868" t="s">
        <v>23</v>
      </c>
      <c r="F868">
        <v>600</v>
      </c>
      <c r="G868">
        <v>1</v>
      </c>
      <c r="H868">
        <v>600</v>
      </c>
      <c r="I868">
        <v>600</v>
      </c>
    </row>
    <row r="869" spans="1:9" x14ac:dyDescent="0.3">
      <c r="A869">
        <v>866</v>
      </c>
      <c r="B869" s="24">
        <v>44331</v>
      </c>
      <c r="C869" t="s">
        <v>81</v>
      </c>
      <c r="D869" t="s">
        <v>10</v>
      </c>
      <c r="E869" t="s">
        <v>11</v>
      </c>
      <c r="F869">
        <v>1100</v>
      </c>
      <c r="G869">
        <v>1</v>
      </c>
      <c r="H869">
        <v>1100</v>
      </c>
      <c r="I869">
        <v>1100</v>
      </c>
    </row>
    <row r="870" spans="1:9" x14ac:dyDescent="0.3">
      <c r="A870">
        <v>867</v>
      </c>
      <c r="B870" s="24">
        <v>44332</v>
      </c>
      <c r="C870" t="s">
        <v>81</v>
      </c>
      <c r="D870" t="s">
        <v>18</v>
      </c>
      <c r="E870" t="s">
        <v>17</v>
      </c>
      <c r="F870">
        <v>600</v>
      </c>
      <c r="G870">
        <v>1</v>
      </c>
      <c r="H870">
        <v>600</v>
      </c>
      <c r="I870">
        <v>600</v>
      </c>
    </row>
    <row r="871" spans="1:9" x14ac:dyDescent="0.3">
      <c r="A871">
        <v>868</v>
      </c>
      <c r="B871" s="24">
        <v>44333</v>
      </c>
      <c r="C871" t="s">
        <v>81</v>
      </c>
      <c r="D871" t="s">
        <v>10</v>
      </c>
      <c r="E871" t="s">
        <v>11</v>
      </c>
      <c r="F871">
        <v>1100</v>
      </c>
      <c r="G871">
        <v>1</v>
      </c>
      <c r="H871">
        <v>1100</v>
      </c>
      <c r="I871">
        <v>1100</v>
      </c>
    </row>
    <row r="872" spans="1:9" x14ac:dyDescent="0.3">
      <c r="A872">
        <v>869</v>
      </c>
      <c r="B872" s="24">
        <v>44334</v>
      </c>
      <c r="C872" t="s">
        <v>81</v>
      </c>
      <c r="D872" t="s">
        <v>10</v>
      </c>
      <c r="E872" t="s">
        <v>11</v>
      </c>
      <c r="F872">
        <v>1100</v>
      </c>
      <c r="G872">
        <v>1</v>
      </c>
      <c r="H872">
        <v>1100</v>
      </c>
      <c r="I872">
        <v>1100</v>
      </c>
    </row>
    <row r="873" spans="1:9" x14ac:dyDescent="0.3">
      <c r="A873">
        <v>870</v>
      </c>
      <c r="B873" s="24">
        <v>44335</v>
      </c>
      <c r="C873" t="s">
        <v>81</v>
      </c>
      <c r="D873" t="s">
        <v>10</v>
      </c>
      <c r="E873" t="s">
        <v>11</v>
      </c>
      <c r="F873">
        <v>1100</v>
      </c>
      <c r="G873">
        <v>1</v>
      </c>
      <c r="H873">
        <v>1100</v>
      </c>
      <c r="I873">
        <v>1100</v>
      </c>
    </row>
    <row r="874" spans="1:9" x14ac:dyDescent="0.3">
      <c r="A874">
        <v>871</v>
      </c>
      <c r="B874" s="24">
        <v>44336</v>
      </c>
      <c r="C874" t="s">
        <v>81</v>
      </c>
      <c r="D874" t="s">
        <v>19</v>
      </c>
      <c r="E874" t="s">
        <v>20</v>
      </c>
      <c r="F874">
        <v>850</v>
      </c>
      <c r="G874">
        <v>1</v>
      </c>
      <c r="H874">
        <v>850</v>
      </c>
      <c r="I874">
        <v>850</v>
      </c>
    </row>
    <row r="875" spans="1:9" x14ac:dyDescent="0.3">
      <c r="A875">
        <v>872</v>
      </c>
      <c r="B875" s="24">
        <v>44337</v>
      </c>
      <c r="C875" t="s">
        <v>81</v>
      </c>
      <c r="D875" t="s">
        <v>18</v>
      </c>
      <c r="E875" t="s">
        <v>17</v>
      </c>
      <c r="F875">
        <v>600</v>
      </c>
      <c r="G875">
        <v>1</v>
      </c>
      <c r="H875">
        <v>600</v>
      </c>
      <c r="I875">
        <v>600</v>
      </c>
    </row>
    <row r="876" spans="1:9" x14ac:dyDescent="0.3">
      <c r="A876">
        <v>873</v>
      </c>
      <c r="B876" s="24">
        <v>44338</v>
      </c>
      <c r="C876" t="s">
        <v>81</v>
      </c>
      <c r="D876" t="s">
        <v>18</v>
      </c>
      <c r="E876" t="s">
        <v>17</v>
      </c>
      <c r="F876">
        <v>600</v>
      </c>
      <c r="G876">
        <v>1</v>
      </c>
      <c r="H876">
        <v>600</v>
      </c>
      <c r="I876">
        <v>600</v>
      </c>
    </row>
    <row r="877" spans="1:9" x14ac:dyDescent="0.3">
      <c r="A877">
        <v>874</v>
      </c>
      <c r="B877" s="24">
        <v>44339</v>
      </c>
      <c r="C877" t="s">
        <v>81</v>
      </c>
      <c r="D877" t="s">
        <v>16</v>
      </c>
      <c r="E877" t="s">
        <v>17</v>
      </c>
      <c r="F877">
        <v>800</v>
      </c>
      <c r="G877">
        <v>1</v>
      </c>
      <c r="H877">
        <v>800</v>
      </c>
      <c r="I877">
        <v>800</v>
      </c>
    </row>
    <row r="878" spans="1:9" x14ac:dyDescent="0.3">
      <c r="A878">
        <v>875</v>
      </c>
      <c r="B878" s="24">
        <v>44340</v>
      </c>
      <c r="C878" t="s">
        <v>81</v>
      </c>
      <c r="D878" t="s">
        <v>21</v>
      </c>
      <c r="E878" t="s">
        <v>20</v>
      </c>
      <c r="F878">
        <v>1200</v>
      </c>
      <c r="G878">
        <v>1</v>
      </c>
      <c r="H878">
        <v>1200</v>
      </c>
      <c r="I878">
        <v>1200</v>
      </c>
    </row>
    <row r="879" spans="1:9" x14ac:dyDescent="0.3">
      <c r="A879">
        <v>876</v>
      </c>
      <c r="B879" s="24">
        <v>44341</v>
      </c>
      <c r="C879" t="s">
        <v>81</v>
      </c>
      <c r="D879" t="s">
        <v>15</v>
      </c>
      <c r="E879" t="s">
        <v>11</v>
      </c>
      <c r="F879">
        <v>1000</v>
      </c>
      <c r="G879">
        <v>1</v>
      </c>
      <c r="H879">
        <v>1000</v>
      </c>
      <c r="I879">
        <v>1000</v>
      </c>
    </row>
    <row r="880" spans="1:9" x14ac:dyDescent="0.3">
      <c r="A880">
        <v>877</v>
      </c>
      <c r="B880" s="24">
        <v>44342</v>
      </c>
      <c r="C880" t="s">
        <v>81</v>
      </c>
      <c r="D880" t="s">
        <v>24</v>
      </c>
      <c r="E880" t="s">
        <v>23</v>
      </c>
      <c r="F880">
        <v>600</v>
      </c>
      <c r="G880">
        <v>1</v>
      </c>
      <c r="H880">
        <v>600</v>
      </c>
      <c r="I880">
        <v>600</v>
      </c>
    </row>
    <row r="881" spans="1:9" x14ac:dyDescent="0.3">
      <c r="A881">
        <v>878</v>
      </c>
      <c r="B881" s="24">
        <v>44343</v>
      </c>
      <c r="C881" t="s">
        <v>81</v>
      </c>
      <c r="D881" t="s">
        <v>14</v>
      </c>
      <c r="E881" t="s">
        <v>11</v>
      </c>
      <c r="F881">
        <v>900</v>
      </c>
      <c r="G881">
        <v>1</v>
      </c>
      <c r="H881">
        <v>900</v>
      </c>
      <c r="I881">
        <v>900</v>
      </c>
    </row>
    <row r="882" spans="1:9" x14ac:dyDescent="0.3">
      <c r="A882">
        <v>879</v>
      </c>
      <c r="B882" s="24">
        <v>44344</v>
      </c>
      <c r="C882" t="s">
        <v>81</v>
      </c>
      <c r="D882" t="s">
        <v>18</v>
      </c>
      <c r="E882" t="s">
        <v>17</v>
      </c>
      <c r="F882">
        <v>600</v>
      </c>
      <c r="G882">
        <v>1</v>
      </c>
      <c r="H882">
        <v>600</v>
      </c>
      <c r="I882">
        <v>600</v>
      </c>
    </row>
    <row r="883" spans="1:9" x14ac:dyDescent="0.3">
      <c r="A883">
        <v>880</v>
      </c>
      <c r="B883" s="24">
        <v>44345</v>
      </c>
      <c r="C883" t="s">
        <v>81</v>
      </c>
      <c r="D883" t="s">
        <v>12</v>
      </c>
      <c r="E883" t="s">
        <v>11</v>
      </c>
      <c r="F883">
        <v>900</v>
      </c>
      <c r="G883">
        <v>1</v>
      </c>
      <c r="H883">
        <v>900</v>
      </c>
      <c r="I883">
        <v>765</v>
      </c>
    </row>
    <row r="884" spans="1:9" x14ac:dyDescent="0.3">
      <c r="A884">
        <v>881</v>
      </c>
      <c r="B884" s="24">
        <v>44346</v>
      </c>
      <c r="C884" t="s">
        <v>81</v>
      </c>
      <c r="D884" t="s">
        <v>24</v>
      </c>
      <c r="E884" t="s">
        <v>23</v>
      </c>
      <c r="F884">
        <v>600</v>
      </c>
      <c r="G884">
        <v>1</v>
      </c>
      <c r="H884">
        <v>600</v>
      </c>
      <c r="I884">
        <v>600</v>
      </c>
    </row>
    <row r="885" spans="1:9" x14ac:dyDescent="0.3">
      <c r="A885">
        <v>882</v>
      </c>
      <c r="B885" s="24">
        <v>44347</v>
      </c>
      <c r="C885" t="s">
        <v>81</v>
      </c>
      <c r="D885" t="s">
        <v>19</v>
      </c>
      <c r="E885" t="s">
        <v>20</v>
      </c>
      <c r="F885">
        <v>850</v>
      </c>
      <c r="G885">
        <v>1</v>
      </c>
      <c r="H885">
        <v>850</v>
      </c>
      <c r="I885">
        <v>850</v>
      </c>
    </row>
    <row r="886" spans="1:9" x14ac:dyDescent="0.3">
      <c r="A886">
        <v>883</v>
      </c>
      <c r="B886" s="24">
        <v>44348</v>
      </c>
      <c r="C886" t="s">
        <v>81</v>
      </c>
      <c r="D886" t="s">
        <v>14</v>
      </c>
      <c r="E886" t="s">
        <v>11</v>
      </c>
      <c r="F886">
        <v>900</v>
      </c>
      <c r="G886">
        <v>1</v>
      </c>
      <c r="H886">
        <v>900</v>
      </c>
      <c r="I886">
        <v>900</v>
      </c>
    </row>
    <row r="887" spans="1:9" x14ac:dyDescent="0.3">
      <c r="A887">
        <v>884</v>
      </c>
      <c r="B887" s="24">
        <v>44349</v>
      </c>
      <c r="C887" t="s">
        <v>81</v>
      </c>
      <c r="D887" t="s">
        <v>10</v>
      </c>
      <c r="E887" t="s">
        <v>11</v>
      </c>
      <c r="F887">
        <v>1100</v>
      </c>
      <c r="G887">
        <v>1</v>
      </c>
      <c r="H887">
        <v>1100</v>
      </c>
      <c r="I887">
        <v>1100</v>
      </c>
    </row>
    <row r="888" spans="1:9" x14ac:dyDescent="0.3">
      <c r="A888">
        <v>885</v>
      </c>
      <c r="B888" s="24">
        <v>44350</v>
      </c>
      <c r="C888" t="s">
        <v>81</v>
      </c>
      <c r="D888" t="s">
        <v>14</v>
      </c>
      <c r="E888" t="s">
        <v>11</v>
      </c>
      <c r="F888">
        <v>900</v>
      </c>
      <c r="G888">
        <v>1</v>
      </c>
      <c r="H888">
        <v>900</v>
      </c>
      <c r="I888">
        <v>900</v>
      </c>
    </row>
    <row r="889" spans="1:9" x14ac:dyDescent="0.3">
      <c r="A889">
        <v>886</v>
      </c>
      <c r="B889" s="24">
        <v>44351</v>
      </c>
      <c r="C889" t="s">
        <v>81</v>
      </c>
      <c r="D889" t="s">
        <v>15</v>
      </c>
      <c r="E889" t="s">
        <v>11</v>
      </c>
      <c r="F889">
        <v>1000</v>
      </c>
      <c r="G889">
        <v>1</v>
      </c>
      <c r="H889">
        <v>1000</v>
      </c>
      <c r="I889">
        <v>1000</v>
      </c>
    </row>
    <row r="890" spans="1:9" x14ac:dyDescent="0.3">
      <c r="A890">
        <v>887</v>
      </c>
      <c r="B890" s="24">
        <v>44352</v>
      </c>
      <c r="C890" t="s">
        <v>81</v>
      </c>
      <c r="D890" t="s">
        <v>10</v>
      </c>
      <c r="E890" t="s">
        <v>11</v>
      </c>
      <c r="F890">
        <v>1100</v>
      </c>
      <c r="G890">
        <v>1</v>
      </c>
      <c r="H890">
        <v>1100</v>
      </c>
      <c r="I890">
        <v>1100</v>
      </c>
    </row>
    <row r="891" spans="1:9" x14ac:dyDescent="0.3">
      <c r="A891">
        <v>888</v>
      </c>
      <c r="B891" s="24">
        <v>44353</v>
      </c>
      <c r="C891" t="s">
        <v>81</v>
      </c>
      <c r="D891" t="s">
        <v>15</v>
      </c>
      <c r="E891" t="s">
        <v>11</v>
      </c>
      <c r="F891">
        <v>1000</v>
      </c>
      <c r="G891">
        <v>1</v>
      </c>
      <c r="H891">
        <v>1000</v>
      </c>
      <c r="I891">
        <v>1000</v>
      </c>
    </row>
    <row r="892" spans="1:9" x14ac:dyDescent="0.3">
      <c r="A892">
        <v>889</v>
      </c>
      <c r="B892" s="24">
        <v>44354</v>
      </c>
      <c r="C892" t="s">
        <v>81</v>
      </c>
      <c r="D892" t="s">
        <v>10</v>
      </c>
      <c r="E892" t="s">
        <v>11</v>
      </c>
      <c r="F892">
        <v>1100</v>
      </c>
      <c r="G892">
        <v>1</v>
      </c>
      <c r="H892">
        <v>1100</v>
      </c>
      <c r="I892">
        <v>1100</v>
      </c>
    </row>
    <row r="893" spans="1:9" x14ac:dyDescent="0.3">
      <c r="A893">
        <v>890</v>
      </c>
      <c r="B893" s="24">
        <v>44355</v>
      </c>
      <c r="C893" t="s">
        <v>81</v>
      </c>
      <c r="D893" t="s">
        <v>14</v>
      </c>
      <c r="E893" t="s">
        <v>11</v>
      </c>
      <c r="F893">
        <v>900</v>
      </c>
      <c r="G893">
        <v>1</v>
      </c>
      <c r="H893">
        <v>900</v>
      </c>
      <c r="I893">
        <v>900</v>
      </c>
    </row>
    <row r="894" spans="1:9" x14ac:dyDescent="0.3">
      <c r="A894">
        <v>891</v>
      </c>
      <c r="B894" s="24">
        <v>44356</v>
      </c>
      <c r="C894" t="s">
        <v>81</v>
      </c>
      <c r="D894" t="s">
        <v>12</v>
      </c>
      <c r="E894" t="s">
        <v>11</v>
      </c>
      <c r="F894">
        <v>900</v>
      </c>
      <c r="G894">
        <v>1</v>
      </c>
      <c r="H894">
        <v>900</v>
      </c>
      <c r="I894">
        <v>765</v>
      </c>
    </row>
    <row r="895" spans="1:9" x14ac:dyDescent="0.3">
      <c r="A895">
        <v>892</v>
      </c>
      <c r="B895" s="24">
        <v>44357</v>
      </c>
      <c r="C895" t="s">
        <v>81</v>
      </c>
      <c r="D895" t="s">
        <v>10</v>
      </c>
      <c r="E895" t="s">
        <v>11</v>
      </c>
      <c r="F895">
        <v>1100</v>
      </c>
      <c r="G895">
        <v>1</v>
      </c>
      <c r="H895">
        <v>1100</v>
      </c>
      <c r="I895">
        <v>1100</v>
      </c>
    </row>
    <row r="896" spans="1:9" x14ac:dyDescent="0.3">
      <c r="A896">
        <v>893</v>
      </c>
      <c r="B896" s="24">
        <v>44358</v>
      </c>
      <c r="C896" t="s">
        <v>81</v>
      </c>
      <c r="D896" t="s">
        <v>10</v>
      </c>
      <c r="E896" t="s">
        <v>11</v>
      </c>
      <c r="F896">
        <v>1100</v>
      </c>
      <c r="G896">
        <v>1</v>
      </c>
      <c r="H896">
        <v>1100</v>
      </c>
      <c r="I896">
        <v>1100</v>
      </c>
    </row>
    <row r="897" spans="1:9" x14ac:dyDescent="0.3">
      <c r="A897">
        <v>894</v>
      </c>
      <c r="B897" s="24">
        <v>44359</v>
      </c>
      <c r="C897" t="s">
        <v>81</v>
      </c>
      <c r="D897" t="s">
        <v>15</v>
      </c>
      <c r="E897" t="s">
        <v>11</v>
      </c>
      <c r="F897">
        <v>1000</v>
      </c>
      <c r="G897">
        <v>1</v>
      </c>
      <c r="H897">
        <v>1000</v>
      </c>
      <c r="I897">
        <v>1000</v>
      </c>
    </row>
    <row r="898" spans="1:9" x14ac:dyDescent="0.3">
      <c r="A898">
        <v>895</v>
      </c>
      <c r="B898" s="24">
        <v>44360</v>
      </c>
      <c r="C898" t="s">
        <v>81</v>
      </c>
      <c r="D898" t="s">
        <v>12</v>
      </c>
      <c r="E898" t="s">
        <v>11</v>
      </c>
      <c r="F898">
        <v>900</v>
      </c>
      <c r="G898">
        <v>1</v>
      </c>
      <c r="H898">
        <v>900</v>
      </c>
      <c r="I898">
        <v>765</v>
      </c>
    </row>
    <row r="899" spans="1:9" x14ac:dyDescent="0.3">
      <c r="A899">
        <v>896</v>
      </c>
      <c r="B899" s="24">
        <v>44361</v>
      </c>
      <c r="C899" t="s">
        <v>81</v>
      </c>
      <c r="D899" t="s">
        <v>18</v>
      </c>
      <c r="E899" t="s">
        <v>17</v>
      </c>
      <c r="F899">
        <v>600</v>
      </c>
      <c r="G899">
        <v>1</v>
      </c>
      <c r="H899">
        <v>600</v>
      </c>
      <c r="I899">
        <v>600</v>
      </c>
    </row>
    <row r="900" spans="1:9" x14ac:dyDescent="0.3">
      <c r="A900">
        <v>897</v>
      </c>
      <c r="B900" s="24">
        <v>44362</v>
      </c>
      <c r="C900" t="s">
        <v>81</v>
      </c>
      <c r="D900" t="s">
        <v>12</v>
      </c>
      <c r="E900" t="s">
        <v>11</v>
      </c>
      <c r="F900">
        <v>900</v>
      </c>
      <c r="G900">
        <v>1</v>
      </c>
      <c r="H900">
        <v>900</v>
      </c>
      <c r="I900">
        <v>765</v>
      </c>
    </row>
    <row r="901" spans="1:9" x14ac:dyDescent="0.3">
      <c r="A901">
        <v>898</v>
      </c>
      <c r="B901" s="24">
        <v>44363</v>
      </c>
      <c r="C901" t="s">
        <v>81</v>
      </c>
      <c r="D901" t="s">
        <v>18</v>
      </c>
      <c r="E901" t="s">
        <v>17</v>
      </c>
      <c r="F901">
        <v>600</v>
      </c>
      <c r="G901">
        <v>1</v>
      </c>
      <c r="H901">
        <v>600</v>
      </c>
      <c r="I901">
        <v>600</v>
      </c>
    </row>
    <row r="902" spans="1:9" x14ac:dyDescent="0.3">
      <c r="A902">
        <v>899</v>
      </c>
      <c r="B902" s="24">
        <v>44364</v>
      </c>
      <c r="C902" t="s">
        <v>81</v>
      </c>
      <c r="D902" t="s">
        <v>14</v>
      </c>
      <c r="E902" t="s">
        <v>11</v>
      </c>
      <c r="F902">
        <v>900</v>
      </c>
      <c r="G902">
        <v>1</v>
      </c>
      <c r="H902">
        <v>900</v>
      </c>
      <c r="I902">
        <v>900</v>
      </c>
    </row>
    <row r="903" spans="1:9" x14ac:dyDescent="0.3">
      <c r="A903">
        <v>900</v>
      </c>
      <c r="B903" s="24">
        <v>44365</v>
      </c>
      <c r="C903" t="s">
        <v>81</v>
      </c>
      <c r="D903" t="s">
        <v>10</v>
      </c>
      <c r="E903" t="s">
        <v>11</v>
      </c>
      <c r="F903">
        <v>1100</v>
      </c>
      <c r="G903">
        <v>2</v>
      </c>
      <c r="H903">
        <v>2200</v>
      </c>
      <c r="I903">
        <v>2200</v>
      </c>
    </row>
    <row r="904" spans="1:9" x14ac:dyDescent="0.3">
      <c r="A904">
        <v>901</v>
      </c>
      <c r="B904" s="24">
        <v>44366</v>
      </c>
      <c r="C904" t="s">
        <v>81</v>
      </c>
      <c r="D904" t="s">
        <v>18</v>
      </c>
      <c r="E904" t="s">
        <v>17</v>
      </c>
      <c r="F904">
        <v>600</v>
      </c>
      <c r="G904">
        <v>1</v>
      </c>
      <c r="H904">
        <v>600</v>
      </c>
      <c r="I904">
        <v>600</v>
      </c>
    </row>
    <row r="905" spans="1:9" x14ac:dyDescent="0.3">
      <c r="A905">
        <v>902</v>
      </c>
      <c r="B905" s="24">
        <v>44367</v>
      </c>
      <c r="C905" t="s">
        <v>81</v>
      </c>
      <c r="D905" t="s">
        <v>18</v>
      </c>
      <c r="E905" t="s">
        <v>17</v>
      </c>
      <c r="F905">
        <v>600</v>
      </c>
      <c r="G905">
        <v>1</v>
      </c>
      <c r="H905">
        <v>600</v>
      </c>
      <c r="I905">
        <v>600</v>
      </c>
    </row>
    <row r="906" spans="1:9" x14ac:dyDescent="0.3">
      <c r="A906">
        <v>903</v>
      </c>
      <c r="B906" s="24">
        <v>44368</v>
      </c>
      <c r="C906" t="s">
        <v>81</v>
      </c>
      <c r="D906" t="s">
        <v>14</v>
      </c>
      <c r="E906" t="s">
        <v>11</v>
      </c>
      <c r="F906">
        <v>900</v>
      </c>
      <c r="G906">
        <v>1</v>
      </c>
      <c r="H906">
        <v>900</v>
      </c>
      <c r="I906">
        <v>900</v>
      </c>
    </row>
    <row r="907" spans="1:9" x14ac:dyDescent="0.3">
      <c r="A907">
        <v>904</v>
      </c>
      <c r="B907" s="24">
        <v>44369</v>
      </c>
      <c r="C907" t="s">
        <v>81</v>
      </c>
      <c r="D907" t="s">
        <v>10</v>
      </c>
      <c r="E907" t="s">
        <v>11</v>
      </c>
      <c r="F907">
        <v>1100</v>
      </c>
      <c r="G907">
        <v>1</v>
      </c>
      <c r="H907">
        <v>1100</v>
      </c>
      <c r="I907">
        <v>1100</v>
      </c>
    </row>
    <row r="908" spans="1:9" x14ac:dyDescent="0.3">
      <c r="A908">
        <v>905</v>
      </c>
      <c r="B908" s="24">
        <v>44370</v>
      </c>
      <c r="C908" t="s">
        <v>81</v>
      </c>
      <c r="D908" t="s">
        <v>18</v>
      </c>
      <c r="E908" t="s">
        <v>17</v>
      </c>
      <c r="F908">
        <v>600</v>
      </c>
      <c r="G908">
        <v>1</v>
      </c>
      <c r="H908">
        <v>600</v>
      </c>
      <c r="I908">
        <v>600</v>
      </c>
    </row>
    <row r="909" spans="1:9" x14ac:dyDescent="0.3">
      <c r="A909">
        <v>906</v>
      </c>
      <c r="B909" s="24">
        <v>44371</v>
      </c>
      <c r="C909" t="s">
        <v>81</v>
      </c>
      <c r="D909" t="s">
        <v>24</v>
      </c>
      <c r="E909" t="s">
        <v>23</v>
      </c>
      <c r="F909">
        <v>600</v>
      </c>
      <c r="G909">
        <v>1</v>
      </c>
      <c r="H909">
        <v>600</v>
      </c>
      <c r="I909">
        <v>600</v>
      </c>
    </row>
    <row r="910" spans="1:9" x14ac:dyDescent="0.3">
      <c r="A910">
        <v>907</v>
      </c>
      <c r="B910" s="24">
        <v>44372</v>
      </c>
      <c r="C910" t="s">
        <v>81</v>
      </c>
      <c r="D910" t="s">
        <v>18</v>
      </c>
      <c r="E910" t="s">
        <v>17</v>
      </c>
      <c r="F910">
        <v>600</v>
      </c>
      <c r="G910">
        <v>1</v>
      </c>
      <c r="H910">
        <v>600</v>
      </c>
      <c r="I910">
        <v>600</v>
      </c>
    </row>
    <row r="911" spans="1:9" x14ac:dyDescent="0.3">
      <c r="A911">
        <v>908</v>
      </c>
      <c r="B911" s="24">
        <v>44373</v>
      </c>
      <c r="C911" t="s">
        <v>81</v>
      </c>
      <c r="D911" t="s">
        <v>24</v>
      </c>
      <c r="E911" t="s">
        <v>23</v>
      </c>
      <c r="F911">
        <v>600</v>
      </c>
      <c r="G911">
        <v>1</v>
      </c>
      <c r="H911">
        <v>600</v>
      </c>
      <c r="I911">
        <v>600</v>
      </c>
    </row>
    <row r="912" spans="1:9" x14ac:dyDescent="0.3">
      <c r="A912">
        <v>909</v>
      </c>
      <c r="B912" s="24">
        <v>44374</v>
      </c>
      <c r="C912" t="s">
        <v>81</v>
      </c>
      <c r="D912" t="s">
        <v>24</v>
      </c>
      <c r="E912" t="s">
        <v>23</v>
      </c>
      <c r="F912">
        <v>600</v>
      </c>
      <c r="G912">
        <v>2</v>
      </c>
      <c r="H912">
        <v>1200</v>
      </c>
      <c r="I912">
        <v>1200</v>
      </c>
    </row>
    <row r="913" spans="1:9" x14ac:dyDescent="0.3">
      <c r="A913">
        <v>910</v>
      </c>
      <c r="B913" s="24">
        <v>44375</v>
      </c>
      <c r="C913" t="s">
        <v>81</v>
      </c>
      <c r="D913" t="s">
        <v>18</v>
      </c>
      <c r="E913" t="s">
        <v>17</v>
      </c>
      <c r="F913">
        <v>600</v>
      </c>
      <c r="G913">
        <v>1</v>
      </c>
      <c r="H913">
        <v>600</v>
      </c>
      <c r="I913">
        <v>600</v>
      </c>
    </row>
    <row r="914" spans="1:9" x14ac:dyDescent="0.3">
      <c r="A914">
        <v>911</v>
      </c>
      <c r="B914" s="24">
        <v>44376</v>
      </c>
      <c r="C914" t="s">
        <v>81</v>
      </c>
      <c r="D914" t="s">
        <v>10</v>
      </c>
      <c r="E914" t="s">
        <v>11</v>
      </c>
      <c r="F914">
        <v>1100</v>
      </c>
      <c r="G914">
        <v>3</v>
      </c>
      <c r="H914">
        <v>3300</v>
      </c>
      <c r="I914">
        <v>3300</v>
      </c>
    </row>
    <row r="915" spans="1:9" x14ac:dyDescent="0.3">
      <c r="A915">
        <v>912</v>
      </c>
      <c r="B915" s="24">
        <v>44377</v>
      </c>
      <c r="C915" t="s">
        <v>81</v>
      </c>
      <c r="D915" t="s">
        <v>10</v>
      </c>
      <c r="E915" t="s">
        <v>11</v>
      </c>
      <c r="F915">
        <v>1100</v>
      </c>
      <c r="G915">
        <v>1</v>
      </c>
      <c r="H915">
        <v>1100</v>
      </c>
      <c r="I915">
        <v>1100</v>
      </c>
    </row>
    <row r="916" spans="1:9" x14ac:dyDescent="0.3">
      <c r="A916">
        <v>913</v>
      </c>
      <c r="B916" s="24">
        <v>44378</v>
      </c>
      <c r="C916" t="s">
        <v>81</v>
      </c>
      <c r="D916" t="s">
        <v>19</v>
      </c>
      <c r="E916" t="s">
        <v>20</v>
      </c>
      <c r="F916">
        <v>850</v>
      </c>
      <c r="G916">
        <v>1</v>
      </c>
      <c r="H916">
        <v>850</v>
      </c>
      <c r="I916">
        <v>850</v>
      </c>
    </row>
    <row r="917" spans="1:9" x14ac:dyDescent="0.3">
      <c r="A917">
        <v>914</v>
      </c>
      <c r="B917" s="24">
        <v>44379</v>
      </c>
      <c r="C917" t="s">
        <v>81</v>
      </c>
      <c r="D917" t="s">
        <v>21</v>
      </c>
      <c r="E917" t="s">
        <v>20</v>
      </c>
      <c r="F917">
        <v>1200</v>
      </c>
      <c r="G917">
        <v>1</v>
      </c>
      <c r="H917">
        <v>1200</v>
      </c>
      <c r="I917">
        <v>1200</v>
      </c>
    </row>
    <row r="918" spans="1:9" x14ac:dyDescent="0.3">
      <c r="A918">
        <v>915</v>
      </c>
      <c r="B918" s="24">
        <v>44380</v>
      </c>
      <c r="C918" t="s">
        <v>81</v>
      </c>
      <c r="D918" t="s">
        <v>16</v>
      </c>
      <c r="E918" t="s">
        <v>17</v>
      </c>
      <c r="F918">
        <v>800</v>
      </c>
      <c r="G918">
        <v>1</v>
      </c>
      <c r="H918">
        <v>800</v>
      </c>
      <c r="I918">
        <v>800</v>
      </c>
    </row>
    <row r="919" spans="1:9" x14ac:dyDescent="0.3">
      <c r="A919">
        <v>916</v>
      </c>
      <c r="B919" s="24">
        <v>44381</v>
      </c>
      <c r="C919" t="s">
        <v>81</v>
      </c>
      <c r="D919" t="s">
        <v>14</v>
      </c>
      <c r="E919" t="s">
        <v>11</v>
      </c>
      <c r="F919">
        <v>900</v>
      </c>
      <c r="G919">
        <v>1</v>
      </c>
      <c r="H919">
        <v>900</v>
      </c>
      <c r="I919">
        <v>900</v>
      </c>
    </row>
    <row r="920" spans="1:9" x14ac:dyDescent="0.3">
      <c r="A920">
        <v>917</v>
      </c>
      <c r="B920" s="24">
        <v>44382</v>
      </c>
      <c r="C920" t="s">
        <v>81</v>
      </c>
      <c r="D920" t="s">
        <v>10</v>
      </c>
      <c r="E920" t="s">
        <v>11</v>
      </c>
      <c r="F920">
        <v>1100</v>
      </c>
      <c r="G920">
        <v>1</v>
      </c>
      <c r="H920">
        <v>1100</v>
      </c>
      <c r="I920">
        <v>1100</v>
      </c>
    </row>
    <row r="921" spans="1:9" x14ac:dyDescent="0.3">
      <c r="A921">
        <v>918</v>
      </c>
      <c r="B921" s="24">
        <v>44383</v>
      </c>
      <c r="C921" t="s">
        <v>81</v>
      </c>
      <c r="D921" t="s">
        <v>12</v>
      </c>
      <c r="E921" t="s">
        <v>11</v>
      </c>
      <c r="F921">
        <v>900</v>
      </c>
      <c r="G921">
        <v>1</v>
      </c>
      <c r="H921">
        <v>900</v>
      </c>
      <c r="I921">
        <v>765</v>
      </c>
    </row>
    <row r="922" spans="1:9" x14ac:dyDescent="0.3">
      <c r="A922">
        <v>919</v>
      </c>
      <c r="B922" s="24">
        <v>44384</v>
      </c>
      <c r="C922" t="s">
        <v>81</v>
      </c>
      <c r="D922" t="s">
        <v>10</v>
      </c>
      <c r="E922" t="s">
        <v>11</v>
      </c>
      <c r="F922">
        <v>1100</v>
      </c>
      <c r="G922">
        <v>1</v>
      </c>
      <c r="H922">
        <v>1100</v>
      </c>
      <c r="I922">
        <v>1100</v>
      </c>
    </row>
    <row r="923" spans="1:9" x14ac:dyDescent="0.3">
      <c r="A923">
        <v>920</v>
      </c>
      <c r="B923" s="24">
        <v>44385</v>
      </c>
      <c r="C923" t="s">
        <v>81</v>
      </c>
      <c r="D923" t="s">
        <v>22</v>
      </c>
      <c r="E923" t="s">
        <v>23</v>
      </c>
      <c r="F923">
        <v>900</v>
      </c>
      <c r="G923">
        <v>1</v>
      </c>
      <c r="H923">
        <v>900</v>
      </c>
      <c r="I923">
        <v>900</v>
      </c>
    </row>
    <row r="924" spans="1:9" x14ac:dyDescent="0.3">
      <c r="A924">
        <v>921</v>
      </c>
      <c r="B924" s="24">
        <v>44386</v>
      </c>
      <c r="C924" t="s">
        <v>81</v>
      </c>
      <c r="D924" t="s">
        <v>22</v>
      </c>
      <c r="E924" t="s">
        <v>23</v>
      </c>
      <c r="F924">
        <v>500</v>
      </c>
      <c r="G924">
        <v>1</v>
      </c>
      <c r="H924">
        <v>500</v>
      </c>
      <c r="I924">
        <v>500</v>
      </c>
    </row>
    <row r="925" spans="1:9" x14ac:dyDescent="0.3">
      <c r="A925">
        <v>922</v>
      </c>
      <c r="B925" s="24">
        <v>44387</v>
      </c>
      <c r="C925" t="s">
        <v>81</v>
      </c>
      <c r="D925" t="s">
        <v>15</v>
      </c>
      <c r="E925" t="s">
        <v>11</v>
      </c>
      <c r="F925">
        <v>1000</v>
      </c>
      <c r="G925">
        <v>1</v>
      </c>
      <c r="H925">
        <v>1000</v>
      </c>
      <c r="I925">
        <v>1000</v>
      </c>
    </row>
    <row r="926" spans="1:9" x14ac:dyDescent="0.3">
      <c r="A926">
        <v>923</v>
      </c>
      <c r="B926" s="24">
        <v>44388</v>
      </c>
      <c r="C926" t="s">
        <v>81</v>
      </c>
      <c r="D926" t="s">
        <v>24</v>
      </c>
      <c r="E926" t="s">
        <v>23</v>
      </c>
      <c r="F926">
        <v>600</v>
      </c>
      <c r="G926">
        <v>1</v>
      </c>
      <c r="H926">
        <v>600</v>
      </c>
      <c r="I926">
        <v>600</v>
      </c>
    </row>
    <row r="927" spans="1:9" x14ac:dyDescent="0.3">
      <c r="A927">
        <v>924</v>
      </c>
      <c r="B927" s="24">
        <v>44389</v>
      </c>
      <c r="C927" t="s">
        <v>81</v>
      </c>
      <c r="D927" t="s">
        <v>12</v>
      </c>
      <c r="E927" t="s">
        <v>11</v>
      </c>
      <c r="F927">
        <v>900</v>
      </c>
      <c r="G927">
        <v>2</v>
      </c>
      <c r="H927">
        <v>1800</v>
      </c>
      <c r="I927">
        <v>1530</v>
      </c>
    </row>
    <row r="928" spans="1:9" x14ac:dyDescent="0.3">
      <c r="A928">
        <v>925</v>
      </c>
      <c r="B928" s="24">
        <v>44390</v>
      </c>
      <c r="C928" t="s">
        <v>81</v>
      </c>
      <c r="D928" t="s">
        <v>19</v>
      </c>
      <c r="E928" t="s">
        <v>20</v>
      </c>
      <c r="F928">
        <v>850</v>
      </c>
      <c r="G928">
        <v>1</v>
      </c>
      <c r="H928">
        <v>850</v>
      </c>
      <c r="I928">
        <v>850</v>
      </c>
    </row>
    <row r="929" spans="1:9" x14ac:dyDescent="0.3">
      <c r="A929">
        <v>926</v>
      </c>
      <c r="B929" s="24">
        <v>44391</v>
      </c>
      <c r="C929" t="s">
        <v>81</v>
      </c>
      <c r="D929" t="s">
        <v>16</v>
      </c>
      <c r="E929" t="s">
        <v>17</v>
      </c>
      <c r="F929">
        <v>800</v>
      </c>
      <c r="G929">
        <v>1</v>
      </c>
      <c r="H929">
        <v>800</v>
      </c>
      <c r="I929">
        <v>800</v>
      </c>
    </row>
    <row r="930" spans="1:9" x14ac:dyDescent="0.3">
      <c r="A930">
        <v>927</v>
      </c>
      <c r="B930" s="24">
        <v>44392</v>
      </c>
      <c r="C930" t="s">
        <v>81</v>
      </c>
      <c r="D930" t="s">
        <v>12</v>
      </c>
      <c r="E930" t="s">
        <v>11</v>
      </c>
      <c r="F930">
        <v>900</v>
      </c>
      <c r="G930">
        <v>1</v>
      </c>
      <c r="H930">
        <v>900</v>
      </c>
      <c r="I930">
        <v>765</v>
      </c>
    </row>
    <row r="931" spans="1:9" x14ac:dyDescent="0.3">
      <c r="A931">
        <v>928</v>
      </c>
      <c r="B931" s="24">
        <v>44393</v>
      </c>
      <c r="C931" t="s">
        <v>81</v>
      </c>
      <c r="D931" t="s">
        <v>12</v>
      </c>
      <c r="E931" t="s">
        <v>11</v>
      </c>
      <c r="F931">
        <v>900</v>
      </c>
      <c r="G931">
        <v>1</v>
      </c>
      <c r="H931">
        <v>900</v>
      </c>
      <c r="I931">
        <v>765</v>
      </c>
    </row>
    <row r="932" spans="1:9" x14ac:dyDescent="0.3">
      <c r="A932">
        <v>929</v>
      </c>
      <c r="B932" s="24">
        <v>44394</v>
      </c>
      <c r="C932" t="s">
        <v>81</v>
      </c>
      <c r="D932" t="s">
        <v>10</v>
      </c>
      <c r="E932" t="s">
        <v>11</v>
      </c>
      <c r="F932">
        <v>1100</v>
      </c>
      <c r="G932">
        <v>1</v>
      </c>
      <c r="H932">
        <v>1100</v>
      </c>
      <c r="I932">
        <v>1100</v>
      </c>
    </row>
    <row r="933" spans="1:9" x14ac:dyDescent="0.3">
      <c r="A933">
        <v>930</v>
      </c>
      <c r="B933" s="24">
        <v>44395</v>
      </c>
      <c r="C933" t="s">
        <v>81</v>
      </c>
      <c r="D933" t="s">
        <v>14</v>
      </c>
      <c r="E933" t="s">
        <v>11</v>
      </c>
      <c r="F933">
        <v>900</v>
      </c>
      <c r="G933">
        <v>1</v>
      </c>
      <c r="H933">
        <v>900</v>
      </c>
      <c r="I933">
        <v>900</v>
      </c>
    </row>
    <row r="934" spans="1:9" x14ac:dyDescent="0.3">
      <c r="A934">
        <v>931</v>
      </c>
      <c r="B934" s="24">
        <v>44396</v>
      </c>
      <c r="C934" t="s">
        <v>81</v>
      </c>
      <c r="D934" t="s">
        <v>18</v>
      </c>
      <c r="E934" t="s">
        <v>17</v>
      </c>
      <c r="F934">
        <v>600</v>
      </c>
      <c r="G934">
        <v>1</v>
      </c>
      <c r="H934">
        <v>600</v>
      </c>
      <c r="I934">
        <v>600</v>
      </c>
    </row>
    <row r="935" spans="1:9" x14ac:dyDescent="0.3">
      <c r="A935">
        <v>932</v>
      </c>
      <c r="B935" s="24">
        <v>44397</v>
      </c>
      <c r="C935" t="s">
        <v>81</v>
      </c>
      <c r="D935" t="s">
        <v>18</v>
      </c>
      <c r="E935" t="s">
        <v>17</v>
      </c>
      <c r="F935">
        <v>600</v>
      </c>
      <c r="G935">
        <v>1</v>
      </c>
      <c r="H935">
        <v>600</v>
      </c>
      <c r="I935">
        <v>600</v>
      </c>
    </row>
    <row r="936" spans="1:9" x14ac:dyDescent="0.3">
      <c r="A936">
        <v>933</v>
      </c>
      <c r="B936" s="24">
        <v>44398</v>
      </c>
      <c r="C936" t="s">
        <v>81</v>
      </c>
      <c r="D936" t="s">
        <v>14</v>
      </c>
      <c r="E936" t="s">
        <v>11</v>
      </c>
      <c r="F936">
        <v>900</v>
      </c>
      <c r="G936">
        <v>1</v>
      </c>
      <c r="H936">
        <v>900</v>
      </c>
      <c r="I936">
        <v>900</v>
      </c>
    </row>
    <row r="937" spans="1:9" x14ac:dyDescent="0.3">
      <c r="A937">
        <v>934</v>
      </c>
      <c r="B937" s="24">
        <v>44399</v>
      </c>
      <c r="C937" t="s">
        <v>81</v>
      </c>
      <c r="D937" t="s">
        <v>19</v>
      </c>
      <c r="E937" t="s">
        <v>20</v>
      </c>
      <c r="F937">
        <v>850</v>
      </c>
      <c r="G937">
        <v>1</v>
      </c>
      <c r="H937">
        <v>850</v>
      </c>
      <c r="I937">
        <v>850</v>
      </c>
    </row>
    <row r="938" spans="1:9" x14ac:dyDescent="0.3">
      <c r="A938">
        <v>935</v>
      </c>
      <c r="B938" s="24">
        <v>44400</v>
      </c>
      <c r="C938" t="s">
        <v>81</v>
      </c>
      <c r="D938" t="s">
        <v>14</v>
      </c>
      <c r="E938" t="s">
        <v>11</v>
      </c>
      <c r="F938">
        <v>900</v>
      </c>
      <c r="G938">
        <v>1</v>
      </c>
      <c r="H938">
        <v>900</v>
      </c>
      <c r="I938">
        <v>900</v>
      </c>
    </row>
    <row r="939" spans="1:9" x14ac:dyDescent="0.3">
      <c r="A939">
        <v>936</v>
      </c>
      <c r="B939" s="24">
        <v>44401</v>
      </c>
      <c r="C939" t="s">
        <v>81</v>
      </c>
      <c r="D939" t="s">
        <v>18</v>
      </c>
      <c r="E939" t="s">
        <v>17</v>
      </c>
      <c r="F939">
        <v>600</v>
      </c>
      <c r="G939">
        <v>1</v>
      </c>
      <c r="H939">
        <v>600</v>
      </c>
      <c r="I939">
        <v>600</v>
      </c>
    </row>
    <row r="940" spans="1:9" x14ac:dyDescent="0.3">
      <c r="A940">
        <v>937</v>
      </c>
      <c r="B940" s="24">
        <v>44402</v>
      </c>
      <c r="C940" t="s">
        <v>81</v>
      </c>
      <c r="D940" t="s">
        <v>18</v>
      </c>
      <c r="E940" t="s">
        <v>17</v>
      </c>
      <c r="F940">
        <v>600</v>
      </c>
      <c r="G940">
        <v>1</v>
      </c>
      <c r="H940">
        <v>600</v>
      </c>
      <c r="I940">
        <v>600</v>
      </c>
    </row>
    <row r="941" spans="1:9" x14ac:dyDescent="0.3">
      <c r="A941">
        <v>938</v>
      </c>
      <c r="B941" s="24">
        <v>44403</v>
      </c>
      <c r="C941" t="s">
        <v>81</v>
      </c>
      <c r="D941" t="s">
        <v>10</v>
      </c>
      <c r="E941" t="s">
        <v>11</v>
      </c>
      <c r="F941">
        <v>1100</v>
      </c>
      <c r="G941">
        <v>1</v>
      </c>
      <c r="H941">
        <v>1100</v>
      </c>
      <c r="I941">
        <v>1100</v>
      </c>
    </row>
    <row r="942" spans="1:9" x14ac:dyDescent="0.3">
      <c r="A942">
        <v>939</v>
      </c>
      <c r="B942" s="24">
        <v>44404</v>
      </c>
      <c r="C942" t="s">
        <v>81</v>
      </c>
      <c r="D942" t="s">
        <v>12</v>
      </c>
      <c r="E942" t="s">
        <v>11</v>
      </c>
      <c r="F942">
        <v>900</v>
      </c>
      <c r="G942">
        <v>1</v>
      </c>
      <c r="H942">
        <v>900</v>
      </c>
      <c r="I942">
        <v>765</v>
      </c>
    </row>
    <row r="943" spans="1:9" x14ac:dyDescent="0.3">
      <c r="A943">
        <v>940</v>
      </c>
      <c r="B943" s="24">
        <v>44405</v>
      </c>
      <c r="C943" t="s">
        <v>81</v>
      </c>
      <c r="D943" t="s">
        <v>10</v>
      </c>
      <c r="E943" t="s">
        <v>11</v>
      </c>
      <c r="F943">
        <v>1100</v>
      </c>
      <c r="G943">
        <v>1</v>
      </c>
      <c r="H943">
        <v>1100</v>
      </c>
      <c r="I943">
        <v>1100</v>
      </c>
    </row>
    <row r="944" spans="1:9" x14ac:dyDescent="0.3">
      <c r="A944">
        <v>941</v>
      </c>
      <c r="B944" s="24">
        <v>44406</v>
      </c>
      <c r="C944" t="s">
        <v>81</v>
      </c>
      <c r="D944" t="s">
        <v>18</v>
      </c>
      <c r="E944" t="s">
        <v>17</v>
      </c>
      <c r="F944">
        <v>600</v>
      </c>
      <c r="G944">
        <v>1</v>
      </c>
      <c r="H944">
        <v>600</v>
      </c>
      <c r="I944">
        <v>600</v>
      </c>
    </row>
    <row r="945" spans="1:9" x14ac:dyDescent="0.3">
      <c r="A945">
        <v>942</v>
      </c>
      <c r="B945" s="24">
        <v>44407</v>
      </c>
      <c r="C945" t="s">
        <v>81</v>
      </c>
      <c r="D945" t="s">
        <v>21</v>
      </c>
      <c r="E945" t="s">
        <v>20</v>
      </c>
      <c r="F945">
        <v>1200</v>
      </c>
      <c r="G945">
        <v>1</v>
      </c>
      <c r="H945">
        <v>1200</v>
      </c>
      <c r="I945">
        <v>1200</v>
      </c>
    </row>
    <row r="946" spans="1:9" x14ac:dyDescent="0.3">
      <c r="A946">
        <v>943</v>
      </c>
      <c r="B946" s="24">
        <v>44408</v>
      </c>
      <c r="C946" t="s">
        <v>81</v>
      </c>
      <c r="D946" t="s">
        <v>24</v>
      </c>
      <c r="E946" t="s">
        <v>23</v>
      </c>
      <c r="F946">
        <v>600</v>
      </c>
      <c r="G946">
        <v>1</v>
      </c>
      <c r="H946">
        <v>600</v>
      </c>
      <c r="I946">
        <v>600</v>
      </c>
    </row>
    <row r="947" spans="1:9" x14ac:dyDescent="0.3">
      <c r="A947">
        <v>944</v>
      </c>
      <c r="B947" s="24">
        <v>44409</v>
      </c>
      <c r="C947" t="s">
        <v>81</v>
      </c>
      <c r="D947" t="s">
        <v>10</v>
      </c>
      <c r="E947" t="s">
        <v>11</v>
      </c>
      <c r="F947">
        <v>1100</v>
      </c>
      <c r="G947">
        <v>1</v>
      </c>
      <c r="H947">
        <v>1100</v>
      </c>
      <c r="I947">
        <v>1100</v>
      </c>
    </row>
    <row r="948" spans="1:9" x14ac:dyDescent="0.3">
      <c r="A948">
        <v>945</v>
      </c>
      <c r="B948" s="24">
        <v>44410</v>
      </c>
      <c r="C948" t="s">
        <v>81</v>
      </c>
      <c r="D948" t="s">
        <v>22</v>
      </c>
      <c r="E948" t="s">
        <v>23</v>
      </c>
      <c r="F948">
        <v>500</v>
      </c>
      <c r="G948">
        <v>1</v>
      </c>
      <c r="H948">
        <v>500</v>
      </c>
      <c r="I948">
        <v>500</v>
      </c>
    </row>
    <row r="949" spans="1:9" x14ac:dyDescent="0.3">
      <c r="A949">
        <v>946</v>
      </c>
      <c r="B949" s="24">
        <v>44411</v>
      </c>
      <c r="C949" t="s">
        <v>81</v>
      </c>
      <c r="D949" t="s">
        <v>12</v>
      </c>
      <c r="E949" t="s">
        <v>11</v>
      </c>
      <c r="F949">
        <v>900</v>
      </c>
      <c r="G949">
        <v>1</v>
      </c>
      <c r="H949">
        <v>900</v>
      </c>
      <c r="I949">
        <v>765</v>
      </c>
    </row>
    <row r="950" spans="1:9" x14ac:dyDescent="0.3">
      <c r="A950">
        <v>947</v>
      </c>
      <c r="B950" s="24">
        <v>44412</v>
      </c>
      <c r="C950" t="s">
        <v>81</v>
      </c>
      <c r="D950" t="s">
        <v>19</v>
      </c>
      <c r="E950" t="s">
        <v>20</v>
      </c>
      <c r="F950">
        <v>850</v>
      </c>
      <c r="G950">
        <v>1</v>
      </c>
      <c r="H950">
        <v>850</v>
      </c>
      <c r="I950">
        <v>850</v>
      </c>
    </row>
    <row r="951" spans="1:9" x14ac:dyDescent="0.3">
      <c r="A951">
        <v>948</v>
      </c>
      <c r="B951" s="24">
        <v>44413</v>
      </c>
      <c r="C951" t="s">
        <v>81</v>
      </c>
      <c r="D951" t="s">
        <v>18</v>
      </c>
      <c r="E951" t="s">
        <v>17</v>
      </c>
      <c r="F951">
        <v>600</v>
      </c>
      <c r="G951">
        <v>1</v>
      </c>
      <c r="H951">
        <v>600</v>
      </c>
      <c r="I951">
        <v>600</v>
      </c>
    </row>
    <row r="952" spans="1:9" x14ac:dyDescent="0.3">
      <c r="A952">
        <v>949</v>
      </c>
      <c r="B952" s="24">
        <v>44414</v>
      </c>
      <c r="C952" t="s">
        <v>81</v>
      </c>
      <c r="D952" t="s">
        <v>10</v>
      </c>
      <c r="E952" t="s">
        <v>11</v>
      </c>
      <c r="F952">
        <v>1100</v>
      </c>
      <c r="G952">
        <v>1</v>
      </c>
      <c r="H952">
        <v>1100</v>
      </c>
      <c r="I952">
        <v>1100</v>
      </c>
    </row>
    <row r="953" spans="1:9" x14ac:dyDescent="0.3">
      <c r="A953">
        <v>950</v>
      </c>
      <c r="B953" s="24">
        <v>44415</v>
      </c>
      <c r="C953" t="s">
        <v>81</v>
      </c>
      <c r="D953" t="s">
        <v>22</v>
      </c>
      <c r="E953" t="s">
        <v>23</v>
      </c>
      <c r="F953">
        <v>500</v>
      </c>
      <c r="G953">
        <v>1</v>
      </c>
      <c r="H953">
        <v>500</v>
      </c>
      <c r="I953">
        <v>500</v>
      </c>
    </row>
    <row r="954" spans="1:9" x14ac:dyDescent="0.3">
      <c r="A954">
        <v>951</v>
      </c>
      <c r="B954" s="24">
        <v>44416</v>
      </c>
      <c r="C954" t="s">
        <v>81</v>
      </c>
      <c r="D954" t="s">
        <v>18</v>
      </c>
      <c r="E954" t="s">
        <v>17</v>
      </c>
      <c r="F954">
        <v>600</v>
      </c>
      <c r="G954">
        <v>1</v>
      </c>
      <c r="H954">
        <v>600</v>
      </c>
      <c r="I954">
        <v>600</v>
      </c>
    </row>
    <row r="955" spans="1:9" x14ac:dyDescent="0.3">
      <c r="A955">
        <v>952</v>
      </c>
      <c r="B955" s="24">
        <v>44417</v>
      </c>
      <c r="C955" t="s">
        <v>81</v>
      </c>
      <c r="D955" t="s">
        <v>15</v>
      </c>
      <c r="E955" t="s">
        <v>11</v>
      </c>
      <c r="F955">
        <v>1000</v>
      </c>
      <c r="G955">
        <v>1</v>
      </c>
      <c r="H955">
        <v>1000</v>
      </c>
      <c r="I955">
        <v>1000</v>
      </c>
    </row>
    <row r="956" spans="1:9" x14ac:dyDescent="0.3">
      <c r="A956">
        <v>953</v>
      </c>
      <c r="B956" s="24">
        <v>44418</v>
      </c>
      <c r="C956" t="s">
        <v>81</v>
      </c>
      <c r="D956" t="s">
        <v>18</v>
      </c>
      <c r="E956" t="s">
        <v>17</v>
      </c>
      <c r="F956">
        <v>600</v>
      </c>
      <c r="G956">
        <v>1</v>
      </c>
      <c r="H956">
        <v>600</v>
      </c>
      <c r="I956">
        <v>600</v>
      </c>
    </row>
    <row r="957" spans="1:9" x14ac:dyDescent="0.3">
      <c r="A957">
        <v>954</v>
      </c>
      <c r="B957" s="24">
        <v>44419</v>
      </c>
      <c r="C957" t="s">
        <v>81</v>
      </c>
      <c r="D957" t="s">
        <v>10</v>
      </c>
      <c r="E957" t="s">
        <v>11</v>
      </c>
      <c r="F957">
        <v>1100</v>
      </c>
      <c r="G957">
        <v>1</v>
      </c>
      <c r="H957">
        <v>1100</v>
      </c>
      <c r="I957">
        <v>1100</v>
      </c>
    </row>
    <row r="958" spans="1:9" x14ac:dyDescent="0.3">
      <c r="A958">
        <v>955</v>
      </c>
      <c r="B958" s="24">
        <v>44420</v>
      </c>
      <c r="C958" t="s">
        <v>81</v>
      </c>
      <c r="D958" t="s">
        <v>22</v>
      </c>
      <c r="E958" t="s">
        <v>23</v>
      </c>
      <c r="F958">
        <v>500</v>
      </c>
      <c r="G958">
        <v>1</v>
      </c>
      <c r="H958">
        <v>500</v>
      </c>
      <c r="I958">
        <v>500</v>
      </c>
    </row>
    <row r="959" spans="1:9" x14ac:dyDescent="0.3">
      <c r="A959">
        <v>956</v>
      </c>
      <c r="B959" s="24">
        <v>44421</v>
      </c>
      <c r="C959" t="s">
        <v>81</v>
      </c>
      <c r="D959" t="s">
        <v>10</v>
      </c>
      <c r="E959" t="s">
        <v>11</v>
      </c>
      <c r="F959">
        <v>1100</v>
      </c>
      <c r="G959">
        <v>2</v>
      </c>
      <c r="H959">
        <v>2200</v>
      </c>
      <c r="I959">
        <v>2200</v>
      </c>
    </row>
    <row r="960" spans="1:9" x14ac:dyDescent="0.3">
      <c r="A960">
        <v>957</v>
      </c>
      <c r="B960" s="24">
        <v>44422</v>
      </c>
      <c r="C960" t="s">
        <v>81</v>
      </c>
      <c r="D960" t="s">
        <v>18</v>
      </c>
      <c r="E960" t="s">
        <v>17</v>
      </c>
      <c r="F960">
        <v>600</v>
      </c>
      <c r="G960">
        <v>1</v>
      </c>
      <c r="H960">
        <v>600</v>
      </c>
      <c r="I960">
        <v>600</v>
      </c>
    </row>
    <row r="961" spans="1:9" x14ac:dyDescent="0.3">
      <c r="A961">
        <v>958</v>
      </c>
      <c r="B961" s="24">
        <v>44423</v>
      </c>
      <c r="C961" t="s">
        <v>81</v>
      </c>
      <c r="D961" t="s">
        <v>16</v>
      </c>
      <c r="E961" t="s">
        <v>17</v>
      </c>
      <c r="F961">
        <v>800</v>
      </c>
      <c r="G961">
        <v>1</v>
      </c>
      <c r="H961">
        <v>800</v>
      </c>
      <c r="I961">
        <v>800</v>
      </c>
    </row>
    <row r="962" spans="1:9" x14ac:dyDescent="0.3">
      <c r="A962">
        <v>959</v>
      </c>
      <c r="B962" s="24">
        <v>44424</v>
      </c>
      <c r="C962" t="s">
        <v>81</v>
      </c>
      <c r="D962" t="s">
        <v>14</v>
      </c>
      <c r="E962" t="s">
        <v>11</v>
      </c>
      <c r="F962">
        <v>900</v>
      </c>
      <c r="G962">
        <v>1</v>
      </c>
      <c r="H962">
        <v>900</v>
      </c>
      <c r="I962">
        <v>900</v>
      </c>
    </row>
    <row r="963" spans="1:9" x14ac:dyDescent="0.3">
      <c r="A963">
        <v>960</v>
      </c>
      <c r="B963" s="24">
        <v>44425</v>
      </c>
      <c r="C963" t="s">
        <v>81</v>
      </c>
      <c r="D963" t="s">
        <v>24</v>
      </c>
      <c r="E963" t="s">
        <v>23</v>
      </c>
      <c r="F963">
        <v>600</v>
      </c>
      <c r="G963">
        <v>1</v>
      </c>
      <c r="H963">
        <v>600</v>
      </c>
      <c r="I963">
        <v>600</v>
      </c>
    </row>
    <row r="964" spans="1:9" x14ac:dyDescent="0.3">
      <c r="A964">
        <v>961</v>
      </c>
      <c r="B964" s="24">
        <v>44426</v>
      </c>
      <c r="C964" t="s">
        <v>81</v>
      </c>
      <c r="D964" t="s">
        <v>10</v>
      </c>
      <c r="E964" t="s">
        <v>11</v>
      </c>
      <c r="F964">
        <v>1100</v>
      </c>
      <c r="G964">
        <v>2</v>
      </c>
      <c r="H964">
        <v>2200</v>
      </c>
      <c r="I964">
        <v>2200</v>
      </c>
    </row>
    <row r="965" spans="1:9" x14ac:dyDescent="0.3">
      <c r="A965">
        <v>962</v>
      </c>
      <c r="B965" s="24">
        <v>44427</v>
      </c>
      <c r="C965" t="s">
        <v>81</v>
      </c>
      <c r="D965" t="s">
        <v>24</v>
      </c>
      <c r="E965" t="s">
        <v>23</v>
      </c>
      <c r="F965">
        <v>600</v>
      </c>
      <c r="G965">
        <v>1</v>
      </c>
      <c r="H965">
        <v>600</v>
      </c>
      <c r="I965">
        <v>600</v>
      </c>
    </row>
    <row r="966" spans="1:9" x14ac:dyDescent="0.3">
      <c r="A966">
        <v>963</v>
      </c>
      <c r="B966" s="24">
        <v>44428</v>
      </c>
      <c r="C966" t="s">
        <v>81</v>
      </c>
      <c r="D966" t="s">
        <v>14</v>
      </c>
      <c r="E966" t="s">
        <v>11</v>
      </c>
      <c r="F966">
        <v>900</v>
      </c>
      <c r="G966">
        <v>1</v>
      </c>
      <c r="H966">
        <v>900</v>
      </c>
      <c r="I966">
        <v>900</v>
      </c>
    </row>
    <row r="967" spans="1:9" x14ac:dyDescent="0.3">
      <c r="A967">
        <v>964</v>
      </c>
      <c r="B967" s="24">
        <v>44429</v>
      </c>
      <c r="C967" t="s">
        <v>81</v>
      </c>
      <c r="D967" t="s">
        <v>18</v>
      </c>
      <c r="E967" t="s">
        <v>17</v>
      </c>
      <c r="F967">
        <v>600</v>
      </c>
      <c r="G967">
        <v>1</v>
      </c>
      <c r="H967">
        <v>600</v>
      </c>
      <c r="I967">
        <v>600</v>
      </c>
    </row>
    <row r="968" spans="1:9" x14ac:dyDescent="0.3">
      <c r="A968">
        <v>965</v>
      </c>
      <c r="B968" s="24">
        <v>44430</v>
      </c>
      <c r="C968" t="s">
        <v>81</v>
      </c>
      <c r="D968" t="s">
        <v>12</v>
      </c>
      <c r="E968" t="s">
        <v>11</v>
      </c>
      <c r="F968">
        <v>900</v>
      </c>
      <c r="G968">
        <v>1</v>
      </c>
      <c r="H968">
        <v>900</v>
      </c>
      <c r="I968">
        <v>765</v>
      </c>
    </row>
    <row r="969" spans="1:9" x14ac:dyDescent="0.3">
      <c r="A969">
        <v>966</v>
      </c>
      <c r="B969" s="24">
        <v>44431</v>
      </c>
      <c r="C969" t="s">
        <v>81</v>
      </c>
      <c r="D969" t="s">
        <v>24</v>
      </c>
      <c r="E969" t="s">
        <v>23</v>
      </c>
      <c r="F969">
        <v>600</v>
      </c>
      <c r="G969">
        <v>1</v>
      </c>
      <c r="H969">
        <v>600</v>
      </c>
      <c r="I969">
        <v>600</v>
      </c>
    </row>
    <row r="970" spans="1:9" x14ac:dyDescent="0.3">
      <c r="A970">
        <v>967</v>
      </c>
      <c r="B970" s="24">
        <v>44432</v>
      </c>
      <c r="C970" t="s">
        <v>81</v>
      </c>
      <c r="D970" t="s">
        <v>19</v>
      </c>
      <c r="E970" t="s">
        <v>20</v>
      </c>
      <c r="F970">
        <v>850</v>
      </c>
      <c r="G970">
        <v>1</v>
      </c>
      <c r="H970">
        <v>850</v>
      </c>
      <c r="I970">
        <v>850</v>
      </c>
    </row>
    <row r="971" spans="1:9" x14ac:dyDescent="0.3">
      <c r="A971">
        <v>968</v>
      </c>
      <c r="B971" s="24">
        <v>44433</v>
      </c>
      <c r="C971" t="s">
        <v>81</v>
      </c>
      <c r="D971" t="s">
        <v>14</v>
      </c>
      <c r="E971" t="s">
        <v>11</v>
      </c>
      <c r="F971">
        <v>900</v>
      </c>
      <c r="G971">
        <v>1</v>
      </c>
      <c r="H971">
        <v>900</v>
      </c>
      <c r="I971">
        <v>900</v>
      </c>
    </row>
    <row r="972" spans="1:9" x14ac:dyDescent="0.3">
      <c r="A972">
        <v>969</v>
      </c>
      <c r="B972" s="24">
        <v>44434</v>
      </c>
      <c r="C972" t="s">
        <v>81</v>
      </c>
      <c r="D972" t="s">
        <v>10</v>
      </c>
      <c r="E972" t="s">
        <v>11</v>
      </c>
      <c r="F972">
        <v>1100</v>
      </c>
      <c r="G972">
        <v>1</v>
      </c>
      <c r="H972">
        <v>1100</v>
      </c>
      <c r="I972">
        <v>1100</v>
      </c>
    </row>
    <row r="973" spans="1:9" x14ac:dyDescent="0.3">
      <c r="A973">
        <v>970</v>
      </c>
      <c r="B973" s="24">
        <v>44435</v>
      </c>
      <c r="C973" t="s">
        <v>81</v>
      </c>
      <c r="D973" t="s">
        <v>14</v>
      </c>
      <c r="E973" t="s">
        <v>11</v>
      </c>
      <c r="F973">
        <v>900</v>
      </c>
      <c r="G973">
        <v>1</v>
      </c>
      <c r="H973">
        <v>900</v>
      </c>
      <c r="I973">
        <v>900</v>
      </c>
    </row>
    <row r="974" spans="1:9" x14ac:dyDescent="0.3">
      <c r="A974">
        <v>971</v>
      </c>
      <c r="B974" s="24">
        <v>44436</v>
      </c>
      <c r="C974" t="s">
        <v>81</v>
      </c>
      <c r="D974" t="s">
        <v>15</v>
      </c>
      <c r="E974" t="s">
        <v>11</v>
      </c>
      <c r="F974">
        <v>1000</v>
      </c>
      <c r="G974">
        <v>1</v>
      </c>
      <c r="H974">
        <v>1000</v>
      </c>
      <c r="I974">
        <v>1000</v>
      </c>
    </row>
    <row r="975" spans="1:9" x14ac:dyDescent="0.3">
      <c r="A975">
        <v>972</v>
      </c>
      <c r="B975" s="24">
        <v>44437</v>
      </c>
      <c r="C975" t="s">
        <v>81</v>
      </c>
      <c r="D975" t="s">
        <v>10</v>
      </c>
      <c r="E975" t="s">
        <v>11</v>
      </c>
      <c r="F975">
        <v>1100</v>
      </c>
      <c r="G975">
        <v>1</v>
      </c>
      <c r="H975">
        <v>1100</v>
      </c>
      <c r="I975">
        <v>1100</v>
      </c>
    </row>
    <row r="976" spans="1:9" x14ac:dyDescent="0.3">
      <c r="A976">
        <v>973</v>
      </c>
      <c r="B976" s="24">
        <v>44438</v>
      </c>
      <c r="C976" t="s">
        <v>81</v>
      </c>
      <c r="D976" t="s">
        <v>15</v>
      </c>
      <c r="E976" t="s">
        <v>11</v>
      </c>
      <c r="F976">
        <v>1000</v>
      </c>
      <c r="G976">
        <v>1</v>
      </c>
      <c r="H976">
        <v>1000</v>
      </c>
      <c r="I976">
        <v>1000</v>
      </c>
    </row>
    <row r="977" spans="1:9" x14ac:dyDescent="0.3">
      <c r="A977">
        <v>974</v>
      </c>
      <c r="B977" s="24">
        <v>44439</v>
      </c>
      <c r="C977" t="s">
        <v>81</v>
      </c>
      <c r="D977" t="s">
        <v>10</v>
      </c>
      <c r="E977" t="s">
        <v>11</v>
      </c>
      <c r="F977">
        <v>1100</v>
      </c>
      <c r="G977">
        <v>1</v>
      </c>
      <c r="H977">
        <v>1100</v>
      </c>
      <c r="I977">
        <v>1100</v>
      </c>
    </row>
    <row r="978" spans="1:9" x14ac:dyDescent="0.3">
      <c r="A978">
        <v>975</v>
      </c>
      <c r="B978" s="24">
        <v>44440</v>
      </c>
      <c r="C978" t="s">
        <v>81</v>
      </c>
      <c r="D978" t="s">
        <v>14</v>
      </c>
      <c r="E978" t="s">
        <v>11</v>
      </c>
      <c r="F978">
        <v>900</v>
      </c>
      <c r="G978">
        <v>1</v>
      </c>
      <c r="H978">
        <v>900</v>
      </c>
      <c r="I978">
        <v>900</v>
      </c>
    </row>
    <row r="979" spans="1:9" x14ac:dyDescent="0.3">
      <c r="A979">
        <v>976</v>
      </c>
      <c r="B979" s="24">
        <v>44441</v>
      </c>
      <c r="C979" t="s">
        <v>81</v>
      </c>
      <c r="D979" t="s">
        <v>12</v>
      </c>
      <c r="E979" t="s">
        <v>11</v>
      </c>
      <c r="F979">
        <v>900</v>
      </c>
      <c r="G979">
        <v>1</v>
      </c>
      <c r="H979">
        <v>900</v>
      </c>
      <c r="I979">
        <v>765</v>
      </c>
    </row>
    <row r="980" spans="1:9" x14ac:dyDescent="0.3">
      <c r="A980">
        <v>977</v>
      </c>
      <c r="B980" s="24">
        <v>44442</v>
      </c>
      <c r="C980" t="s">
        <v>81</v>
      </c>
      <c r="D980" t="s">
        <v>10</v>
      </c>
      <c r="E980" t="s">
        <v>11</v>
      </c>
      <c r="F980">
        <v>1100</v>
      </c>
      <c r="G980">
        <v>1</v>
      </c>
      <c r="H980">
        <v>1100</v>
      </c>
      <c r="I980">
        <v>1100</v>
      </c>
    </row>
    <row r="981" spans="1:9" x14ac:dyDescent="0.3">
      <c r="A981">
        <v>978</v>
      </c>
      <c r="B981" s="24">
        <v>44443</v>
      </c>
      <c r="C981" t="s">
        <v>81</v>
      </c>
      <c r="D981" t="s">
        <v>10</v>
      </c>
      <c r="E981" t="s">
        <v>11</v>
      </c>
      <c r="F981">
        <v>1100</v>
      </c>
      <c r="G981">
        <v>1</v>
      </c>
      <c r="H981">
        <v>1100</v>
      </c>
      <c r="I981">
        <v>1100</v>
      </c>
    </row>
    <row r="982" spans="1:9" x14ac:dyDescent="0.3">
      <c r="A982">
        <v>979</v>
      </c>
      <c r="B982" s="24">
        <v>44444</v>
      </c>
      <c r="C982" t="s">
        <v>81</v>
      </c>
      <c r="D982" t="s">
        <v>15</v>
      </c>
      <c r="E982" t="s">
        <v>11</v>
      </c>
      <c r="F982">
        <v>1000</v>
      </c>
      <c r="G982">
        <v>1</v>
      </c>
      <c r="H982">
        <v>1000</v>
      </c>
      <c r="I982">
        <v>1000</v>
      </c>
    </row>
    <row r="983" spans="1:9" x14ac:dyDescent="0.3">
      <c r="A983">
        <v>980</v>
      </c>
      <c r="B983" s="24">
        <v>44445</v>
      </c>
      <c r="C983" t="s">
        <v>81</v>
      </c>
      <c r="D983" t="s">
        <v>12</v>
      </c>
      <c r="E983" t="s">
        <v>11</v>
      </c>
      <c r="F983">
        <v>900</v>
      </c>
      <c r="G983">
        <v>1</v>
      </c>
      <c r="H983">
        <v>900</v>
      </c>
      <c r="I983">
        <v>765</v>
      </c>
    </row>
    <row r="984" spans="1:9" x14ac:dyDescent="0.3">
      <c r="A984">
        <v>981</v>
      </c>
      <c r="B984" s="24">
        <v>44446</v>
      </c>
      <c r="C984" t="s">
        <v>81</v>
      </c>
      <c r="D984" t="s">
        <v>18</v>
      </c>
      <c r="E984" t="s">
        <v>17</v>
      </c>
      <c r="F984">
        <v>600</v>
      </c>
      <c r="G984">
        <v>1</v>
      </c>
      <c r="H984">
        <v>600</v>
      </c>
      <c r="I984">
        <v>600</v>
      </c>
    </row>
    <row r="985" spans="1:9" x14ac:dyDescent="0.3">
      <c r="A985">
        <v>982</v>
      </c>
      <c r="B985" s="24">
        <v>44447</v>
      </c>
      <c r="C985" t="s">
        <v>81</v>
      </c>
      <c r="D985" t="s">
        <v>12</v>
      </c>
      <c r="E985" t="s">
        <v>11</v>
      </c>
      <c r="F985">
        <v>900</v>
      </c>
      <c r="G985">
        <v>1</v>
      </c>
      <c r="H985">
        <v>900</v>
      </c>
      <c r="I985">
        <v>765</v>
      </c>
    </row>
    <row r="986" spans="1:9" x14ac:dyDescent="0.3">
      <c r="A986">
        <v>983</v>
      </c>
      <c r="B986" s="24">
        <v>44448</v>
      </c>
      <c r="C986" t="s">
        <v>81</v>
      </c>
      <c r="D986" t="s">
        <v>18</v>
      </c>
      <c r="E986" t="s">
        <v>17</v>
      </c>
      <c r="F986">
        <v>600</v>
      </c>
      <c r="G986">
        <v>1</v>
      </c>
      <c r="H986">
        <v>600</v>
      </c>
      <c r="I986">
        <v>600</v>
      </c>
    </row>
    <row r="987" spans="1:9" x14ac:dyDescent="0.3">
      <c r="A987">
        <v>984</v>
      </c>
      <c r="B987" s="24">
        <v>44449</v>
      </c>
      <c r="C987" t="s">
        <v>81</v>
      </c>
      <c r="D987" t="s">
        <v>14</v>
      </c>
      <c r="E987" t="s">
        <v>11</v>
      </c>
      <c r="F987">
        <v>900</v>
      </c>
      <c r="G987">
        <v>1</v>
      </c>
      <c r="H987">
        <v>900</v>
      </c>
      <c r="I987">
        <v>900</v>
      </c>
    </row>
    <row r="988" spans="1:9" x14ac:dyDescent="0.3">
      <c r="A988">
        <v>985</v>
      </c>
      <c r="B988" s="24">
        <v>44450</v>
      </c>
      <c r="C988" t="s">
        <v>81</v>
      </c>
      <c r="D988" t="s">
        <v>10</v>
      </c>
      <c r="E988" t="s">
        <v>11</v>
      </c>
      <c r="F988">
        <v>1100</v>
      </c>
      <c r="G988">
        <v>2</v>
      </c>
      <c r="H988">
        <v>2200</v>
      </c>
      <c r="I988">
        <v>2200</v>
      </c>
    </row>
    <row r="989" spans="1:9" x14ac:dyDescent="0.3">
      <c r="A989">
        <v>986</v>
      </c>
      <c r="B989" s="24">
        <v>44451</v>
      </c>
      <c r="C989" t="s">
        <v>81</v>
      </c>
      <c r="D989" t="s">
        <v>18</v>
      </c>
      <c r="E989" t="s">
        <v>17</v>
      </c>
      <c r="F989">
        <v>600</v>
      </c>
      <c r="G989">
        <v>1</v>
      </c>
      <c r="H989">
        <v>600</v>
      </c>
      <c r="I989">
        <v>600</v>
      </c>
    </row>
    <row r="990" spans="1:9" x14ac:dyDescent="0.3">
      <c r="A990">
        <v>987</v>
      </c>
      <c r="B990" s="24">
        <v>44452</v>
      </c>
      <c r="C990" t="s">
        <v>81</v>
      </c>
      <c r="D990" t="s">
        <v>18</v>
      </c>
      <c r="E990" t="s">
        <v>17</v>
      </c>
      <c r="F990">
        <v>600</v>
      </c>
      <c r="G990">
        <v>1</v>
      </c>
      <c r="H990">
        <v>600</v>
      </c>
      <c r="I990">
        <v>600</v>
      </c>
    </row>
    <row r="991" spans="1:9" x14ac:dyDescent="0.3">
      <c r="A991">
        <v>988</v>
      </c>
      <c r="B991" s="24">
        <v>44453</v>
      </c>
      <c r="C991" t="s">
        <v>81</v>
      </c>
      <c r="D991" t="s">
        <v>14</v>
      </c>
      <c r="E991" t="s">
        <v>11</v>
      </c>
      <c r="F991">
        <v>900</v>
      </c>
      <c r="G991">
        <v>1</v>
      </c>
      <c r="H991">
        <v>900</v>
      </c>
      <c r="I991">
        <v>900</v>
      </c>
    </row>
    <row r="992" spans="1:9" x14ac:dyDescent="0.3">
      <c r="A992">
        <v>989</v>
      </c>
      <c r="B992" s="24">
        <v>44454</v>
      </c>
      <c r="C992" t="s">
        <v>81</v>
      </c>
      <c r="D992" t="s">
        <v>10</v>
      </c>
      <c r="E992" t="s">
        <v>11</v>
      </c>
      <c r="F992">
        <v>1100</v>
      </c>
      <c r="G992">
        <v>1</v>
      </c>
      <c r="H992">
        <v>1100</v>
      </c>
      <c r="I992">
        <v>1100</v>
      </c>
    </row>
    <row r="993" spans="1:9" x14ac:dyDescent="0.3">
      <c r="A993">
        <v>990</v>
      </c>
      <c r="B993" s="24">
        <v>44455</v>
      </c>
      <c r="C993" t="s">
        <v>81</v>
      </c>
      <c r="D993" t="s">
        <v>18</v>
      </c>
      <c r="E993" t="s">
        <v>17</v>
      </c>
      <c r="F993">
        <v>600</v>
      </c>
      <c r="G993">
        <v>1</v>
      </c>
      <c r="H993">
        <v>600</v>
      </c>
      <c r="I993">
        <v>600</v>
      </c>
    </row>
    <row r="994" spans="1:9" x14ac:dyDescent="0.3">
      <c r="A994">
        <v>991</v>
      </c>
      <c r="B994" s="24">
        <v>44456</v>
      </c>
      <c r="C994" t="s">
        <v>81</v>
      </c>
      <c r="D994" t="s">
        <v>24</v>
      </c>
      <c r="E994" t="s">
        <v>23</v>
      </c>
      <c r="F994">
        <v>600</v>
      </c>
      <c r="G994">
        <v>1</v>
      </c>
      <c r="H994">
        <v>600</v>
      </c>
      <c r="I994">
        <v>600</v>
      </c>
    </row>
    <row r="995" spans="1:9" x14ac:dyDescent="0.3">
      <c r="A995">
        <v>992</v>
      </c>
      <c r="B995" s="24">
        <v>44457</v>
      </c>
      <c r="C995" t="s">
        <v>81</v>
      </c>
      <c r="D995" t="s">
        <v>18</v>
      </c>
      <c r="E995" t="s">
        <v>17</v>
      </c>
      <c r="F995">
        <v>600</v>
      </c>
      <c r="G995">
        <v>1</v>
      </c>
      <c r="H995">
        <v>600</v>
      </c>
      <c r="I995">
        <v>600</v>
      </c>
    </row>
    <row r="996" spans="1:9" x14ac:dyDescent="0.3">
      <c r="A996">
        <v>993</v>
      </c>
      <c r="B996" s="24">
        <v>44458</v>
      </c>
      <c r="C996" t="s">
        <v>81</v>
      </c>
      <c r="D996" t="s">
        <v>24</v>
      </c>
      <c r="E996" t="s">
        <v>23</v>
      </c>
      <c r="F996">
        <v>600</v>
      </c>
      <c r="G996">
        <v>1</v>
      </c>
      <c r="H996">
        <v>600</v>
      </c>
      <c r="I996">
        <v>600</v>
      </c>
    </row>
    <row r="997" spans="1:9" x14ac:dyDescent="0.3">
      <c r="A997">
        <v>994</v>
      </c>
      <c r="B997" s="24">
        <v>44459</v>
      </c>
      <c r="C997" t="s">
        <v>81</v>
      </c>
      <c r="D997" t="s">
        <v>24</v>
      </c>
      <c r="E997" t="s">
        <v>23</v>
      </c>
      <c r="F997">
        <v>600</v>
      </c>
      <c r="G997">
        <v>2</v>
      </c>
      <c r="H997">
        <v>1200</v>
      </c>
      <c r="I997">
        <v>1200</v>
      </c>
    </row>
    <row r="998" spans="1:9" x14ac:dyDescent="0.3">
      <c r="A998">
        <v>995</v>
      </c>
      <c r="B998" s="24">
        <v>44460</v>
      </c>
      <c r="C998" t="s">
        <v>81</v>
      </c>
      <c r="D998" t="s">
        <v>18</v>
      </c>
      <c r="E998" t="s">
        <v>17</v>
      </c>
      <c r="F998">
        <v>600</v>
      </c>
      <c r="G998">
        <v>1</v>
      </c>
      <c r="H998">
        <v>600</v>
      </c>
      <c r="I998">
        <v>600</v>
      </c>
    </row>
    <row r="999" spans="1:9" x14ac:dyDescent="0.3">
      <c r="A999">
        <v>996</v>
      </c>
      <c r="B999" s="24">
        <v>44461</v>
      </c>
      <c r="C999" t="s">
        <v>81</v>
      </c>
      <c r="D999" t="s">
        <v>10</v>
      </c>
      <c r="E999" t="s">
        <v>11</v>
      </c>
      <c r="F999">
        <v>1100</v>
      </c>
      <c r="G999">
        <v>3</v>
      </c>
      <c r="H999">
        <v>3300</v>
      </c>
      <c r="I999">
        <v>3300</v>
      </c>
    </row>
    <row r="1000" spans="1:9" x14ac:dyDescent="0.3">
      <c r="A1000">
        <v>997</v>
      </c>
      <c r="B1000" s="24">
        <v>44462</v>
      </c>
      <c r="C1000" t="s">
        <v>81</v>
      </c>
      <c r="D1000" t="s">
        <v>10</v>
      </c>
      <c r="E1000" t="s">
        <v>11</v>
      </c>
      <c r="F1000">
        <v>1100</v>
      </c>
      <c r="G1000">
        <v>1</v>
      </c>
      <c r="H1000">
        <v>1100</v>
      </c>
      <c r="I1000">
        <v>1100</v>
      </c>
    </row>
    <row r="1001" spans="1:9" x14ac:dyDescent="0.3">
      <c r="A1001">
        <v>998</v>
      </c>
      <c r="B1001" s="24">
        <v>44463</v>
      </c>
      <c r="C1001" t="s">
        <v>81</v>
      </c>
      <c r="D1001" t="s">
        <v>19</v>
      </c>
      <c r="E1001" t="s">
        <v>20</v>
      </c>
      <c r="F1001">
        <v>850</v>
      </c>
      <c r="G1001">
        <v>1</v>
      </c>
      <c r="H1001">
        <v>850</v>
      </c>
      <c r="I1001">
        <v>850</v>
      </c>
    </row>
    <row r="1002" spans="1:9" x14ac:dyDescent="0.3">
      <c r="A1002">
        <v>999</v>
      </c>
      <c r="B1002" s="24">
        <v>44464</v>
      </c>
      <c r="C1002" t="s">
        <v>81</v>
      </c>
      <c r="D1002" t="s">
        <v>21</v>
      </c>
      <c r="E1002" t="s">
        <v>20</v>
      </c>
      <c r="F1002">
        <v>1200</v>
      </c>
      <c r="G1002">
        <v>1</v>
      </c>
      <c r="H1002">
        <v>1200</v>
      </c>
      <c r="I1002">
        <v>1200</v>
      </c>
    </row>
    <row r="1003" spans="1:9" x14ac:dyDescent="0.3">
      <c r="A1003">
        <v>1000</v>
      </c>
      <c r="B1003" s="24">
        <v>44465</v>
      </c>
      <c r="C1003" t="s">
        <v>81</v>
      </c>
      <c r="D1003" t="s">
        <v>16</v>
      </c>
      <c r="E1003" t="s">
        <v>17</v>
      </c>
      <c r="F1003">
        <v>800</v>
      </c>
      <c r="G1003">
        <v>1</v>
      </c>
      <c r="H1003">
        <v>800</v>
      </c>
      <c r="I1003">
        <v>800</v>
      </c>
    </row>
    <row r="1004" spans="1:9" x14ac:dyDescent="0.3">
      <c r="A1004">
        <v>1001</v>
      </c>
      <c r="B1004" s="24">
        <v>44466</v>
      </c>
      <c r="C1004" t="s">
        <v>81</v>
      </c>
      <c r="D1004" t="s">
        <v>14</v>
      </c>
      <c r="E1004" t="s">
        <v>11</v>
      </c>
      <c r="F1004">
        <v>900</v>
      </c>
      <c r="G1004">
        <v>1</v>
      </c>
      <c r="H1004">
        <v>900</v>
      </c>
      <c r="I1004">
        <v>900</v>
      </c>
    </row>
    <row r="1005" spans="1:9" x14ac:dyDescent="0.3">
      <c r="A1005">
        <v>1002</v>
      </c>
      <c r="B1005" s="24">
        <v>44467</v>
      </c>
      <c r="C1005" t="s">
        <v>81</v>
      </c>
      <c r="D1005" t="s">
        <v>10</v>
      </c>
      <c r="E1005" t="s">
        <v>11</v>
      </c>
      <c r="F1005">
        <v>1100</v>
      </c>
      <c r="G1005">
        <v>1</v>
      </c>
      <c r="H1005">
        <v>1100</v>
      </c>
      <c r="I1005">
        <v>1100</v>
      </c>
    </row>
    <row r="1006" spans="1:9" x14ac:dyDescent="0.3">
      <c r="A1006">
        <v>1003</v>
      </c>
      <c r="B1006" s="24">
        <v>44468</v>
      </c>
      <c r="C1006" t="s">
        <v>81</v>
      </c>
      <c r="D1006" t="s">
        <v>12</v>
      </c>
      <c r="E1006" t="s">
        <v>11</v>
      </c>
      <c r="F1006">
        <v>900</v>
      </c>
      <c r="G1006">
        <v>1</v>
      </c>
      <c r="H1006">
        <v>900</v>
      </c>
      <c r="I1006">
        <v>765</v>
      </c>
    </row>
    <row r="1007" spans="1:9" x14ac:dyDescent="0.3">
      <c r="A1007">
        <v>1004</v>
      </c>
      <c r="B1007" s="24">
        <v>44469</v>
      </c>
      <c r="C1007" t="s">
        <v>81</v>
      </c>
      <c r="D1007" t="s">
        <v>10</v>
      </c>
      <c r="E1007" t="s">
        <v>11</v>
      </c>
      <c r="F1007">
        <v>1100</v>
      </c>
      <c r="G1007">
        <v>1</v>
      </c>
      <c r="H1007">
        <v>1100</v>
      </c>
      <c r="I1007">
        <v>1100</v>
      </c>
    </row>
    <row r="1008" spans="1:9" x14ac:dyDescent="0.3">
      <c r="A1008">
        <v>1005</v>
      </c>
      <c r="B1008" s="24">
        <v>44470</v>
      </c>
      <c r="C1008" t="s">
        <v>81</v>
      </c>
      <c r="D1008" t="s">
        <v>22</v>
      </c>
      <c r="E1008" t="s">
        <v>23</v>
      </c>
      <c r="F1008">
        <v>900</v>
      </c>
      <c r="G1008">
        <v>1</v>
      </c>
      <c r="H1008">
        <v>900</v>
      </c>
      <c r="I1008">
        <v>900</v>
      </c>
    </row>
    <row r="1009" spans="1:9" x14ac:dyDescent="0.3">
      <c r="A1009">
        <v>1006</v>
      </c>
      <c r="B1009" s="24">
        <v>44471</v>
      </c>
      <c r="C1009" t="s">
        <v>81</v>
      </c>
      <c r="D1009" t="s">
        <v>22</v>
      </c>
      <c r="E1009" t="s">
        <v>23</v>
      </c>
      <c r="F1009">
        <v>500</v>
      </c>
      <c r="G1009">
        <v>1</v>
      </c>
      <c r="H1009">
        <v>500</v>
      </c>
      <c r="I1009">
        <v>500</v>
      </c>
    </row>
    <row r="1010" spans="1:9" x14ac:dyDescent="0.3">
      <c r="A1010">
        <v>1007</v>
      </c>
      <c r="B1010" s="24">
        <v>44472</v>
      </c>
      <c r="C1010" t="s">
        <v>81</v>
      </c>
      <c r="D1010" t="s">
        <v>15</v>
      </c>
      <c r="E1010" t="s">
        <v>11</v>
      </c>
      <c r="F1010">
        <v>1000</v>
      </c>
      <c r="G1010">
        <v>1</v>
      </c>
      <c r="H1010">
        <v>1000</v>
      </c>
      <c r="I1010">
        <v>1000</v>
      </c>
    </row>
    <row r="1011" spans="1:9" x14ac:dyDescent="0.3">
      <c r="A1011">
        <v>1008</v>
      </c>
      <c r="B1011" s="24">
        <v>44473</v>
      </c>
      <c r="C1011" t="s">
        <v>81</v>
      </c>
      <c r="D1011" t="s">
        <v>24</v>
      </c>
      <c r="E1011" t="s">
        <v>23</v>
      </c>
      <c r="F1011">
        <v>600</v>
      </c>
      <c r="G1011">
        <v>1</v>
      </c>
      <c r="H1011">
        <v>600</v>
      </c>
      <c r="I1011">
        <v>600</v>
      </c>
    </row>
    <row r="1012" spans="1:9" x14ac:dyDescent="0.3">
      <c r="A1012">
        <v>1009</v>
      </c>
      <c r="B1012" s="24">
        <v>44474</v>
      </c>
      <c r="C1012" t="s">
        <v>81</v>
      </c>
      <c r="D1012" t="s">
        <v>12</v>
      </c>
      <c r="E1012" t="s">
        <v>11</v>
      </c>
      <c r="F1012">
        <v>900</v>
      </c>
      <c r="G1012">
        <v>2</v>
      </c>
      <c r="H1012">
        <v>1800</v>
      </c>
      <c r="I1012">
        <v>1530</v>
      </c>
    </row>
    <row r="1013" spans="1:9" x14ac:dyDescent="0.3">
      <c r="A1013">
        <v>1010</v>
      </c>
      <c r="B1013" s="24">
        <v>44475</v>
      </c>
      <c r="C1013" t="s">
        <v>81</v>
      </c>
      <c r="D1013" t="s">
        <v>19</v>
      </c>
      <c r="E1013" t="s">
        <v>20</v>
      </c>
      <c r="F1013">
        <v>850</v>
      </c>
      <c r="G1013">
        <v>1</v>
      </c>
      <c r="H1013">
        <v>850</v>
      </c>
      <c r="I1013">
        <v>850</v>
      </c>
    </row>
    <row r="1014" spans="1:9" x14ac:dyDescent="0.3">
      <c r="A1014">
        <v>1011</v>
      </c>
      <c r="B1014" s="24">
        <v>44476</v>
      </c>
      <c r="C1014" t="s">
        <v>81</v>
      </c>
      <c r="D1014" t="s">
        <v>16</v>
      </c>
      <c r="E1014" t="s">
        <v>17</v>
      </c>
      <c r="F1014">
        <v>800</v>
      </c>
      <c r="G1014">
        <v>1</v>
      </c>
      <c r="H1014">
        <v>800</v>
      </c>
      <c r="I1014">
        <v>800</v>
      </c>
    </row>
    <row r="1015" spans="1:9" x14ac:dyDescent="0.3">
      <c r="A1015">
        <v>1012</v>
      </c>
      <c r="B1015" s="24">
        <v>44477</v>
      </c>
      <c r="C1015" t="s">
        <v>81</v>
      </c>
      <c r="D1015" t="s">
        <v>12</v>
      </c>
      <c r="E1015" t="s">
        <v>11</v>
      </c>
      <c r="F1015">
        <v>900</v>
      </c>
      <c r="G1015">
        <v>1</v>
      </c>
      <c r="H1015">
        <v>900</v>
      </c>
      <c r="I1015">
        <v>765</v>
      </c>
    </row>
    <row r="1016" spans="1:9" x14ac:dyDescent="0.3">
      <c r="A1016">
        <v>1013</v>
      </c>
      <c r="B1016" s="24">
        <v>44478</v>
      </c>
      <c r="C1016" t="s">
        <v>81</v>
      </c>
      <c r="D1016" t="s">
        <v>12</v>
      </c>
      <c r="E1016" t="s">
        <v>11</v>
      </c>
      <c r="F1016">
        <v>900</v>
      </c>
      <c r="G1016">
        <v>1</v>
      </c>
      <c r="H1016">
        <v>900</v>
      </c>
      <c r="I1016">
        <v>765</v>
      </c>
    </row>
    <row r="1017" spans="1:9" x14ac:dyDescent="0.3">
      <c r="A1017">
        <v>1014</v>
      </c>
      <c r="B1017" s="24">
        <v>44479</v>
      </c>
      <c r="C1017" t="s">
        <v>81</v>
      </c>
      <c r="D1017" t="s">
        <v>10</v>
      </c>
      <c r="E1017" t="s">
        <v>11</v>
      </c>
      <c r="F1017">
        <v>1100</v>
      </c>
      <c r="G1017">
        <v>1</v>
      </c>
      <c r="H1017">
        <v>1100</v>
      </c>
      <c r="I1017">
        <v>1100</v>
      </c>
    </row>
    <row r="1018" spans="1:9" x14ac:dyDescent="0.3">
      <c r="A1018">
        <v>1015</v>
      </c>
      <c r="B1018" s="24">
        <v>44480</v>
      </c>
      <c r="C1018" t="s">
        <v>81</v>
      </c>
      <c r="D1018" t="s">
        <v>14</v>
      </c>
      <c r="E1018" t="s">
        <v>11</v>
      </c>
      <c r="F1018">
        <v>900</v>
      </c>
      <c r="G1018">
        <v>1</v>
      </c>
      <c r="H1018">
        <v>900</v>
      </c>
      <c r="I1018">
        <v>900</v>
      </c>
    </row>
    <row r="1019" spans="1:9" x14ac:dyDescent="0.3">
      <c r="A1019">
        <v>1016</v>
      </c>
      <c r="B1019" s="24">
        <v>44481</v>
      </c>
      <c r="C1019" t="s">
        <v>81</v>
      </c>
      <c r="D1019" t="s">
        <v>18</v>
      </c>
      <c r="E1019" t="s">
        <v>17</v>
      </c>
      <c r="F1019">
        <v>600</v>
      </c>
      <c r="G1019">
        <v>1</v>
      </c>
      <c r="H1019">
        <v>600</v>
      </c>
      <c r="I1019">
        <v>600</v>
      </c>
    </row>
    <row r="1020" spans="1:9" x14ac:dyDescent="0.3">
      <c r="A1020">
        <v>1017</v>
      </c>
      <c r="B1020" s="24">
        <v>44482</v>
      </c>
      <c r="C1020" t="s">
        <v>81</v>
      </c>
      <c r="D1020" t="s">
        <v>18</v>
      </c>
      <c r="E1020" t="s">
        <v>17</v>
      </c>
      <c r="F1020">
        <v>600</v>
      </c>
      <c r="G1020">
        <v>1</v>
      </c>
      <c r="H1020">
        <v>600</v>
      </c>
      <c r="I1020">
        <v>600</v>
      </c>
    </row>
    <row r="1021" spans="1:9" x14ac:dyDescent="0.3">
      <c r="A1021">
        <v>1018</v>
      </c>
      <c r="B1021" s="24">
        <v>44483</v>
      </c>
      <c r="C1021" t="s">
        <v>81</v>
      </c>
      <c r="D1021" t="s">
        <v>14</v>
      </c>
      <c r="E1021" t="s">
        <v>11</v>
      </c>
      <c r="F1021">
        <v>900</v>
      </c>
      <c r="G1021">
        <v>1</v>
      </c>
      <c r="H1021">
        <v>900</v>
      </c>
      <c r="I1021">
        <v>900</v>
      </c>
    </row>
    <row r="1022" spans="1:9" x14ac:dyDescent="0.3">
      <c r="A1022">
        <v>1019</v>
      </c>
      <c r="B1022" s="24">
        <v>44484</v>
      </c>
      <c r="C1022" t="s">
        <v>81</v>
      </c>
      <c r="D1022" t="s">
        <v>19</v>
      </c>
      <c r="E1022" t="s">
        <v>20</v>
      </c>
      <c r="F1022">
        <v>850</v>
      </c>
      <c r="G1022">
        <v>1</v>
      </c>
      <c r="H1022">
        <v>850</v>
      </c>
      <c r="I1022">
        <v>850</v>
      </c>
    </row>
    <row r="1023" spans="1:9" x14ac:dyDescent="0.3">
      <c r="A1023">
        <v>1020</v>
      </c>
      <c r="B1023" s="24">
        <v>44485</v>
      </c>
      <c r="C1023" t="s">
        <v>81</v>
      </c>
      <c r="D1023" t="s">
        <v>14</v>
      </c>
      <c r="E1023" t="s">
        <v>11</v>
      </c>
      <c r="F1023">
        <v>900</v>
      </c>
      <c r="G1023">
        <v>1</v>
      </c>
      <c r="H1023">
        <v>900</v>
      </c>
      <c r="I1023">
        <v>900</v>
      </c>
    </row>
    <row r="1024" spans="1:9" x14ac:dyDescent="0.3">
      <c r="A1024">
        <v>1021</v>
      </c>
      <c r="B1024" s="24">
        <v>44486</v>
      </c>
      <c r="C1024" t="s">
        <v>81</v>
      </c>
      <c r="D1024" t="s">
        <v>18</v>
      </c>
      <c r="E1024" t="s">
        <v>17</v>
      </c>
      <c r="F1024">
        <v>600</v>
      </c>
      <c r="G1024">
        <v>1</v>
      </c>
      <c r="H1024">
        <v>600</v>
      </c>
      <c r="I1024">
        <v>600</v>
      </c>
    </row>
    <row r="1025" spans="1:9" x14ac:dyDescent="0.3">
      <c r="A1025">
        <v>1022</v>
      </c>
      <c r="B1025" s="24">
        <v>44487</v>
      </c>
      <c r="C1025" t="s">
        <v>80</v>
      </c>
      <c r="D1025" t="s">
        <v>18</v>
      </c>
      <c r="E1025" t="s">
        <v>17</v>
      </c>
      <c r="F1025">
        <v>600</v>
      </c>
      <c r="G1025">
        <v>1</v>
      </c>
      <c r="H1025">
        <v>600</v>
      </c>
      <c r="I1025">
        <v>600</v>
      </c>
    </row>
    <row r="1026" spans="1:9" x14ac:dyDescent="0.3">
      <c r="A1026">
        <v>1023</v>
      </c>
      <c r="B1026" s="24">
        <v>44488</v>
      </c>
      <c r="C1026" t="s">
        <v>80</v>
      </c>
      <c r="D1026" t="s">
        <v>10</v>
      </c>
      <c r="E1026" t="s">
        <v>11</v>
      </c>
      <c r="F1026">
        <v>1100</v>
      </c>
      <c r="G1026">
        <v>1</v>
      </c>
      <c r="H1026">
        <v>1100</v>
      </c>
      <c r="I1026">
        <v>1100</v>
      </c>
    </row>
    <row r="1027" spans="1:9" x14ac:dyDescent="0.3">
      <c r="A1027">
        <v>1024</v>
      </c>
      <c r="B1027" s="24">
        <v>44489</v>
      </c>
      <c r="C1027" t="s">
        <v>80</v>
      </c>
      <c r="D1027" t="s">
        <v>12</v>
      </c>
      <c r="E1027" t="s">
        <v>11</v>
      </c>
      <c r="F1027">
        <v>900</v>
      </c>
      <c r="G1027">
        <v>1</v>
      </c>
      <c r="H1027">
        <v>900</v>
      </c>
      <c r="I1027">
        <v>765</v>
      </c>
    </row>
    <row r="1028" spans="1:9" x14ac:dyDescent="0.3">
      <c r="A1028">
        <v>1025</v>
      </c>
      <c r="B1028" s="24">
        <v>44490</v>
      </c>
      <c r="C1028" t="s">
        <v>80</v>
      </c>
      <c r="D1028" t="s">
        <v>10</v>
      </c>
      <c r="E1028" t="s">
        <v>11</v>
      </c>
      <c r="F1028">
        <v>1100</v>
      </c>
      <c r="G1028">
        <v>1</v>
      </c>
      <c r="H1028">
        <v>1100</v>
      </c>
      <c r="I1028">
        <v>1100</v>
      </c>
    </row>
    <row r="1029" spans="1:9" x14ac:dyDescent="0.3">
      <c r="A1029">
        <v>1026</v>
      </c>
      <c r="B1029" s="24">
        <v>44491</v>
      </c>
      <c r="C1029" t="s">
        <v>80</v>
      </c>
      <c r="D1029" t="s">
        <v>18</v>
      </c>
      <c r="E1029" t="s">
        <v>17</v>
      </c>
      <c r="F1029">
        <v>600</v>
      </c>
      <c r="G1029">
        <v>1</v>
      </c>
      <c r="H1029">
        <v>600</v>
      </c>
      <c r="I1029">
        <v>600</v>
      </c>
    </row>
    <row r="1030" spans="1:9" x14ac:dyDescent="0.3">
      <c r="A1030">
        <v>1027</v>
      </c>
      <c r="B1030" s="24">
        <v>44492</v>
      </c>
      <c r="C1030" t="s">
        <v>80</v>
      </c>
      <c r="D1030" t="s">
        <v>21</v>
      </c>
      <c r="E1030" t="s">
        <v>20</v>
      </c>
      <c r="F1030">
        <v>1200</v>
      </c>
      <c r="G1030">
        <v>1</v>
      </c>
      <c r="H1030">
        <v>1200</v>
      </c>
      <c r="I1030">
        <v>1200</v>
      </c>
    </row>
    <row r="1031" spans="1:9" x14ac:dyDescent="0.3">
      <c r="A1031">
        <v>1028</v>
      </c>
      <c r="B1031" s="24">
        <v>44493</v>
      </c>
      <c r="C1031" t="s">
        <v>80</v>
      </c>
      <c r="D1031" t="s">
        <v>24</v>
      </c>
      <c r="E1031" t="s">
        <v>23</v>
      </c>
      <c r="F1031">
        <v>600</v>
      </c>
      <c r="G1031">
        <v>1</v>
      </c>
      <c r="H1031">
        <v>600</v>
      </c>
      <c r="I1031">
        <v>600</v>
      </c>
    </row>
    <row r="1032" spans="1:9" x14ac:dyDescent="0.3">
      <c r="A1032">
        <v>1029</v>
      </c>
      <c r="B1032" s="24">
        <v>44494</v>
      </c>
      <c r="C1032" t="s">
        <v>80</v>
      </c>
      <c r="D1032" t="s">
        <v>10</v>
      </c>
      <c r="E1032" t="s">
        <v>11</v>
      </c>
      <c r="F1032">
        <v>1100</v>
      </c>
      <c r="G1032">
        <v>1</v>
      </c>
      <c r="H1032">
        <v>1100</v>
      </c>
      <c r="I1032">
        <v>1100</v>
      </c>
    </row>
    <row r="1033" spans="1:9" x14ac:dyDescent="0.3">
      <c r="A1033">
        <v>1030</v>
      </c>
      <c r="B1033" s="24">
        <v>44495</v>
      </c>
      <c r="C1033" t="s">
        <v>80</v>
      </c>
      <c r="D1033" t="s">
        <v>22</v>
      </c>
      <c r="E1033" t="s">
        <v>23</v>
      </c>
      <c r="F1033">
        <v>500</v>
      </c>
      <c r="G1033">
        <v>1</v>
      </c>
      <c r="H1033">
        <v>500</v>
      </c>
      <c r="I1033">
        <v>500</v>
      </c>
    </row>
    <row r="1034" spans="1:9" x14ac:dyDescent="0.3">
      <c r="A1034">
        <v>1031</v>
      </c>
      <c r="B1034" s="24">
        <v>44496</v>
      </c>
      <c r="C1034" t="s">
        <v>81</v>
      </c>
      <c r="D1034" t="s">
        <v>12</v>
      </c>
      <c r="E1034" t="s">
        <v>11</v>
      </c>
      <c r="F1034">
        <v>900</v>
      </c>
      <c r="G1034">
        <v>1</v>
      </c>
      <c r="H1034">
        <v>900</v>
      </c>
      <c r="I1034">
        <v>765</v>
      </c>
    </row>
    <row r="1035" spans="1:9" x14ac:dyDescent="0.3">
      <c r="A1035">
        <v>1032</v>
      </c>
      <c r="B1035" s="24">
        <v>44497</v>
      </c>
      <c r="C1035" t="s">
        <v>81</v>
      </c>
      <c r="D1035" t="s">
        <v>19</v>
      </c>
      <c r="E1035" t="s">
        <v>20</v>
      </c>
      <c r="F1035">
        <v>850</v>
      </c>
      <c r="G1035">
        <v>1</v>
      </c>
      <c r="H1035">
        <v>850</v>
      </c>
      <c r="I1035">
        <v>850</v>
      </c>
    </row>
    <row r="1036" spans="1:9" x14ac:dyDescent="0.3">
      <c r="A1036">
        <v>1033</v>
      </c>
      <c r="B1036" s="24">
        <v>44498</v>
      </c>
      <c r="C1036" t="s">
        <v>81</v>
      </c>
      <c r="D1036" t="s">
        <v>18</v>
      </c>
      <c r="E1036" t="s">
        <v>17</v>
      </c>
      <c r="F1036">
        <v>600</v>
      </c>
      <c r="G1036">
        <v>1</v>
      </c>
      <c r="H1036">
        <v>600</v>
      </c>
      <c r="I1036">
        <v>600</v>
      </c>
    </row>
    <row r="1037" spans="1:9" x14ac:dyDescent="0.3">
      <c r="A1037">
        <v>1034</v>
      </c>
      <c r="B1037" s="24">
        <v>44499</v>
      </c>
      <c r="C1037" t="s">
        <v>81</v>
      </c>
      <c r="D1037" t="s">
        <v>10</v>
      </c>
      <c r="E1037" t="s">
        <v>11</v>
      </c>
      <c r="F1037">
        <v>1100</v>
      </c>
      <c r="G1037">
        <v>1</v>
      </c>
      <c r="H1037">
        <v>1100</v>
      </c>
      <c r="I1037">
        <v>1100</v>
      </c>
    </row>
    <row r="1038" spans="1:9" x14ac:dyDescent="0.3">
      <c r="A1038">
        <v>1035</v>
      </c>
      <c r="B1038" s="24">
        <v>44500</v>
      </c>
      <c r="C1038" t="s">
        <v>81</v>
      </c>
      <c r="D1038" t="s">
        <v>22</v>
      </c>
      <c r="E1038" t="s">
        <v>23</v>
      </c>
      <c r="F1038">
        <v>500</v>
      </c>
      <c r="G1038">
        <v>1</v>
      </c>
      <c r="H1038">
        <v>500</v>
      </c>
      <c r="I1038">
        <v>500</v>
      </c>
    </row>
    <row r="1039" spans="1:9" x14ac:dyDescent="0.3">
      <c r="A1039">
        <v>1036</v>
      </c>
      <c r="B1039" s="24">
        <v>44501</v>
      </c>
      <c r="C1039" t="s">
        <v>81</v>
      </c>
      <c r="D1039" t="s">
        <v>18</v>
      </c>
      <c r="E1039" t="s">
        <v>17</v>
      </c>
      <c r="F1039">
        <v>600</v>
      </c>
      <c r="G1039">
        <v>1</v>
      </c>
      <c r="H1039">
        <v>600</v>
      </c>
      <c r="I1039">
        <v>600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B2:H1042"/>
  <sheetViews>
    <sheetView zoomScale="130" zoomScaleNormal="130" workbookViewId="0">
      <selection activeCell="G7" sqref="G7"/>
    </sheetView>
  </sheetViews>
  <sheetFormatPr defaultRowHeight="14.4" x14ac:dyDescent="0.3"/>
  <cols>
    <col min="1" max="1" width="2.33203125" style="2" customWidth="1"/>
    <col min="2" max="2" width="12.21875" style="2" customWidth="1"/>
    <col min="3" max="3" width="12.33203125" style="2" customWidth="1"/>
    <col min="4" max="4" width="16.6640625" style="2" customWidth="1"/>
    <col min="5" max="5" width="12.6640625" style="2" bestFit="1" customWidth="1"/>
    <col min="6" max="6" width="15.6640625" style="2" customWidth="1"/>
    <col min="7" max="7" width="12.88671875" style="2" customWidth="1"/>
    <col min="8" max="8" width="14.33203125" style="2" customWidth="1"/>
    <col min="9" max="16384" width="8.88671875" style="2"/>
  </cols>
  <sheetData>
    <row r="2" spans="2:8" ht="18" x14ac:dyDescent="0.35">
      <c r="B2" s="1" t="s">
        <v>0</v>
      </c>
    </row>
    <row r="4" spans="2:8" x14ac:dyDescent="0.3">
      <c r="B4" s="18" t="s">
        <v>1</v>
      </c>
      <c r="C4" s="18" t="s">
        <v>2</v>
      </c>
      <c r="D4" s="18" t="s">
        <v>3</v>
      </c>
      <c r="E4" s="18" t="s">
        <v>4</v>
      </c>
      <c r="F4" s="18" t="s">
        <v>5</v>
      </c>
      <c r="G4" s="18" t="s">
        <v>6</v>
      </c>
      <c r="H4" s="18" t="s">
        <v>7</v>
      </c>
    </row>
    <row r="5" spans="2:8" x14ac:dyDescent="0.3">
      <c r="B5" s="15">
        <v>1</v>
      </c>
      <c r="C5" s="14">
        <v>43466</v>
      </c>
      <c r="D5" s="15" t="s">
        <v>9</v>
      </c>
      <c r="E5" s="15" t="s">
        <v>10</v>
      </c>
      <c r="F5" s="15" t="s">
        <v>11</v>
      </c>
      <c r="G5" s="15">
        <v>1100</v>
      </c>
      <c r="H5" s="15">
        <v>1</v>
      </c>
    </row>
    <row r="6" spans="2:8" x14ac:dyDescent="0.3">
      <c r="B6" s="15">
        <v>2</v>
      </c>
      <c r="C6" s="14">
        <v>43467</v>
      </c>
      <c r="D6" s="15" t="s">
        <v>9</v>
      </c>
      <c r="E6" s="15" t="s">
        <v>10</v>
      </c>
      <c r="F6" s="15" t="s">
        <v>11</v>
      </c>
      <c r="G6" s="15">
        <v>1100</v>
      </c>
      <c r="H6" s="15">
        <v>1</v>
      </c>
    </row>
    <row r="7" spans="2:8" x14ac:dyDescent="0.3">
      <c r="B7" s="15">
        <v>3</v>
      </c>
      <c r="C7" s="14">
        <v>43468</v>
      </c>
      <c r="D7" s="15" t="s">
        <v>9</v>
      </c>
      <c r="E7" s="15" t="s">
        <v>10</v>
      </c>
      <c r="F7" s="15" t="s">
        <v>11</v>
      </c>
      <c r="G7" s="15">
        <v>1100</v>
      </c>
      <c r="H7" s="15">
        <v>1</v>
      </c>
    </row>
    <row r="8" spans="2:8" x14ac:dyDescent="0.3">
      <c r="B8" s="15">
        <v>4</v>
      </c>
      <c r="C8" s="14">
        <v>43469</v>
      </c>
      <c r="D8" s="15" t="s">
        <v>9</v>
      </c>
      <c r="E8" s="15" t="s">
        <v>10</v>
      </c>
      <c r="F8" s="15" t="s">
        <v>11</v>
      </c>
      <c r="G8" s="15">
        <v>1100</v>
      </c>
      <c r="H8" s="15">
        <v>1</v>
      </c>
    </row>
    <row r="9" spans="2:8" x14ac:dyDescent="0.3">
      <c r="B9" s="15">
        <v>5</v>
      </c>
      <c r="C9" s="14">
        <v>43470</v>
      </c>
      <c r="D9" s="15" t="s">
        <v>9</v>
      </c>
      <c r="E9" s="15" t="s">
        <v>10</v>
      </c>
      <c r="F9" s="15" t="s">
        <v>11</v>
      </c>
      <c r="G9" s="15">
        <v>1100</v>
      </c>
      <c r="H9" s="15">
        <v>1</v>
      </c>
    </row>
    <row r="10" spans="2:8" x14ac:dyDescent="0.3">
      <c r="B10" s="15">
        <v>6</v>
      </c>
      <c r="C10" s="14">
        <v>43471</v>
      </c>
      <c r="D10" s="15" t="s">
        <v>9</v>
      </c>
      <c r="E10" s="15" t="s">
        <v>10</v>
      </c>
      <c r="F10" s="15" t="s">
        <v>11</v>
      </c>
      <c r="G10" s="15">
        <v>1100</v>
      </c>
      <c r="H10" s="15">
        <v>1</v>
      </c>
    </row>
    <row r="11" spans="2:8" x14ac:dyDescent="0.3">
      <c r="B11" s="15">
        <v>7</v>
      </c>
      <c r="C11" s="14">
        <v>43472</v>
      </c>
      <c r="D11" s="15" t="s">
        <v>9</v>
      </c>
      <c r="E11" s="15" t="s">
        <v>10</v>
      </c>
      <c r="F11" s="15" t="s">
        <v>11</v>
      </c>
      <c r="G11" s="15">
        <v>1100</v>
      </c>
      <c r="H11" s="15">
        <v>2</v>
      </c>
    </row>
    <row r="12" spans="2:8" x14ac:dyDescent="0.3">
      <c r="B12" s="15">
        <v>8</v>
      </c>
      <c r="C12" s="14">
        <v>43473</v>
      </c>
      <c r="D12" s="15" t="s">
        <v>9</v>
      </c>
      <c r="E12" s="15" t="s">
        <v>10</v>
      </c>
      <c r="F12" s="15" t="s">
        <v>11</v>
      </c>
      <c r="G12" s="15">
        <v>1100</v>
      </c>
      <c r="H12" s="15">
        <v>1</v>
      </c>
    </row>
    <row r="13" spans="2:8" x14ac:dyDescent="0.3">
      <c r="B13" s="15">
        <v>9</v>
      </c>
      <c r="C13" s="14">
        <v>43474</v>
      </c>
      <c r="D13" s="15" t="s">
        <v>9</v>
      </c>
      <c r="E13" s="15" t="s">
        <v>10</v>
      </c>
      <c r="F13" s="15" t="s">
        <v>11</v>
      </c>
      <c r="G13" s="15">
        <v>1100</v>
      </c>
      <c r="H13" s="15">
        <v>1</v>
      </c>
    </row>
    <row r="14" spans="2:8" x14ac:dyDescent="0.3">
      <c r="B14" s="15">
        <v>10</v>
      </c>
      <c r="C14" s="14">
        <v>43475</v>
      </c>
      <c r="D14" s="15" t="s">
        <v>9</v>
      </c>
      <c r="E14" s="15" t="s">
        <v>12</v>
      </c>
      <c r="F14" s="15" t="s">
        <v>11</v>
      </c>
      <c r="G14" s="15">
        <v>900</v>
      </c>
      <c r="H14" s="15">
        <v>1</v>
      </c>
    </row>
    <row r="15" spans="2:8" x14ac:dyDescent="0.3">
      <c r="B15" s="15">
        <v>11</v>
      </c>
      <c r="C15" s="14">
        <v>43476</v>
      </c>
      <c r="D15" s="15" t="s">
        <v>13</v>
      </c>
      <c r="E15" s="15" t="s">
        <v>12</v>
      </c>
      <c r="F15" s="15" t="s">
        <v>11</v>
      </c>
      <c r="G15" s="15">
        <v>900</v>
      </c>
      <c r="H15" s="15">
        <v>1</v>
      </c>
    </row>
    <row r="16" spans="2:8" x14ac:dyDescent="0.3">
      <c r="B16" s="15">
        <v>12</v>
      </c>
      <c r="C16" s="14">
        <v>43477</v>
      </c>
      <c r="D16" s="15" t="s">
        <v>13</v>
      </c>
      <c r="E16" s="15" t="s">
        <v>12</v>
      </c>
      <c r="F16" s="15" t="s">
        <v>11</v>
      </c>
      <c r="G16" s="15">
        <v>900</v>
      </c>
      <c r="H16" s="15">
        <v>1</v>
      </c>
    </row>
    <row r="17" spans="2:8" x14ac:dyDescent="0.3">
      <c r="B17" s="15">
        <v>13</v>
      </c>
      <c r="C17" s="14">
        <v>43478</v>
      </c>
      <c r="D17" s="15" t="s">
        <v>13</v>
      </c>
      <c r="E17" s="15" t="s">
        <v>12</v>
      </c>
      <c r="F17" s="15" t="s">
        <v>11</v>
      </c>
      <c r="G17" s="15">
        <v>900</v>
      </c>
      <c r="H17" s="15">
        <v>2</v>
      </c>
    </row>
    <row r="18" spans="2:8" x14ac:dyDescent="0.3">
      <c r="B18" s="15">
        <v>14</v>
      </c>
      <c r="C18" s="14">
        <v>43479</v>
      </c>
      <c r="D18" s="15" t="s">
        <v>13</v>
      </c>
      <c r="E18" s="15" t="s">
        <v>12</v>
      </c>
      <c r="F18" s="15" t="s">
        <v>11</v>
      </c>
      <c r="G18" s="15">
        <v>900</v>
      </c>
      <c r="H18" s="15">
        <v>1</v>
      </c>
    </row>
    <row r="19" spans="2:8" x14ac:dyDescent="0.3">
      <c r="B19" s="15">
        <v>15</v>
      </c>
      <c r="C19" s="14">
        <v>43480</v>
      </c>
      <c r="D19" s="15" t="s">
        <v>13</v>
      </c>
      <c r="E19" s="15" t="s">
        <v>12</v>
      </c>
      <c r="F19" s="15" t="s">
        <v>11</v>
      </c>
      <c r="G19" s="15">
        <v>900</v>
      </c>
      <c r="H19" s="15">
        <v>1</v>
      </c>
    </row>
    <row r="20" spans="2:8" x14ac:dyDescent="0.3">
      <c r="B20" s="15">
        <v>16</v>
      </c>
      <c r="C20" s="14">
        <v>43481</v>
      </c>
      <c r="D20" s="15" t="s">
        <v>13</v>
      </c>
      <c r="E20" s="15" t="s">
        <v>10</v>
      </c>
      <c r="F20" s="15" t="s">
        <v>11</v>
      </c>
      <c r="G20" s="15">
        <v>1100</v>
      </c>
      <c r="H20" s="15">
        <v>1</v>
      </c>
    </row>
    <row r="21" spans="2:8" x14ac:dyDescent="0.3">
      <c r="B21" s="15">
        <v>17</v>
      </c>
      <c r="C21" s="14">
        <v>43482</v>
      </c>
      <c r="D21" s="15" t="s">
        <v>13</v>
      </c>
      <c r="E21" s="15" t="s">
        <v>12</v>
      </c>
      <c r="F21" s="15" t="s">
        <v>11</v>
      </c>
      <c r="G21" s="15">
        <v>900</v>
      </c>
      <c r="H21" s="15">
        <v>1</v>
      </c>
    </row>
    <row r="22" spans="2:8" x14ac:dyDescent="0.3">
      <c r="B22" s="15">
        <v>18</v>
      </c>
      <c r="C22" s="14">
        <v>43483</v>
      </c>
      <c r="D22" s="15" t="s">
        <v>13</v>
      </c>
      <c r="E22" s="15" t="s">
        <v>10</v>
      </c>
      <c r="F22" s="15" t="s">
        <v>11</v>
      </c>
      <c r="G22" s="15">
        <v>1100</v>
      </c>
      <c r="H22" s="15">
        <v>2</v>
      </c>
    </row>
    <row r="23" spans="2:8" x14ac:dyDescent="0.3">
      <c r="B23" s="15">
        <v>19</v>
      </c>
      <c r="C23" s="14">
        <v>43484</v>
      </c>
      <c r="D23" s="15" t="s">
        <v>13</v>
      </c>
      <c r="E23" s="15" t="s">
        <v>10</v>
      </c>
      <c r="F23" s="15" t="s">
        <v>11</v>
      </c>
      <c r="G23" s="15">
        <v>1100</v>
      </c>
      <c r="H23" s="15">
        <v>1</v>
      </c>
    </row>
    <row r="24" spans="2:8" x14ac:dyDescent="0.3">
      <c r="B24" s="15">
        <v>20</v>
      </c>
      <c r="C24" s="14">
        <v>43485</v>
      </c>
      <c r="D24" s="15" t="s">
        <v>9</v>
      </c>
      <c r="E24" s="15" t="s">
        <v>12</v>
      </c>
      <c r="F24" s="15" t="s">
        <v>11</v>
      </c>
      <c r="G24" s="15">
        <v>900</v>
      </c>
      <c r="H24" s="15">
        <v>1</v>
      </c>
    </row>
    <row r="25" spans="2:8" x14ac:dyDescent="0.3">
      <c r="B25" s="15">
        <v>21</v>
      </c>
      <c r="C25" s="14">
        <v>43486</v>
      </c>
      <c r="D25" s="15" t="s">
        <v>9</v>
      </c>
      <c r="E25" s="15" t="s">
        <v>12</v>
      </c>
      <c r="F25" s="15" t="s">
        <v>11</v>
      </c>
      <c r="G25" s="15">
        <v>900</v>
      </c>
      <c r="H25" s="15">
        <v>1</v>
      </c>
    </row>
    <row r="26" spans="2:8" x14ac:dyDescent="0.3">
      <c r="B26" s="15">
        <v>22</v>
      </c>
      <c r="C26" s="14">
        <v>43487</v>
      </c>
      <c r="D26" s="15" t="s">
        <v>9</v>
      </c>
      <c r="E26" s="15" t="s">
        <v>14</v>
      </c>
      <c r="F26" s="15" t="s">
        <v>11</v>
      </c>
      <c r="G26" s="15">
        <v>900</v>
      </c>
      <c r="H26" s="15">
        <v>1</v>
      </c>
    </row>
    <row r="27" spans="2:8" x14ac:dyDescent="0.3">
      <c r="B27" s="15">
        <v>23</v>
      </c>
      <c r="C27" s="14">
        <v>43488</v>
      </c>
      <c r="D27" s="15" t="s">
        <v>9</v>
      </c>
      <c r="E27" s="15" t="s">
        <v>10</v>
      </c>
      <c r="F27" s="15" t="s">
        <v>11</v>
      </c>
      <c r="G27" s="15">
        <v>1100</v>
      </c>
      <c r="H27" s="15">
        <v>1</v>
      </c>
    </row>
    <row r="28" spans="2:8" x14ac:dyDescent="0.3">
      <c r="B28" s="15">
        <v>24</v>
      </c>
      <c r="C28" s="14">
        <v>43489</v>
      </c>
      <c r="D28" s="15" t="s">
        <v>9</v>
      </c>
      <c r="E28" s="15" t="s">
        <v>10</v>
      </c>
      <c r="F28" s="15" t="s">
        <v>11</v>
      </c>
      <c r="G28" s="15">
        <v>1100</v>
      </c>
      <c r="H28" s="15">
        <v>1</v>
      </c>
    </row>
    <row r="29" spans="2:8" x14ac:dyDescent="0.3">
      <c r="B29" s="15">
        <v>25</v>
      </c>
      <c r="C29" s="14">
        <v>43490</v>
      </c>
      <c r="D29" s="15" t="s">
        <v>9</v>
      </c>
      <c r="E29" s="15" t="s">
        <v>14</v>
      </c>
      <c r="F29" s="15" t="s">
        <v>11</v>
      </c>
      <c r="G29" s="15">
        <v>900</v>
      </c>
      <c r="H29" s="15">
        <v>1</v>
      </c>
    </row>
    <row r="30" spans="2:8" x14ac:dyDescent="0.3">
      <c r="B30" s="15">
        <v>26</v>
      </c>
      <c r="C30" s="14">
        <v>43491</v>
      </c>
      <c r="D30" s="15" t="s">
        <v>9</v>
      </c>
      <c r="E30" s="15" t="s">
        <v>12</v>
      </c>
      <c r="F30" s="15" t="s">
        <v>11</v>
      </c>
      <c r="G30" s="15">
        <v>900</v>
      </c>
      <c r="H30" s="15">
        <v>1</v>
      </c>
    </row>
    <row r="31" spans="2:8" x14ac:dyDescent="0.3">
      <c r="B31" s="15">
        <v>27</v>
      </c>
      <c r="C31" s="14">
        <v>43492</v>
      </c>
      <c r="D31" s="15" t="s">
        <v>9</v>
      </c>
      <c r="E31" s="15" t="s">
        <v>14</v>
      </c>
      <c r="F31" s="15" t="s">
        <v>11</v>
      </c>
      <c r="G31" s="15">
        <v>900</v>
      </c>
      <c r="H31" s="15">
        <v>1</v>
      </c>
    </row>
    <row r="32" spans="2:8" x14ac:dyDescent="0.3">
      <c r="B32" s="15">
        <v>28</v>
      </c>
      <c r="C32" s="14">
        <v>43493</v>
      </c>
      <c r="D32" s="15" t="s">
        <v>9</v>
      </c>
      <c r="E32" s="15" t="s">
        <v>10</v>
      </c>
      <c r="F32" s="15" t="s">
        <v>11</v>
      </c>
      <c r="G32" s="15">
        <v>1100</v>
      </c>
      <c r="H32" s="15">
        <v>1</v>
      </c>
    </row>
    <row r="33" spans="2:8" x14ac:dyDescent="0.3">
      <c r="B33" s="15">
        <v>29</v>
      </c>
      <c r="C33" s="14">
        <v>43494</v>
      </c>
      <c r="D33" s="15" t="s">
        <v>9</v>
      </c>
      <c r="E33" s="15" t="s">
        <v>10</v>
      </c>
      <c r="F33" s="15" t="s">
        <v>11</v>
      </c>
      <c r="G33" s="15">
        <v>1100</v>
      </c>
      <c r="H33" s="15">
        <v>1</v>
      </c>
    </row>
    <row r="34" spans="2:8" x14ac:dyDescent="0.3">
      <c r="B34" s="15">
        <v>30</v>
      </c>
      <c r="C34" s="14">
        <v>43495</v>
      </c>
      <c r="D34" s="15" t="s">
        <v>9</v>
      </c>
      <c r="E34" s="15" t="s">
        <v>14</v>
      </c>
      <c r="F34" s="15" t="s">
        <v>11</v>
      </c>
      <c r="G34" s="15">
        <v>900</v>
      </c>
      <c r="H34" s="15">
        <v>1</v>
      </c>
    </row>
    <row r="35" spans="2:8" x14ac:dyDescent="0.3">
      <c r="B35" s="15">
        <v>31</v>
      </c>
      <c r="C35" s="14">
        <v>43496</v>
      </c>
      <c r="D35" s="15" t="s">
        <v>9</v>
      </c>
      <c r="E35" s="15" t="s">
        <v>14</v>
      </c>
      <c r="F35" s="15" t="s">
        <v>11</v>
      </c>
      <c r="G35" s="15">
        <v>900</v>
      </c>
      <c r="H35" s="15">
        <v>1</v>
      </c>
    </row>
    <row r="36" spans="2:8" x14ac:dyDescent="0.3">
      <c r="B36" s="15">
        <v>32</v>
      </c>
      <c r="C36" s="14">
        <v>43497</v>
      </c>
      <c r="D36" s="15" t="s">
        <v>9</v>
      </c>
      <c r="E36" s="15" t="s">
        <v>14</v>
      </c>
      <c r="F36" s="15" t="s">
        <v>11</v>
      </c>
      <c r="G36" s="15">
        <v>900</v>
      </c>
      <c r="H36" s="15">
        <v>1</v>
      </c>
    </row>
    <row r="37" spans="2:8" x14ac:dyDescent="0.3">
      <c r="B37" s="15">
        <v>33</v>
      </c>
      <c r="C37" s="14">
        <v>43498</v>
      </c>
      <c r="D37" s="15" t="s">
        <v>9</v>
      </c>
      <c r="E37" s="15" t="s">
        <v>14</v>
      </c>
      <c r="F37" s="15" t="s">
        <v>11</v>
      </c>
      <c r="G37" s="15">
        <v>900</v>
      </c>
      <c r="H37" s="15">
        <v>1</v>
      </c>
    </row>
    <row r="38" spans="2:8" x14ac:dyDescent="0.3">
      <c r="B38" s="15">
        <v>34</v>
      </c>
      <c r="C38" s="14">
        <v>43499</v>
      </c>
      <c r="D38" s="15" t="s">
        <v>9</v>
      </c>
      <c r="E38" s="15" t="s">
        <v>14</v>
      </c>
      <c r="F38" s="15" t="s">
        <v>11</v>
      </c>
      <c r="G38" s="15">
        <v>900</v>
      </c>
      <c r="H38" s="15">
        <v>1</v>
      </c>
    </row>
    <row r="39" spans="2:8" x14ac:dyDescent="0.3">
      <c r="B39" s="15">
        <v>35</v>
      </c>
      <c r="C39" s="14">
        <v>43500</v>
      </c>
      <c r="D39" s="15" t="s">
        <v>9</v>
      </c>
      <c r="E39" s="15" t="s">
        <v>12</v>
      </c>
      <c r="F39" s="15" t="s">
        <v>11</v>
      </c>
      <c r="G39" s="15">
        <v>900</v>
      </c>
      <c r="H39" s="15">
        <v>1</v>
      </c>
    </row>
    <row r="40" spans="2:8" x14ac:dyDescent="0.3">
      <c r="B40" s="15">
        <v>36</v>
      </c>
      <c r="C40" s="14">
        <v>43501</v>
      </c>
      <c r="D40" s="15" t="s">
        <v>9</v>
      </c>
      <c r="E40" s="15" t="s">
        <v>12</v>
      </c>
      <c r="F40" s="15" t="s">
        <v>11</v>
      </c>
      <c r="G40" s="15">
        <v>900</v>
      </c>
      <c r="H40" s="15">
        <v>1</v>
      </c>
    </row>
    <row r="41" spans="2:8" x14ac:dyDescent="0.3">
      <c r="B41" s="15">
        <v>37</v>
      </c>
      <c r="C41" s="14">
        <v>43502</v>
      </c>
      <c r="D41" s="15" t="s">
        <v>9</v>
      </c>
      <c r="E41" s="15" t="s">
        <v>12</v>
      </c>
      <c r="F41" s="15" t="s">
        <v>11</v>
      </c>
      <c r="G41" s="15">
        <v>900</v>
      </c>
      <c r="H41" s="15">
        <v>1</v>
      </c>
    </row>
    <row r="42" spans="2:8" x14ac:dyDescent="0.3">
      <c r="B42" s="15">
        <v>38</v>
      </c>
      <c r="C42" s="14">
        <v>43503</v>
      </c>
      <c r="D42" s="15" t="s">
        <v>9</v>
      </c>
      <c r="E42" s="15" t="s">
        <v>10</v>
      </c>
      <c r="F42" s="15" t="s">
        <v>11</v>
      </c>
      <c r="G42" s="15">
        <v>1100</v>
      </c>
      <c r="H42" s="15">
        <v>1</v>
      </c>
    </row>
    <row r="43" spans="2:8" x14ac:dyDescent="0.3">
      <c r="B43" s="15">
        <v>39</v>
      </c>
      <c r="C43" s="14">
        <v>43504</v>
      </c>
      <c r="D43" s="15" t="s">
        <v>9</v>
      </c>
      <c r="E43" s="15" t="s">
        <v>10</v>
      </c>
      <c r="F43" s="15" t="s">
        <v>11</v>
      </c>
      <c r="G43" s="15">
        <v>1100</v>
      </c>
      <c r="H43" s="15">
        <v>1</v>
      </c>
    </row>
    <row r="44" spans="2:8" x14ac:dyDescent="0.3">
      <c r="B44" s="15">
        <v>40</v>
      </c>
      <c r="C44" s="14">
        <v>43505</v>
      </c>
      <c r="D44" s="15" t="s">
        <v>9</v>
      </c>
      <c r="E44" s="15" t="s">
        <v>15</v>
      </c>
      <c r="F44" s="15" t="s">
        <v>11</v>
      </c>
      <c r="G44" s="15">
        <v>1000</v>
      </c>
      <c r="H44" s="15">
        <v>1</v>
      </c>
    </row>
    <row r="45" spans="2:8" x14ac:dyDescent="0.3">
      <c r="B45" s="15">
        <v>41</v>
      </c>
      <c r="C45" s="14">
        <v>43506</v>
      </c>
      <c r="D45" s="15" t="s">
        <v>9</v>
      </c>
      <c r="E45" s="15" t="s">
        <v>15</v>
      </c>
      <c r="F45" s="15" t="s">
        <v>11</v>
      </c>
      <c r="G45" s="15">
        <v>1000</v>
      </c>
      <c r="H45" s="15">
        <v>1</v>
      </c>
    </row>
    <row r="46" spans="2:8" x14ac:dyDescent="0.3">
      <c r="B46" s="15">
        <v>42</v>
      </c>
      <c r="C46" s="14">
        <v>43507</v>
      </c>
      <c r="D46" s="15" t="s">
        <v>9</v>
      </c>
      <c r="E46" s="15" t="s">
        <v>10</v>
      </c>
      <c r="F46" s="15" t="s">
        <v>11</v>
      </c>
      <c r="G46" s="15">
        <v>1100</v>
      </c>
      <c r="H46" s="15">
        <v>1</v>
      </c>
    </row>
    <row r="47" spans="2:8" x14ac:dyDescent="0.3">
      <c r="B47" s="15">
        <v>43</v>
      </c>
      <c r="C47" s="14">
        <v>43508</v>
      </c>
      <c r="D47" s="15" t="s">
        <v>9</v>
      </c>
      <c r="E47" s="15" t="s">
        <v>15</v>
      </c>
      <c r="F47" s="15" t="s">
        <v>11</v>
      </c>
      <c r="G47" s="15">
        <v>1000</v>
      </c>
      <c r="H47" s="15">
        <v>1</v>
      </c>
    </row>
    <row r="48" spans="2:8" x14ac:dyDescent="0.3">
      <c r="B48" s="15">
        <v>44</v>
      </c>
      <c r="C48" s="14">
        <v>43509</v>
      </c>
      <c r="D48" s="15" t="s">
        <v>9</v>
      </c>
      <c r="E48" s="15" t="s">
        <v>12</v>
      </c>
      <c r="F48" s="15" t="s">
        <v>11</v>
      </c>
      <c r="G48" s="15">
        <v>900</v>
      </c>
      <c r="H48" s="15">
        <v>1</v>
      </c>
    </row>
    <row r="49" spans="2:8" x14ac:dyDescent="0.3">
      <c r="B49" s="15">
        <v>45</v>
      </c>
      <c r="C49" s="14">
        <v>43510</v>
      </c>
      <c r="D49" s="15" t="s">
        <v>9</v>
      </c>
      <c r="E49" s="15" t="s">
        <v>12</v>
      </c>
      <c r="F49" s="15" t="s">
        <v>11</v>
      </c>
      <c r="G49" s="15">
        <v>900</v>
      </c>
      <c r="H49" s="15">
        <v>2</v>
      </c>
    </row>
    <row r="50" spans="2:8" x14ac:dyDescent="0.3">
      <c r="B50" s="15">
        <v>46</v>
      </c>
      <c r="C50" s="14">
        <v>43511</v>
      </c>
      <c r="D50" s="15" t="s">
        <v>9</v>
      </c>
      <c r="E50" s="15" t="s">
        <v>10</v>
      </c>
      <c r="F50" s="15" t="s">
        <v>11</v>
      </c>
      <c r="G50" s="15">
        <v>1100</v>
      </c>
      <c r="H50" s="15">
        <v>1</v>
      </c>
    </row>
    <row r="51" spans="2:8" x14ac:dyDescent="0.3">
      <c r="B51" s="15">
        <v>47</v>
      </c>
      <c r="C51" s="14">
        <v>43512</v>
      </c>
      <c r="D51" s="15" t="s">
        <v>9</v>
      </c>
      <c r="E51" s="15" t="s">
        <v>12</v>
      </c>
      <c r="F51" s="15" t="s">
        <v>11</v>
      </c>
      <c r="G51" s="15">
        <v>900</v>
      </c>
      <c r="H51" s="15">
        <v>1</v>
      </c>
    </row>
    <row r="52" spans="2:8" x14ac:dyDescent="0.3">
      <c r="B52" s="15">
        <v>48</v>
      </c>
      <c r="C52" s="14">
        <v>43513</v>
      </c>
      <c r="D52" s="15" t="s">
        <v>9</v>
      </c>
      <c r="E52" s="15" t="s">
        <v>10</v>
      </c>
      <c r="F52" s="15" t="s">
        <v>11</v>
      </c>
      <c r="G52" s="15">
        <v>1100</v>
      </c>
      <c r="H52" s="15">
        <v>1</v>
      </c>
    </row>
    <row r="53" spans="2:8" x14ac:dyDescent="0.3">
      <c r="B53" s="15">
        <v>49</v>
      </c>
      <c r="C53" s="14">
        <v>43514</v>
      </c>
      <c r="D53" s="15" t="s">
        <v>9</v>
      </c>
      <c r="E53" s="15" t="s">
        <v>16</v>
      </c>
      <c r="F53" s="15" t="s">
        <v>17</v>
      </c>
      <c r="G53" s="15">
        <v>800</v>
      </c>
      <c r="H53" s="15">
        <v>1</v>
      </c>
    </row>
    <row r="54" spans="2:8" x14ac:dyDescent="0.3">
      <c r="B54" s="15">
        <v>50</v>
      </c>
      <c r="C54" s="14">
        <v>43515</v>
      </c>
      <c r="D54" s="15" t="s">
        <v>9</v>
      </c>
      <c r="E54" s="15" t="s">
        <v>16</v>
      </c>
      <c r="F54" s="15" t="s">
        <v>17</v>
      </c>
      <c r="G54" s="15">
        <v>800</v>
      </c>
      <c r="H54" s="15">
        <v>2</v>
      </c>
    </row>
    <row r="55" spans="2:8" x14ac:dyDescent="0.3">
      <c r="B55" s="15">
        <v>51</v>
      </c>
      <c r="C55" s="14">
        <v>43516</v>
      </c>
      <c r="D55" s="15" t="s">
        <v>9</v>
      </c>
      <c r="E55" s="15" t="s">
        <v>14</v>
      </c>
      <c r="F55" s="15" t="s">
        <v>11</v>
      </c>
      <c r="G55" s="15">
        <v>900</v>
      </c>
      <c r="H55" s="15">
        <v>1</v>
      </c>
    </row>
    <row r="56" spans="2:8" x14ac:dyDescent="0.3">
      <c r="B56" s="15">
        <v>52</v>
      </c>
      <c r="C56" s="14">
        <v>43517</v>
      </c>
      <c r="D56" s="15" t="s">
        <v>9</v>
      </c>
      <c r="E56" s="15" t="s">
        <v>10</v>
      </c>
      <c r="F56" s="15" t="s">
        <v>11</v>
      </c>
      <c r="G56" s="15">
        <v>1100</v>
      </c>
      <c r="H56" s="15">
        <v>1</v>
      </c>
    </row>
    <row r="57" spans="2:8" x14ac:dyDescent="0.3">
      <c r="B57" s="15">
        <v>49</v>
      </c>
      <c r="C57" s="14">
        <v>43514</v>
      </c>
      <c r="D57" s="15" t="s">
        <v>9</v>
      </c>
      <c r="E57" s="15" t="s">
        <v>16</v>
      </c>
      <c r="F57" s="15" t="s">
        <v>17</v>
      </c>
      <c r="G57" s="15">
        <v>800</v>
      </c>
      <c r="H57" s="15">
        <v>1</v>
      </c>
    </row>
    <row r="58" spans="2:8" x14ac:dyDescent="0.3">
      <c r="B58" s="15">
        <v>53</v>
      </c>
      <c r="C58" s="14">
        <v>43518</v>
      </c>
      <c r="D58" s="15" t="s">
        <v>9</v>
      </c>
      <c r="E58" s="15" t="s">
        <v>16</v>
      </c>
      <c r="F58" s="15" t="s">
        <v>17</v>
      </c>
      <c r="G58" s="15">
        <v>800</v>
      </c>
      <c r="H58" s="15">
        <v>1</v>
      </c>
    </row>
    <row r="59" spans="2:8" x14ac:dyDescent="0.3">
      <c r="B59" s="15">
        <v>54</v>
      </c>
      <c r="C59" s="14">
        <v>43519</v>
      </c>
      <c r="D59" s="15" t="s">
        <v>9</v>
      </c>
      <c r="E59" s="15" t="s">
        <v>15</v>
      </c>
      <c r="F59" s="15" t="s">
        <v>11</v>
      </c>
      <c r="G59" s="15">
        <v>1000</v>
      </c>
      <c r="H59" s="15">
        <v>1</v>
      </c>
    </row>
    <row r="60" spans="2:8" x14ac:dyDescent="0.3">
      <c r="B60" s="15">
        <v>55</v>
      </c>
      <c r="C60" s="14">
        <v>43520</v>
      </c>
      <c r="D60" s="15" t="s">
        <v>9</v>
      </c>
      <c r="E60" s="15" t="s">
        <v>16</v>
      </c>
      <c r="F60" s="15" t="s">
        <v>17</v>
      </c>
      <c r="G60" s="15">
        <v>800</v>
      </c>
      <c r="H60" s="15">
        <v>1</v>
      </c>
    </row>
    <row r="61" spans="2:8" x14ac:dyDescent="0.3">
      <c r="B61" s="15">
        <v>56</v>
      </c>
      <c r="C61" s="14">
        <v>43521</v>
      </c>
      <c r="D61" s="15" t="s">
        <v>9</v>
      </c>
      <c r="E61" s="15" t="s">
        <v>18</v>
      </c>
      <c r="F61" s="15" t="s">
        <v>17</v>
      </c>
      <c r="G61" s="15">
        <v>600</v>
      </c>
      <c r="H61" s="15">
        <v>1</v>
      </c>
    </row>
    <row r="62" spans="2:8" x14ac:dyDescent="0.3">
      <c r="B62" s="15">
        <v>57</v>
      </c>
      <c r="C62" s="14">
        <v>43522</v>
      </c>
      <c r="D62" s="15" t="s">
        <v>9</v>
      </c>
      <c r="E62" s="15" t="s">
        <v>12</v>
      </c>
      <c r="F62" s="15" t="s">
        <v>11</v>
      </c>
      <c r="G62" s="15">
        <v>900</v>
      </c>
      <c r="H62" s="15">
        <v>1</v>
      </c>
    </row>
    <row r="63" spans="2:8" x14ac:dyDescent="0.3">
      <c r="B63" s="15">
        <v>58</v>
      </c>
      <c r="C63" s="14">
        <v>43523</v>
      </c>
      <c r="D63" s="15" t="s">
        <v>9</v>
      </c>
      <c r="E63" s="15" t="s">
        <v>10</v>
      </c>
      <c r="F63" s="15" t="s">
        <v>11</v>
      </c>
      <c r="G63" s="15">
        <v>1100</v>
      </c>
      <c r="H63" s="15">
        <v>1</v>
      </c>
    </row>
    <row r="64" spans="2:8" x14ac:dyDescent="0.3">
      <c r="B64" s="15">
        <v>59</v>
      </c>
      <c r="C64" s="14">
        <v>43524</v>
      </c>
      <c r="D64" s="15" t="s">
        <v>9</v>
      </c>
      <c r="E64" s="15" t="s">
        <v>15</v>
      </c>
      <c r="F64" s="15" t="s">
        <v>11</v>
      </c>
      <c r="G64" s="15">
        <v>1000</v>
      </c>
      <c r="H64" s="15">
        <v>1</v>
      </c>
    </row>
    <row r="65" spans="2:8" x14ac:dyDescent="0.3">
      <c r="B65" s="15">
        <v>60</v>
      </c>
      <c r="C65" s="14">
        <v>43525</v>
      </c>
      <c r="D65" s="15" t="s">
        <v>9</v>
      </c>
      <c r="E65" s="15" t="s">
        <v>12</v>
      </c>
      <c r="F65" s="15" t="s">
        <v>11</v>
      </c>
      <c r="G65" s="15">
        <v>900</v>
      </c>
      <c r="H65" s="15">
        <v>1</v>
      </c>
    </row>
    <row r="66" spans="2:8" x14ac:dyDescent="0.3">
      <c r="B66" s="15">
        <v>61</v>
      </c>
      <c r="C66" s="14">
        <v>43526</v>
      </c>
      <c r="D66" s="15" t="s">
        <v>9</v>
      </c>
      <c r="E66" s="15" t="s">
        <v>10</v>
      </c>
      <c r="F66" s="15" t="s">
        <v>11</v>
      </c>
      <c r="G66" s="15">
        <v>1100</v>
      </c>
      <c r="H66" s="15">
        <v>2</v>
      </c>
    </row>
    <row r="67" spans="2:8" x14ac:dyDescent="0.3">
      <c r="B67" s="15">
        <v>62</v>
      </c>
      <c r="C67" s="14">
        <v>43527</v>
      </c>
      <c r="D67" s="15" t="s">
        <v>9</v>
      </c>
      <c r="E67" s="15" t="s">
        <v>18</v>
      </c>
      <c r="F67" s="15" t="s">
        <v>17</v>
      </c>
      <c r="G67" s="15">
        <v>600</v>
      </c>
      <c r="H67" s="15">
        <v>1</v>
      </c>
    </row>
    <row r="68" spans="2:8" x14ac:dyDescent="0.3">
      <c r="B68" s="15">
        <v>63</v>
      </c>
      <c r="C68" s="14">
        <v>43528</v>
      </c>
      <c r="D68" s="15" t="s">
        <v>9</v>
      </c>
      <c r="E68" s="15" t="s">
        <v>18</v>
      </c>
      <c r="F68" s="15" t="s">
        <v>17</v>
      </c>
      <c r="G68" s="15">
        <v>600</v>
      </c>
      <c r="H68" s="15">
        <v>1</v>
      </c>
    </row>
    <row r="69" spans="2:8" x14ac:dyDescent="0.3">
      <c r="B69" s="15">
        <v>64</v>
      </c>
      <c r="C69" s="14">
        <v>43529</v>
      </c>
      <c r="D69" s="15" t="s">
        <v>9</v>
      </c>
      <c r="E69" s="15" t="s">
        <v>18</v>
      </c>
      <c r="F69" s="15" t="s">
        <v>17</v>
      </c>
      <c r="G69" s="15">
        <v>600</v>
      </c>
      <c r="H69" s="15">
        <v>1</v>
      </c>
    </row>
    <row r="70" spans="2:8" x14ac:dyDescent="0.3">
      <c r="B70" s="15">
        <v>65</v>
      </c>
      <c r="C70" s="14">
        <v>43530</v>
      </c>
      <c r="D70" s="15" t="s">
        <v>9</v>
      </c>
      <c r="E70" s="15" t="s">
        <v>12</v>
      </c>
      <c r="F70" s="15" t="s">
        <v>11</v>
      </c>
      <c r="G70" s="15">
        <v>900</v>
      </c>
      <c r="H70" s="15">
        <v>1</v>
      </c>
    </row>
    <row r="71" spans="2:8" x14ac:dyDescent="0.3">
      <c r="B71" s="15">
        <v>66</v>
      </c>
      <c r="C71" s="14">
        <v>43531</v>
      </c>
      <c r="D71" s="15" t="s">
        <v>9</v>
      </c>
      <c r="E71" s="15" t="s">
        <v>18</v>
      </c>
      <c r="F71" s="15" t="s">
        <v>17</v>
      </c>
      <c r="G71" s="15">
        <v>600</v>
      </c>
      <c r="H71" s="15">
        <v>1</v>
      </c>
    </row>
    <row r="72" spans="2:8" x14ac:dyDescent="0.3">
      <c r="B72" s="15">
        <v>67</v>
      </c>
      <c r="C72" s="14">
        <v>43532</v>
      </c>
      <c r="D72" s="15" t="s">
        <v>9</v>
      </c>
      <c r="E72" s="15" t="s">
        <v>18</v>
      </c>
      <c r="F72" s="15" t="s">
        <v>17</v>
      </c>
      <c r="G72" s="15">
        <v>600</v>
      </c>
      <c r="H72" s="15">
        <v>1</v>
      </c>
    </row>
    <row r="73" spans="2:8" x14ac:dyDescent="0.3">
      <c r="B73" s="15">
        <v>68</v>
      </c>
      <c r="C73" s="14">
        <v>43533</v>
      </c>
      <c r="D73" s="15" t="s">
        <v>9</v>
      </c>
      <c r="E73" s="15" t="s">
        <v>10</v>
      </c>
      <c r="F73" s="15" t="s">
        <v>11</v>
      </c>
      <c r="G73" s="15">
        <v>1100</v>
      </c>
      <c r="H73" s="15">
        <v>1</v>
      </c>
    </row>
    <row r="74" spans="2:8" x14ac:dyDescent="0.3">
      <c r="B74" s="15">
        <v>69</v>
      </c>
      <c r="C74" s="14">
        <v>43534</v>
      </c>
      <c r="D74" s="15" t="s">
        <v>9</v>
      </c>
      <c r="E74" s="15" t="s">
        <v>14</v>
      </c>
      <c r="F74" s="15" t="s">
        <v>11</v>
      </c>
      <c r="G74" s="15">
        <v>900</v>
      </c>
      <c r="H74" s="15">
        <v>3</v>
      </c>
    </row>
    <row r="75" spans="2:8" x14ac:dyDescent="0.3">
      <c r="B75" s="15">
        <v>70</v>
      </c>
      <c r="C75" s="14">
        <v>43535</v>
      </c>
      <c r="D75" s="15" t="s">
        <v>9</v>
      </c>
      <c r="E75" s="15" t="s">
        <v>10</v>
      </c>
      <c r="F75" s="15" t="s">
        <v>11</v>
      </c>
      <c r="G75" s="15">
        <v>1100</v>
      </c>
      <c r="H75" s="15">
        <v>2</v>
      </c>
    </row>
    <row r="76" spans="2:8" x14ac:dyDescent="0.3">
      <c r="B76" s="15">
        <v>71</v>
      </c>
      <c r="C76" s="14">
        <v>43536</v>
      </c>
      <c r="D76" s="15" t="s">
        <v>9</v>
      </c>
      <c r="E76" s="15" t="s">
        <v>10</v>
      </c>
      <c r="F76" s="15" t="s">
        <v>11</v>
      </c>
      <c r="G76" s="15">
        <v>1100</v>
      </c>
      <c r="H76" s="15">
        <v>1</v>
      </c>
    </row>
    <row r="77" spans="2:8" x14ac:dyDescent="0.3">
      <c r="B77" s="15">
        <v>72</v>
      </c>
      <c r="C77" s="14">
        <v>43537</v>
      </c>
      <c r="D77" s="15" t="s">
        <v>9</v>
      </c>
      <c r="E77" s="15" t="s">
        <v>18</v>
      </c>
      <c r="F77" s="15" t="s">
        <v>17</v>
      </c>
      <c r="G77" s="15">
        <v>600</v>
      </c>
      <c r="H77" s="15">
        <v>1</v>
      </c>
    </row>
    <row r="78" spans="2:8" x14ac:dyDescent="0.3">
      <c r="B78" s="15">
        <v>73</v>
      </c>
      <c r="C78" s="14">
        <v>43538</v>
      </c>
      <c r="D78" s="15" t="s">
        <v>9</v>
      </c>
      <c r="E78" s="15" t="s">
        <v>12</v>
      </c>
      <c r="F78" s="15" t="s">
        <v>11</v>
      </c>
      <c r="G78" s="15">
        <v>900</v>
      </c>
      <c r="H78" s="15">
        <v>1</v>
      </c>
    </row>
    <row r="79" spans="2:8" x14ac:dyDescent="0.3">
      <c r="B79" s="15">
        <v>74</v>
      </c>
      <c r="C79" s="14">
        <v>43539</v>
      </c>
      <c r="D79" s="15" t="s">
        <v>9</v>
      </c>
      <c r="E79" s="15" t="s">
        <v>18</v>
      </c>
      <c r="F79" s="15" t="s">
        <v>17</v>
      </c>
      <c r="G79" s="15">
        <v>600</v>
      </c>
      <c r="H79" s="15">
        <v>1</v>
      </c>
    </row>
    <row r="80" spans="2:8" x14ac:dyDescent="0.3">
      <c r="B80" s="15">
        <v>75</v>
      </c>
      <c r="C80" s="14">
        <v>43540</v>
      </c>
      <c r="D80" s="15" t="s">
        <v>9</v>
      </c>
      <c r="E80" s="15" t="s">
        <v>18</v>
      </c>
      <c r="F80" s="15" t="s">
        <v>17</v>
      </c>
      <c r="G80" s="15">
        <v>600</v>
      </c>
      <c r="H80" s="15">
        <v>1</v>
      </c>
    </row>
    <row r="81" spans="2:8" x14ac:dyDescent="0.3">
      <c r="B81" s="15">
        <v>75</v>
      </c>
      <c r="C81" s="14">
        <v>43540</v>
      </c>
      <c r="D81" s="15" t="s">
        <v>9</v>
      </c>
      <c r="E81" s="15" t="s">
        <v>18</v>
      </c>
      <c r="F81" s="15" t="s">
        <v>17</v>
      </c>
      <c r="G81" s="15">
        <v>600</v>
      </c>
      <c r="H81" s="15">
        <v>1</v>
      </c>
    </row>
    <row r="82" spans="2:8" x14ac:dyDescent="0.3">
      <c r="B82" s="15">
        <v>76</v>
      </c>
      <c r="C82" s="14">
        <v>43541</v>
      </c>
      <c r="D82" s="15" t="s">
        <v>9</v>
      </c>
      <c r="E82" s="15" t="s">
        <v>12</v>
      </c>
      <c r="F82" s="15" t="s">
        <v>11</v>
      </c>
      <c r="G82" s="15">
        <v>900</v>
      </c>
      <c r="H82" s="15">
        <v>3</v>
      </c>
    </row>
    <row r="83" spans="2:8" x14ac:dyDescent="0.3">
      <c r="B83" s="15">
        <v>77</v>
      </c>
      <c r="C83" s="14">
        <v>43542</v>
      </c>
      <c r="D83" s="15" t="s">
        <v>9</v>
      </c>
      <c r="E83" s="15" t="s">
        <v>18</v>
      </c>
      <c r="F83" s="15" t="s">
        <v>17</v>
      </c>
      <c r="G83" s="15">
        <v>600</v>
      </c>
      <c r="H83" s="15">
        <v>1</v>
      </c>
    </row>
    <row r="84" spans="2:8" x14ac:dyDescent="0.3">
      <c r="B84" s="15">
        <v>78</v>
      </c>
      <c r="C84" s="14">
        <v>43543</v>
      </c>
      <c r="D84" s="15" t="s">
        <v>9</v>
      </c>
      <c r="E84" s="15" t="s">
        <v>16</v>
      </c>
      <c r="F84" s="15" t="s">
        <v>17</v>
      </c>
      <c r="G84" s="15">
        <v>800</v>
      </c>
      <c r="H84" s="15">
        <v>1</v>
      </c>
    </row>
    <row r="85" spans="2:8" x14ac:dyDescent="0.3">
      <c r="B85" s="15">
        <v>79</v>
      </c>
      <c r="C85" s="14">
        <v>43544</v>
      </c>
      <c r="D85" s="15" t="s">
        <v>9</v>
      </c>
      <c r="E85" s="15" t="s">
        <v>18</v>
      </c>
      <c r="F85" s="15" t="s">
        <v>17</v>
      </c>
      <c r="G85" s="15">
        <v>600</v>
      </c>
      <c r="H85" s="15">
        <v>1</v>
      </c>
    </row>
    <row r="86" spans="2:8" x14ac:dyDescent="0.3">
      <c r="B86" s="15">
        <v>80</v>
      </c>
      <c r="C86" s="14">
        <v>43545</v>
      </c>
      <c r="D86" s="15" t="s">
        <v>9</v>
      </c>
      <c r="E86" s="15" t="s">
        <v>10</v>
      </c>
      <c r="F86" s="15" t="s">
        <v>11</v>
      </c>
      <c r="G86" s="15">
        <v>1100</v>
      </c>
      <c r="H86" s="15">
        <v>1</v>
      </c>
    </row>
    <row r="87" spans="2:8" x14ac:dyDescent="0.3">
      <c r="B87" s="15">
        <v>81</v>
      </c>
      <c r="C87" s="14">
        <v>43546</v>
      </c>
      <c r="D87" s="15" t="s">
        <v>9</v>
      </c>
      <c r="E87" s="15" t="s">
        <v>14</v>
      </c>
      <c r="F87" s="15" t="s">
        <v>11</v>
      </c>
      <c r="G87" s="15">
        <v>900</v>
      </c>
      <c r="H87" s="15">
        <v>1</v>
      </c>
    </row>
    <row r="88" spans="2:8" x14ac:dyDescent="0.3">
      <c r="B88" s="15">
        <v>82</v>
      </c>
      <c r="C88" s="14">
        <v>43547</v>
      </c>
      <c r="D88" s="15" t="s">
        <v>9</v>
      </c>
      <c r="E88" s="15" t="s">
        <v>10</v>
      </c>
      <c r="F88" s="15" t="s">
        <v>11</v>
      </c>
      <c r="G88" s="15">
        <v>1100</v>
      </c>
      <c r="H88" s="15">
        <v>1</v>
      </c>
    </row>
    <row r="89" spans="2:8" x14ac:dyDescent="0.3">
      <c r="B89" s="15">
        <v>83</v>
      </c>
      <c r="C89" s="14">
        <v>43548</v>
      </c>
      <c r="D89" s="15" t="s">
        <v>9</v>
      </c>
      <c r="E89" s="15" t="s">
        <v>10</v>
      </c>
      <c r="F89" s="15" t="s">
        <v>11</v>
      </c>
      <c r="G89" s="15">
        <v>1100</v>
      </c>
      <c r="H89" s="15">
        <v>1</v>
      </c>
    </row>
    <row r="90" spans="2:8" x14ac:dyDescent="0.3">
      <c r="B90" s="15">
        <v>84</v>
      </c>
      <c r="C90" s="14">
        <v>43549</v>
      </c>
      <c r="D90" s="15" t="s">
        <v>9</v>
      </c>
      <c r="E90" s="15" t="s">
        <v>10</v>
      </c>
      <c r="F90" s="15" t="s">
        <v>11</v>
      </c>
      <c r="G90" s="15">
        <v>1100</v>
      </c>
      <c r="H90" s="15">
        <v>1</v>
      </c>
    </row>
    <row r="91" spans="2:8" x14ac:dyDescent="0.3">
      <c r="B91" s="15">
        <v>85</v>
      </c>
      <c r="C91" s="14">
        <v>43550</v>
      </c>
      <c r="D91" s="15" t="s">
        <v>9</v>
      </c>
      <c r="E91" s="15" t="s">
        <v>15</v>
      </c>
      <c r="F91" s="15" t="s">
        <v>11</v>
      </c>
      <c r="G91" s="15">
        <v>1000</v>
      </c>
      <c r="H91" s="15">
        <v>1</v>
      </c>
    </row>
    <row r="92" spans="2:8" x14ac:dyDescent="0.3">
      <c r="B92" s="15">
        <v>86</v>
      </c>
      <c r="C92" s="14">
        <v>43551</v>
      </c>
      <c r="D92" s="15" t="s">
        <v>9</v>
      </c>
      <c r="E92" s="15" t="s">
        <v>18</v>
      </c>
      <c r="F92" s="15" t="s">
        <v>17</v>
      </c>
      <c r="G92" s="15">
        <v>600</v>
      </c>
      <c r="H92" s="15">
        <v>1</v>
      </c>
    </row>
    <row r="93" spans="2:8" x14ac:dyDescent="0.3">
      <c r="B93" s="15">
        <v>87</v>
      </c>
      <c r="C93" s="14">
        <v>43552</v>
      </c>
      <c r="D93" s="15" t="s">
        <v>9</v>
      </c>
      <c r="E93" s="15" t="s">
        <v>16</v>
      </c>
      <c r="F93" s="15" t="s">
        <v>17</v>
      </c>
      <c r="G93" s="15">
        <v>800</v>
      </c>
      <c r="H93" s="15">
        <v>1</v>
      </c>
    </row>
    <row r="94" spans="2:8" x14ac:dyDescent="0.3">
      <c r="B94" s="15">
        <v>88</v>
      </c>
      <c r="C94" s="14">
        <v>43553</v>
      </c>
      <c r="D94" s="15" t="s">
        <v>9</v>
      </c>
      <c r="E94" s="15" t="s">
        <v>10</v>
      </c>
      <c r="F94" s="15" t="s">
        <v>11</v>
      </c>
      <c r="G94" s="15">
        <v>1100</v>
      </c>
      <c r="H94" s="15">
        <v>1</v>
      </c>
    </row>
    <row r="95" spans="2:8" x14ac:dyDescent="0.3">
      <c r="B95" s="15">
        <v>89</v>
      </c>
      <c r="C95" s="14">
        <v>43554</v>
      </c>
      <c r="D95" s="15" t="s">
        <v>9</v>
      </c>
      <c r="E95" s="15" t="s">
        <v>18</v>
      </c>
      <c r="F95" s="15" t="s">
        <v>17</v>
      </c>
      <c r="G95" s="15">
        <v>600</v>
      </c>
      <c r="H95" s="15">
        <v>1</v>
      </c>
    </row>
    <row r="96" spans="2:8" x14ac:dyDescent="0.3">
      <c r="B96" s="15">
        <v>90</v>
      </c>
      <c r="C96" s="14">
        <v>43555</v>
      </c>
      <c r="D96" s="15" t="s">
        <v>9</v>
      </c>
      <c r="E96" s="15" t="s">
        <v>19</v>
      </c>
      <c r="F96" s="15" t="s">
        <v>20</v>
      </c>
      <c r="G96" s="15">
        <v>850</v>
      </c>
      <c r="H96" s="15">
        <v>1</v>
      </c>
    </row>
    <row r="97" spans="2:8" x14ac:dyDescent="0.3">
      <c r="B97" s="15">
        <v>91</v>
      </c>
      <c r="C97" s="14">
        <v>43556</v>
      </c>
      <c r="D97" s="15" t="s">
        <v>9</v>
      </c>
      <c r="E97" s="15" t="s">
        <v>14</v>
      </c>
      <c r="F97" s="15" t="s">
        <v>11</v>
      </c>
      <c r="G97" s="15">
        <v>900</v>
      </c>
      <c r="H97" s="15">
        <v>1</v>
      </c>
    </row>
    <row r="98" spans="2:8" x14ac:dyDescent="0.3">
      <c r="B98" s="15">
        <v>92</v>
      </c>
      <c r="C98" s="14">
        <v>43557</v>
      </c>
      <c r="D98" s="15" t="s">
        <v>9</v>
      </c>
      <c r="E98" s="15" t="s">
        <v>15</v>
      </c>
      <c r="F98" s="15" t="s">
        <v>11</v>
      </c>
      <c r="G98" s="15">
        <v>1000</v>
      </c>
      <c r="H98" s="15">
        <v>1</v>
      </c>
    </row>
    <row r="99" spans="2:8" x14ac:dyDescent="0.3">
      <c r="B99" s="15">
        <v>93</v>
      </c>
      <c r="C99" s="14">
        <v>43558</v>
      </c>
      <c r="D99" s="15" t="s">
        <v>9</v>
      </c>
      <c r="E99" s="15" t="s">
        <v>19</v>
      </c>
      <c r="F99" s="15" t="s">
        <v>20</v>
      </c>
      <c r="G99" s="15">
        <v>850</v>
      </c>
      <c r="H99" s="15">
        <v>1</v>
      </c>
    </row>
    <row r="100" spans="2:8" x14ac:dyDescent="0.3">
      <c r="B100" s="15">
        <v>94</v>
      </c>
      <c r="C100" s="14">
        <v>43559</v>
      </c>
      <c r="D100" s="15" t="s">
        <v>9</v>
      </c>
      <c r="E100" s="15" t="s">
        <v>19</v>
      </c>
      <c r="F100" s="15" t="s">
        <v>20</v>
      </c>
      <c r="G100" s="15">
        <v>850</v>
      </c>
      <c r="H100" s="15">
        <v>1</v>
      </c>
    </row>
    <row r="101" spans="2:8" x14ac:dyDescent="0.3">
      <c r="B101" s="15">
        <v>95</v>
      </c>
      <c r="C101" s="14">
        <v>43560</v>
      </c>
      <c r="D101" s="15" t="s">
        <v>9</v>
      </c>
      <c r="E101" s="15" t="s">
        <v>15</v>
      </c>
      <c r="F101" s="15" t="s">
        <v>11</v>
      </c>
      <c r="G101" s="15">
        <v>1000</v>
      </c>
      <c r="H101" s="15">
        <v>1</v>
      </c>
    </row>
    <row r="102" spans="2:8" x14ac:dyDescent="0.3">
      <c r="B102" s="15">
        <v>96</v>
      </c>
      <c r="C102" s="14">
        <v>43561</v>
      </c>
      <c r="D102" s="15" t="s">
        <v>9</v>
      </c>
      <c r="E102" s="15" t="s">
        <v>16</v>
      </c>
      <c r="F102" s="15" t="s">
        <v>17</v>
      </c>
      <c r="G102" s="15">
        <v>800</v>
      </c>
      <c r="H102" s="15">
        <v>1</v>
      </c>
    </row>
    <row r="103" spans="2:8" x14ac:dyDescent="0.3">
      <c r="B103" s="15">
        <v>97</v>
      </c>
      <c r="C103" s="14">
        <v>43562</v>
      </c>
      <c r="D103" s="15" t="s">
        <v>9</v>
      </c>
      <c r="E103" s="15" t="s">
        <v>18</v>
      </c>
      <c r="F103" s="15" t="s">
        <v>17</v>
      </c>
      <c r="G103" s="15">
        <v>600</v>
      </c>
      <c r="H103" s="15">
        <v>1</v>
      </c>
    </row>
    <row r="104" spans="2:8" x14ac:dyDescent="0.3">
      <c r="B104" s="15">
        <v>98</v>
      </c>
      <c r="C104" s="14">
        <v>43563</v>
      </c>
      <c r="D104" s="15" t="s">
        <v>9</v>
      </c>
      <c r="E104" s="15" t="s">
        <v>16</v>
      </c>
      <c r="F104" s="15" t="s">
        <v>17</v>
      </c>
      <c r="G104" s="15">
        <v>800</v>
      </c>
      <c r="H104" s="15">
        <v>1</v>
      </c>
    </row>
    <row r="105" spans="2:8" x14ac:dyDescent="0.3">
      <c r="B105" s="15">
        <v>99</v>
      </c>
      <c r="C105" s="14">
        <v>43564</v>
      </c>
      <c r="D105" s="15" t="s">
        <v>9</v>
      </c>
      <c r="E105" s="15" t="s">
        <v>10</v>
      </c>
      <c r="F105" s="15" t="s">
        <v>11</v>
      </c>
      <c r="G105" s="15">
        <v>1100</v>
      </c>
      <c r="H105" s="15">
        <v>1</v>
      </c>
    </row>
    <row r="106" spans="2:8" x14ac:dyDescent="0.3">
      <c r="B106" s="15">
        <v>100</v>
      </c>
      <c r="C106" s="14">
        <v>43565</v>
      </c>
      <c r="D106" s="15" t="s">
        <v>9</v>
      </c>
      <c r="E106" s="15" t="s">
        <v>19</v>
      </c>
      <c r="F106" s="15" t="s">
        <v>20</v>
      </c>
      <c r="G106" s="15">
        <v>850</v>
      </c>
      <c r="H106" s="15">
        <v>1</v>
      </c>
    </row>
    <row r="107" spans="2:8" x14ac:dyDescent="0.3">
      <c r="B107" s="15">
        <v>101</v>
      </c>
      <c r="C107" s="14">
        <v>43566</v>
      </c>
      <c r="D107" s="15" t="s">
        <v>9</v>
      </c>
      <c r="E107" s="15" t="s">
        <v>19</v>
      </c>
      <c r="F107" s="15" t="s">
        <v>20</v>
      </c>
      <c r="G107" s="15">
        <v>850</v>
      </c>
      <c r="H107" s="15">
        <v>1</v>
      </c>
    </row>
    <row r="108" spans="2:8" x14ac:dyDescent="0.3">
      <c r="B108" s="15">
        <v>102</v>
      </c>
      <c r="C108" s="14">
        <v>43567</v>
      </c>
      <c r="D108" s="15" t="s">
        <v>9</v>
      </c>
      <c r="E108" s="15" t="s">
        <v>19</v>
      </c>
      <c r="F108" s="15" t="s">
        <v>20</v>
      </c>
      <c r="G108" s="15">
        <v>850</v>
      </c>
      <c r="H108" s="15">
        <v>1</v>
      </c>
    </row>
    <row r="109" spans="2:8" x14ac:dyDescent="0.3">
      <c r="B109" s="15">
        <v>103</v>
      </c>
      <c r="C109" s="14">
        <v>43568</v>
      </c>
      <c r="D109" s="15" t="s">
        <v>9</v>
      </c>
      <c r="E109" s="15" t="s">
        <v>18</v>
      </c>
      <c r="F109" s="15" t="s">
        <v>17</v>
      </c>
      <c r="G109" s="15">
        <v>600</v>
      </c>
      <c r="H109" s="15">
        <v>1</v>
      </c>
    </row>
    <row r="110" spans="2:8" x14ac:dyDescent="0.3">
      <c r="B110" s="15">
        <v>104</v>
      </c>
      <c r="C110" s="14">
        <v>43569</v>
      </c>
      <c r="D110" s="15" t="s">
        <v>9</v>
      </c>
      <c r="E110" s="15" t="s">
        <v>19</v>
      </c>
      <c r="F110" s="15" t="s">
        <v>20</v>
      </c>
      <c r="G110" s="15">
        <v>850</v>
      </c>
      <c r="H110" s="15">
        <v>1</v>
      </c>
    </row>
    <row r="111" spans="2:8" x14ac:dyDescent="0.3">
      <c r="B111" s="15">
        <v>105</v>
      </c>
      <c r="C111" s="14">
        <v>43570</v>
      </c>
      <c r="D111" s="15" t="s">
        <v>9</v>
      </c>
      <c r="E111" s="15" t="s">
        <v>19</v>
      </c>
      <c r="F111" s="15" t="s">
        <v>20</v>
      </c>
      <c r="G111" s="15">
        <v>850</v>
      </c>
      <c r="H111" s="15">
        <v>1</v>
      </c>
    </row>
    <row r="112" spans="2:8" x14ac:dyDescent="0.3">
      <c r="B112" s="15">
        <v>106</v>
      </c>
      <c r="C112" s="14">
        <v>43571</v>
      </c>
      <c r="D112" s="15" t="s">
        <v>9</v>
      </c>
      <c r="E112" s="15" t="s">
        <v>10</v>
      </c>
      <c r="F112" s="15" t="s">
        <v>11</v>
      </c>
      <c r="G112" s="15">
        <v>1100</v>
      </c>
      <c r="H112" s="15">
        <v>1</v>
      </c>
    </row>
    <row r="113" spans="2:8" x14ac:dyDescent="0.3">
      <c r="B113" s="15">
        <v>107</v>
      </c>
      <c r="C113" s="14">
        <v>43572</v>
      </c>
      <c r="D113" s="15" t="s">
        <v>9</v>
      </c>
      <c r="E113" s="15" t="s">
        <v>15</v>
      </c>
      <c r="F113" s="15" t="s">
        <v>11</v>
      </c>
      <c r="G113" s="15">
        <v>1000</v>
      </c>
      <c r="H113" s="15">
        <v>1</v>
      </c>
    </row>
    <row r="114" spans="2:8" x14ac:dyDescent="0.3">
      <c r="B114" s="15">
        <v>108</v>
      </c>
      <c r="C114" s="14">
        <v>43573</v>
      </c>
      <c r="D114" s="15" t="s">
        <v>9</v>
      </c>
      <c r="E114" s="15" t="s">
        <v>10</v>
      </c>
      <c r="F114" s="15" t="s">
        <v>11</v>
      </c>
      <c r="G114" s="15">
        <v>1100</v>
      </c>
      <c r="H114" s="15">
        <v>1</v>
      </c>
    </row>
    <row r="115" spans="2:8" x14ac:dyDescent="0.3">
      <c r="B115" s="15">
        <v>109</v>
      </c>
      <c r="C115" s="14">
        <v>43574</v>
      </c>
      <c r="D115" s="15" t="s">
        <v>9</v>
      </c>
      <c r="E115" s="15" t="s">
        <v>18</v>
      </c>
      <c r="F115" s="15" t="s">
        <v>17</v>
      </c>
      <c r="G115" s="15">
        <v>600</v>
      </c>
      <c r="H115" s="15">
        <v>1</v>
      </c>
    </row>
    <row r="116" spans="2:8" x14ac:dyDescent="0.3">
      <c r="B116" s="15">
        <v>110</v>
      </c>
      <c r="C116" s="14">
        <v>43575</v>
      </c>
      <c r="D116" s="15" t="s">
        <v>9</v>
      </c>
      <c r="E116" s="15" t="s">
        <v>18</v>
      </c>
      <c r="F116" s="15" t="s">
        <v>17</v>
      </c>
      <c r="G116" s="15">
        <v>600</v>
      </c>
      <c r="H116" s="15">
        <v>2</v>
      </c>
    </row>
    <row r="117" spans="2:8" x14ac:dyDescent="0.3">
      <c r="B117" s="15">
        <v>111</v>
      </c>
      <c r="C117" s="14">
        <v>43576</v>
      </c>
      <c r="D117" s="15" t="s">
        <v>9</v>
      </c>
      <c r="E117" s="15" t="s">
        <v>18</v>
      </c>
      <c r="F117" s="15" t="s">
        <v>17</v>
      </c>
      <c r="G117" s="15">
        <v>600</v>
      </c>
      <c r="H117" s="15">
        <v>1</v>
      </c>
    </row>
    <row r="118" spans="2:8" x14ac:dyDescent="0.3">
      <c r="B118" s="15">
        <v>112</v>
      </c>
      <c r="C118" s="14">
        <v>43577</v>
      </c>
      <c r="D118" s="15" t="s">
        <v>9</v>
      </c>
      <c r="E118" s="15" t="s">
        <v>18</v>
      </c>
      <c r="F118" s="15" t="s">
        <v>17</v>
      </c>
      <c r="G118" s="15">
        <v>600</v>
      </c>
      <c r="H118" s="15">
        <v>1</v>
      </c>
    </row>
    <row r="119" spans="2:8" x14ac:dyDescent="0.3">
      <c r="B119" s="15">
        <v>113</v>
      </c>
      <c r="C119" s="14">
        <v>43578</v>
      </c>
      <c r="D119" s="15" t="s">
        <v>9</v>
      </c>
      <c r="E119" s="15" t="s">
        <v>10</v>
      </c>
      <c r="F119" s="15" t="s">
        <v>11</v>
      </c>
      <c r="G119" s="15">
        <v>1100</v>
      </c>
      <c r="H119" s="15">
        <v>1</v>
      </c>
    </row>
    <row r="120" spans="2:8" x14ac:dyDescent="0.3">
      <c r="B120" s="15">
        <v>114</v>
      </c>
      <c r="C120" s="14">
        <v>43579</v>
      </c>
      <c r="D120" s="15" t="s">
        <v>9</v>
      </c>
      <c r="E120" s="15" t="s">
        <v>14</v>
      </c>
      <c r="F120" s="15" t="s">
        <v>11</v>
      </c>
      <c r="G120" s="15">
        <v>900</v>
      </c>
      <c r="H120" s="15">
        <v>1</v>
      </c>
    </row>
    <row r="121" spans="2:8" x14ac:dyDescent="0.3">
      <c r="B121" s="15">
        <v>115</v>
      </c>
      <c r="C121" s="14">
        <v>43580</v>
      </c>
      <c r="D121" s="15" t="s">
        <v>9</v>
      </c>
      <c r="E121" s="15" t="s">
        <v>18</v>
      </c>
      <c r="F121" s="15" t="s">
        <v>17</v>
      </c>
      <c r="G121" s="15">
        <v>600</v>
      </c>
      <c r="H121" s="15">
        <v>1</v>
      </c>
    </row>
    <row r="122" spans="2:8" x14ac:dyDescent="0.3">
      <c r="B122" s="15">
        <v>116</v>
      </c>
      <c r="C122" s="14">
        <v>43581</v>
      </c>
      <c r="D122" s="15" t="s">
        <v>9</v>
      </c>
      <c r="E122" s="15" t="s">
        <v>14</v>
      </c>
      <c r="F122" s="15" t="s">
        <v>11</v>
      </c>
      <c r="G122" s="15">
        <v>900</v>
      </c>
      <c r="H122" s="15">
        <v>1</v>
      </c>
    </row>
    <row r="123" spans="2:8" x14ac:dyDescent="0.3">
      <c r="B123" s="15">
        <v>117</v>
      </c>
      <c r="C123" s="14">
        <v>43582</v>
      </c>
      <c r="D123" s="15" t="s">
        <v>9</v>
      </c>
      <c r="E123" s="15" t="s">
        <v>12</v>
      </c>
      <c r="F123" s="15" t="s">
        <v>11</v>
      </c>
      <c r="G123" s="15">
        <v>900</v>
      </c>
      <c r="H123" s="15">
        <v>1</v>
      </c>
    </row>
    <row r="124" spans="2:8" x14ac:dyDescent="0.3">
      <c r="B124" s="15">
        <v>118</v>
      </c>
      <c r="C124" s="14">
        <v>43583</v>
      </c>
      <c r="D124" s="15" t="s">
        <v>9</v>
      </c>
      <c r="E124" s="15" t="s">
        <v>18</v>
      </c>
      <c r="F124" s="15" t="s">
        <v>17</v>
      </c>
      <c r="G124" s="15">
        <v>600</v>
      </c>
      <c r="H124" s="15">
        <v>1</v>
      </c>
    </row>
    <row r="125" spans="2:8" x14ac:dyDescent="0.3">
      <c r="B125" s="15">
        <v>119</v>
      </c>
      <c r="C125" s="14">
        <v>43584</v>
      </c>
      <c r="D125" s="15" t="s">
        <v>9</v>
      </c>
      <c r="E125" s="15" t="s">
        <v>18</v>
      </c>
      <c r="F125" s="15" t="s">
        <v>17</v>
      </c>
      <c r="G125" s="15">
        <v>600</v>
      </c>
      <c r="H125" s="15">
        <v>1</v>
      </c>
    </row>
    <row r="126" spans="2:8" x14ac:dyDescent="0.3">
      <c r="B126" s="15">
        <v>120</v>
      </c>
      <c r="C126" s="14">
        <v>43585</v>
      </c>
      <c r="D126" s="15" t="s">
        <v>9</v>
      </c>
      <c r="E126" s="15" t="s">
        <v>18</v>
      </c>
      <c r="F126" s="15" t="s">
        <v>17</v>
      </c>
      <c r="G126" s="15">
        <v>600</v>
      </c>
      <c r="H126" s="15">
        <v>1</v>
      </c>
    </row>
    <row r="127" spans="2:8" x14ac:dyDescent="0.3">
      <c r="B127" s="15">
        <v>121</v>
      </c>
      <c r="C127" s="14">
        <v>43586</v>
      </c>
      <c r="D127" s="15" t="s">
        <v>9</v>
      </c>
      <c r="E127" s="15" t="s">
        <v>10</v>
      </c>
      <c r="F127" s="15" t="s">
        <v>11</v>
      </c>
      <c r="G127" s="15">
        <v>1100</v>
      </c>
      <c r="H127" s="15">
        <v>1</v>
      </c>
    </row>
    <row r="128" spans="2:8" x14ac:dyDescent="0.3">
      <c r="B128" s="15">
        <v>122</v>
      </c>
      <c r="C128" s="14">
        <v>43587</v>
      </c>
      <c r="D128" s="15" t="s">
        <v>9</v>
      </c>
      <c r="E128" s="15" t="s">
        <v>18</v>
      </c>
      <c r="F128" s="15" t="s">
        <v>17</v>
      </c>
      <c r="G128" s="15">
        <v>600</v>
      </c>
      <c r="H128" s="15">
        <v>1</v>
      </c>
    </row>
    <row r="129" spans="2:8" x14ac:dyDescent="0.3">
      <c r="B129" s="15">
        <v>123</v>
      </c>
      <c r="C129" s="14">
        <v>43588</v>
      </c>
      <c r="D129" s="15" t="s">
        <v>9</v>
      </c>
      <c r="E129" s="15" t="s">
        <v>18</v>
      </c>
      <c r="F129" s="15" t="s">
        <v>17</v>
      </c>
      <c r="G129" s="15">
        <v>600</v>
      </c>
      <c r="H129" s="15">
        <v>1</v>
      </c>
    </row>
    <row r="130" spans="2:8" x14ac:dyDescent="0.3">
      <c r="B130" s="15">
        <v>124</v>
      </c>
      <c r="C130" s="14">
        <v>43589</v>
      </c>
      <c r="D130" s="15" t="s">
        <v>9</v>
      </c>
      <c r="E130" s="15" t="s">
        <v>18</v>
      </c>
      <c r="F130" s="15" t="s">
        <v>17</v>
      </c>
      <c r="G130" s="15">
        <v>600</v>
      </c>
      <c r="H130" s="15">
        <v>1</v>
      </c>
    </row>
    <row r="131" spans="2:8" x14ac:dyDescent="0.3">
      <c r="B131" s="15">
        <v>125</v>
      </c>
      <c r="C131" s="14">
        <v>43590</v>
      </c>
      <c r="D131" s="15" t="s">
        <v>9</v>
      </c>
      <c r="E131" s="15" t="s">
        <v>12</v>
      </c>
      <c r="F131" s="15" t="s">
        <v>11</v>
      </c>
      <c r="G131" s="15">
        <v>900</v>
      </c>
      <c r="H131" s="15">
        <v>1</v>
      </c>
    </row>
    <row r="132" spans="2:8" x14ac:dyDescent="0.3">
      <c r="B132" s="15">
        <v>126</v>
      </c>
      <c r="C132" s="14">
        <v>43591</v>
      </c>
      <c r="D132" s="15" t="s">
        <v>9</v>
      </c>
      <c r="E132" s="15" t="s">
        <v>18</v>
      </c>
      <c r="F132" s="15" t="s">
        <v>17</v>
      </c>
      <c r="G132" s="15">
        <v>600</v>
      </c>
      <c r="H132" s="15">
        <v>1</v>
      </c>
    </row>
    <row r="133" spans="2:8" x14ac:dyDescent="0.3">
      <c r="B133" s="15">
        <v>127</v>
      </c>
      <c r="C133" s="14">
        <v>43592</v>
      </c>
      <c r="D133" s="15" t="s">
        <v>9</v>
      </c>
      <c r="E133" s="15" t="s">
        <v>14</v>
      </c>
      <c r="F133" s="15" t="s">
        <v>11</v>
      </c>
      <c r="G133" s="15">
        <v>900</v>
      </c>
      <c r="H133" s="15">
        <v>1</v>
      </c>
    </row>
    <row r="134" spans="2:8" x14ac:dyDescent="0.3">
      <c r="B134" s="15">
        <v>128</v>
      </c>
      <c r="C134" s="14">
        <v>43593</v>
      </c>
      <c r="D134" s="15" t="s">
        <v>9</v>
      </c>
      <c r="E134" s="15" t="s">
        <v>21</v>
      </c>
      <c r="F134" s="15" t="s">
        <v>20</v>
      </c>
      <c r="G134" s="15">
        <v>1200</v>
      </c>
      <c r="H134" s="15">
        <v>1</v>
      </c>
    </row>
    <row r="135" spans="2:8" x14ac:dyDescent="0.3">
      <c r="B135" s="15">
        <v>129</v>
      </c>
      <c r="C135" s="14">
        <v>43594</v>
      </c>
      <c r="D135" s="15" t="s">
        <v>9</v>
      </c>
      <c r="E135" s="15" t="s">
        <v>10</v>
      </c>
      <c r="F135" s="15" t="s">
        <v>11</v>
      </c>
      <c r="G135" s="15">
        <v>1100</v>
      </c>
      <c r="H135" s="15">
        <v>1</v>
      </c>
    </row>
    <row r="136" spans="2:8" x14ac:dyDescent="0.3">
      <c r="B136" s="15">
        <v>130</v>
      </c>
      <c r="C136" s="14">
        <v>43595</v>
      </c>
      <c r="D136" s="15" t="s">
        <v>9</v>
      </c>
      <c r="E136" s="15" t="s">
        <v>10</v>
      </c>
      <c r="F136" s="15" t="s">
        <v>11</v>
      </c>
      <c r="G136" s="15">
        <v>1100</v>
      </c>
      <c r="H136" s="15">
        <v>1</v>
      </c>
    </row>
    <row r="137" spans="2:8" x14ac:dyDescent="0.3">
      <c r="B137" s="15">
        <v>131</v>
      </c>
      <c r="C137" s="14">
        <v>43596</v>
      </c>
      <c r="D137" s="15" t="s">
        <v>9</v>
      </c>
      <c r="E137" s="15" t="s">
        <v>18</v>
      </c>
      <c r="F137" s="15" t="s">
        <v>17</v>
      </c>
      <c r="G137" s="15">
        <v>600</v>
      </c>
      <c r="H137" s="15">
        <v>1</v>
      </c>
    </row>
    <row r="138" spans="2:8" x14ac:dyDescent="0.3">
      <c r="B138" s="15">
        <v>132</v>
      </c>
      <c r="C138" s="14">
        <v>43597</v>
      </c>
      <c r="D138" s="15" t="s">
        <v>9</v>
      </c>
      <c r="E138" s="15" t="s">
        <v>18</v>
      </c>
      <c r="F138" s="15" t="s">
        <v>17</v>
      </c>
      <c r="G138" s="15">
        <v>600</v>
      </c>
      <c r="H138" s="15">
        <v>2</v>
      </c>
    </row>
    <row r="139" spans="2:8" x14ac:dyDescent="0.3">
      <c r="B139" s="15">
        <v>133</v>
      </c>
      <c r="C139" s="14">
        <v>43598</v>
      </c>
      <c r="D139" s="15" t="s">
        <v>9</v>
      </c>
      <c r="E139" s="15" t="s">
        <v>21</v>
      </c>
      <c r="F139" s="15" t="s">
        <v>20</v>
      </c>
      <c r="G139" s="15">
        <v>1200</v>
      </c>
      <c r="H139" s="15">
        <v>1</v>
      </c>
    </row>
    <row r="140" spans="2:8" x14ac:dyDescent="0.3">
      <c r="B140" s="15">
        <v>134</v>
      </c>
      <c r="C140" s="14">
        <v>43599</v>
      </c>
      <c r="D140" s="15" t="s">
        <v>9</v>
      </c>
      <c r="E140" s="15" t="s">
        <v>21</v>
      </c>
      <c r="F140" s="15" t="s">
        <v>20</v>
      </c>
      <c r="G140" s="15">
        <v>1200</v>
      </c>
      <c r="H140" s="15">
        <v>1</v>
      </c>
    </row>
    <row r="141" spans="2:8" x14ac:dyDescent="0.3">
      <c r="B141" s="15">
        <v>135</v>
      </c>
      <c r="C141" s="14">
        <v>43600</v>
      </c>
      <c r="D141" s="15" t="s">
        <v>9</v>
      </c>
      <c r="E141" s="15" t="s">
        <v>15</v>
      </c>
      <c r="F141" s="15" t="s">
        <v>11</v>
      </c>
      <c r="G141" s="15">
        <v>1000</v>
      </c>
      <c r="H141" s="15">
        <v>1</v>
      </c>
    </row>
    <row r="142" spans="2:8" x14ac:dyDescent="0.3">
      <c r="B142" s="15">
        <v>136</v>
      </c>
      <c r="C142" s="14">
        <v>43601</v>
      </c>
      <c r="D142" s="15" t="s">
        <v>9</v>
      </c>
      <c r="E142" s="15" t="s">
        <v>16</v>
      </c>
      <c r="F142" s="15" t="s">
        <v>17</v>
      </c>
      <c r="G142" s="15">
        <v>800</v>
      </c>
      <c r="H142" s="15">
        <v>2</v>
      </c>
    </row>
    <row r="143" spans="2:8" x14ac:dyDescent="0.3">
      <c r="B143" s="15">
        <v>137</v>
      </c>
      <c r="C143" s="14">
        <v>43602</v>
      </c>
      <c r="D143" s="15" t="s">
        <v>9</v>
      </c>
      <c r="E143" s="15" t="s">
        <v>21</v>
      </c>
      <c r="F143" s="15" t="s">
        <v>20</v>
      </c>
      <c r="G143" s="15">
        <v>1200</v>
      </c>
      <c r="H143" s="15">
        <v>1</v>
      </c>
    </row>
    <row r="144" spans="2:8" x14ac:dyDescent="0.3">
      <c r="B144" s="15">
        <v>138</v>
      </c>
      <c r="C144" s="14">
        <v>43603</v>
      </c>
      <c r="D144" s="15" t="s">
        <v>9</v>
      </c>
      <c r="E144" s="15" t="s">
        <v>14</v>
      </c>
      <c r="F144" s="15" t="s">
        <v>11</v>
      </c>
      <c r="G144" s="15">
        <v>900</v>
      </c>
      <c r="H144" s="15">
        <v>1</v>
      </c>
    </row>
    <row r="145" spans="2:8" x14ac:dyDescent="0.3">
      <c r="B145" s="15">
        <v>139</v>
      </c>
      <c r="C145" s="14">
        <v>43604</v>
      </c>
      <c r="D145" s="15" t="s">
        <v>9</v>
      </c>
      <c r="E145" s="15" t="s">
        <v>15</v>
      </c>
      <c r="F145" s="15" t="s">
        <v>11</v>
      </c>
      <c r="G145" s="15">
        <v>1000</v>
      </c>
      <c r="H145" s="15">
        <v>1</v>
      </c>
    </row>
    <row r="146" spans="2:8" x14ac:dyDescent="0.3">
      <c r="B146" s="15">
        <v>140</v>
      </c>
      <c r="C146" s="14">
        <v>43605</v>
      </c>
      <c r="D146" s="15" t="s">
        <v>9</v>
      </c>
      <c r="E146" s="15" t="s">
        <v>16</v>
      </c>
      <c r="F146" s="15" t="s">
        <v>17</v>
      </c>
      <c r="G146" s="15">
        <v>800</v>
      </c>
      <c r="H146" s="15">
        <v>1</v>
      </c>
    </row>
    <row r="147" spans="2:8" x14ac:dyDescent="0.3">
      <c r="B147" s="15">
        <v>141</v>
      </c>
      <c r="C147" s="14">
        <v>43606</v>
      </c>
      <c r="D147" s="15" t="s">
        <v>9</v>
      </c>
      <c r="E147" s="15" t="s">
        <v>21</v>
      </c>
      <c r="F147" s="15" t="s">
        <v>20</v>
      </c>
      <c r="G147" s="15">
        <v>1200</v>
      </c>
      <c r="H147" s="15">
        <v>1</v>
      </c>
    </row>
    <row r="148" spans="2:8" x14ac:dyDescent="0.3">
      <c r="B148" s="15">
        <v>142</v>
      </c>
      <c r="C148" s="14">
        <v>43607</v>
      </c>
      <c r="D148" s="15" t="s">
        <v>9</v>
      </c>
      <c r="E148" s="15" t="s">
        <v>21</v>
      </c>
      <c r="F148" s="15" t="s">
        <v>20</v>
      </c>
      <c r="G148" s="15">
        <v>1200</v>
      </c>
      <c r="H148" s="15">
        <v>1</v>
      </c>
    </row>
    <row r="149" spans="2:8" x14ac:dyDescent="0.3">
      <c r="B149" s="15">
        <v>143</v>
      </c>
      <c r="C149" s="14">
        <v>43608</v>
      </c>
      <c r="D149" s="15" t="s">
        <v>9</v>
      </c>
      <c r="E149" s="15" t="s">
        <v>16</v>
      </c>
      <c r="F149" s="15" t="s">
        <v>17</v>
      </c>
      <c r="G149" s="15">
        <v>800</v>
      </c>
      <c r="H149" s="15">
        <v>2</v>
      </c>
    </row>
    <row r="150" spans="2:8" x14ac:dyDescent="0.3">
      <c r="B150" s="15">
        <v>144</v>
      </c>
      <c r="C150" s="14">
        <v>43609</v>
      </c>
      <c r="D150" s="15" t="s">
        <v>9</v>
      </c>
      <c r="E150" s="15" t="s">
        <v>12</v>
      </c>
      <c r="F150" s="15" t="s">
        <v>11</v>
      </c>
      <c r="G150" s="15">
        <v>900</v>
      </c>
      <c r="H150" s="15">
        <v>1</v>
      </c>
    </row>
    <row r="151" spans="2:8" x14ac:dyDescent="0.3">
      <c r="B151" s="15">
        <v>145</v>
      </c>
      <c r="C151" s="14">
        <v>43610</v>
      </c>
      <c r="D151" s="15" t="s">
        <v>9</v>
      </c>
      <c r="E151" s="15" t="s">
        <v>15</v>
      </c>
      <c r="F151" s="15" t="s">
        <v>11</v>
      </c>
      <c r="G151" s="15">
        <v>1000</v>
      </c>
      <c r="H151" s="15">
        <v>1</v>
      </c>
    </row>
    <row r="152" spans="2:8" x14ac:dyDescent="0.3">
      <c r="B152" s="15">
        <v>146</v>
      </c>
      <c r="C152" s="14">
        <v>43611</v>
      </c>
      <c r="D152" s="15" t="s">
        <v>9</v>
      </c>
      <c r="E152" s="15" t="s">
        <v>15</v>
      </c>
      <c r="F152" s="15" t="s">
        <v>11</v>
      </c>
      <c r="G152" s="15">
        <v>1000</v>
      </c>
      <c r="H152" s="15">
        <v>1</v>
      </c>
    </row>
    <row r="153" spans="2:8" x14ac:dyDescent="0.3">
      <c r="B153" s="15">
        <v>147</v>
      </c>
      <c r="C153" s="14">
        <v>43612</v>
      </c>
      <c r="D153" s="15" t="s">
        <v>9</v>
      </c>
      <c r="E153" s="15" t="s">
        <v>18</v>
      </c>
      <c r="F153" s="15" t="s">
        <v>17</v>
      </c>
      <c r="G153" s="15">
        <v>600</v>
      </c>
      <c r="H153" s="15">
        <v>1</v>
      </c>
    </row>
    <row r="154" spans="2:8" x14ac:dyDescent="0.3">
      <c r="B154" s="15">
        <v>148</v>
      </c>
      <c r="C154" s="14">
        <v>43613</v>
      </c>
      <c r="D154" s="15" t="s">
        <v>9</v>
      </c>
      <c r="E154" s="15" t="s">
        <v>19</v>
      </c>
      <c r="F154" s="15" t="s">
        <v>20</v>
      </c>
      <c r="G154" s="15">
        <v>850</v>
      </c>
      <c r="H154" s="15">
        <v>1</v>
      </c>
    </row>
    <row r="155" spans="2:8" x14ac:dyDescent="0.3">
      <c r="B155" s="15">
        <v>149</v>
      </c>
      <c r="C155" s="14">
        <v>43614</v>
      </c>
      <c r="D155" s="15" t="s">
        <v>9</v>
      </c>
      <c r="E155" s="15" t="s">
        <v>18</v>
      </c>
      <c r="F155" s="15" t="s">
        <v>17</v>
      </c>
      <c r="G155" s="15">
        <v>600</v>
      </c>
      <c r="H155" s="15">
        <v>1</v>
      </c>
    </row>
    <row r="156" spans="2:8" x14ac:dyDescent="0.3">
      <c r="B156" s="15">
        <v>150</v>
      </c>
      <c r="C156" s="14">
        <v>43615</v>
      </c>
      <c r="D156" s="15" t="s">
        <v>9</v>
      </c>
      <c r="E156" s="15" t="s">
        <v>19</v>
      </c>
      <c r="F156" s="15" t="s">
        <v>20</v>
      </c>
      <c r="G156" s="15">
        <v>850</v>
      </c>
      <c r="H156" s="15">
        <v>1</v>
      </c>
    </row>
    <row r="157" spans="2:8" x14ac:dyDescent="0.3">
      <c r="B157" s="15">
        <v>151</v>
      </c>
      <c r="C157" s="14">
        <v>43616</v>
      </c>
      <c r="D157" s="15" t="s">
        <v>9</v>
      </c>
      <c r="E157" s="15" t="s">
        <v>19</v>
      </c>
      <c r="F157" s="15" t="s">
        <v>20</v>
      </c>
      <c r="G157" s="15">
        <v>850</v>
      </c>
      <c r="H157" s="15">
        <v>1</v>
      </c>
    </row>
    <row r="158" spans="2:8" x14ac:dyDescent="0.3">
      <c r="B158" s="15">
        <v>152</v>
      </c>
      <c r="C158" s="14">
        <v>43617</v>
      </c>
      <c r="D158" s="15" t="s">
        <v>9</v>
      </c>
      <c r="E158" s="15" t="s">
        <v>12</v>
      </c>
      <c r="F158" s="15" t="s">
        <v>11</v>
      </c>
      <c r="G158" s="15">
        <v>900</v>
      </c>
      <c r="H158" s="15">
        <v>1</v>
      </c>
    </row>
    <row r="159" spans="2:8" x14ac:dyDescent="0.3">
      <c r="B159" s="15">
        <v>153</v>
      </c>
      <c r="C159" s="14">
        <v>43618</v>
      </c>
      <c r="D159" s="15" t="s">
        <v>9</v>
      </c>
      <c r="E159" s="15" t="s">
        <v>21</v>
      </c>
      <c r="F159" s="15" t="s">
        <v>20</v>
      </c>
      <c r="G159" s="15">
        <v>1200</v>
      </c>
      <c r="H159" s="15">
        <v>2</v>
      </c>
    </row>
    <row r="160" spans="2:8" x14ac:dyDescent="0.3">
      <c r="B160" s="15">
        <v>154</v>
      </c>
      <c r="C160" s="14">
        <v>43619</v>
      </c>
      <c r="D160" s="15" t="s">
        <v>9</v>
      </c>
      <c r="E160" s="15" t="s">
        <v>16</v>
      </c>
      <c r="F160" s="15" t="s">
        <v>17</v>
      </c>
      <c r="G160" s="15">
        <v>800</v>
      </c>
      <c r="H160" s="15">
        <v>1</v>
      </c>
    </row>
    <row r="161" spans="2:8" x14ac:dyDescent="0.3">
      <c r="B161" s="15">
        <v>155</v>
      </c>
      <c r="C161" s="14">
        <v>43620</v>
      </c>
      <c r="D161" s="15" t="s">
        <v>9</v>
      </c>
      <c r="E161" s="15" t="s">
        <v>16</v>
      </c>
      <c r="F161" s="15" t="s">
        <v>17</v>
      </c>
      <c r="G161" s="15">
        <v>800</v>
      </c>
      <c r="H161" s="15">
        <v>1</v>
      </c>
    </row>
    <row r="162" spans="2:8" x14ac:dyDescent="0.3">
      <c r="B162" s="15">
        <v>156</v>
      </c>
      <c r="C162" s="14">
        <v>43621</v>
      </c>
      <c r="D162" s="15" t="s">
        <v>9</v>
      </c>
      <c r="E162" s="15" t="s">
        <v>14</v>
      </c>
      <c r="F162" s="15" t="s">
        <v>11</v>
      </c>
      <c r="G162" s="15">
        <v>900</v>
      </c>
      <c r="H162" s="15">
        <v>1</v>
      </c>
    </row>
    <row r="163" spans="2:8" x14ac:dyDescent="0.3">
      <c r="B163" s="15">
        <v>157</v>
      </c>
      <c r="C163" s="14">
        <v>43622</v>
      </c>
      <c r="D163" s="15" t="s">
        <v>9</v>
      </c>
      <c r="E163" s="15" t="s">
        <v>16</v>
      </c>
      <c r="F163" s="15" t="s">
        <v>17</v>
      </c>
      <c r="G163" s="15">
        <v>800</v>
      </c>
      <c r="H163" s="15">
        <v>1</v>
      </c>
    </row>
    <row r="164" spans="2:8" x14ac:dyDescent="0.3">
      <c r="B164" s="15">
        <v>158</v>
      </c>
      <c r="C164" s="14">
        <v>43623</v>
      </c>
      <c r="D164" s="15" t="s">
        <v>9</v>
      </c>
      <c r="E164" s="15" t="s">
        <v>18</v>
      </c>
      <c r="F164" s="15" t="s">
        <v>17</v>
      </c>
      <c r="G164" s="15">
        <v>600</v>
      </c>
      <c r="H164" s="15">
        <v>1</v>
      </c>
    </row>
    <row r="165" spans="2:8" x14ac:dyDescent="0.3">
      <c r="B165" s="15">
        <v>159</v>
      </c>
      <c r="C165" s="14">
        <v>43624</v>
      </c>
      <c r="D165" s="15" t="s">
        <v>9</v>
      </c>
      <c r="E165" s="15" t="s">
        <v>12</v>
      </c>
      <c r="F165" s="15" t="s">
        <v>11</v>
      </c>
      <c r="G165" s="15">
        <v>900</v>
      </c>
      <c r="H165" s="15">
        <v>3</v>
      </c>
    </row>
    <row r="166" spans="2:8" x14ac:dyDescent="0.3">
      <c r="B166" s="15">
        <v>160</v>
      </c>
      <c r="C166" s="14">
        <v>43625</v>
      </c>
      <c r="D166" s="15" t="s">
        <v>9</v>
      </c>
      <c r="E166" s="15" t="s">
        <v>18</v>
      </c>
      <c r="F166" s="15" t="s">
        <v>17</v>
      </c>
      <c r="G166" s="15">
        <v>600</v>
      </c>
      <c r="H166" s="15">
        <v>1</v>
      </c>
    </row>
    <row r="167" spans="2:8" x14ac:dyDescent="0.3">
      <c r="B167" s="15">
        <v>161</v>
      </c>
      <c r="C167" s="14">
        <v>43626</v>
      </c>
      <c r="D167" s="15" t="s">
        <v>9</v>
      </c>
      <c r="E167" s="15" t="s">
        <v>16</v>
      </c>
      <c r="F167" s="15" t="s">
        <v>17</v>
      </c>
      <c r="G167" s="15">
        <v>800</v>
      </c>
      <c r="H167" s="15">
        <v>1</v>
      </c>
    </row>
    <row r="168" spans="2:8" x14ac:dyDescent="0.3">
      <c r="B168" s="15">
        <v>162</v>
      </c>
      <c r="C168" s="14">
        <v>43627</v>
      </c>
      <c r="D168" s="15" t="s">
        <v>9</v>
      </c>
      <c r="E168" s="15" t="s">
        <v>18</v>
      </c>
      <c r="F168" s="15" t="s">
        <v>17</v>
      </c>
      <c r="G168" s="15">
        <v>600</v>
      </c>
      <c r="H168" s="15">
        <v>1</v>
      </c>
    </row>
    <row r="169" spans="2:8" x14ac:dyDescent="0.3">
      <c r="B169" s="15">
        <v>163</v>
      </c>
      <c r="C169" s="14">
        <v>43628</v>
      </c>
      <c r="D169" s="15" t="s">
        <v>9</v>
      </c>
      <c r="E169" s="15" t="s">
        <v>10</v>
      </c>
      <c r="F169" s="15" t="s">
        <v>11</v>
      </c>
      <c r="G169" s="15">
        <v>1100</v>
      </c>
      <c r="H169" s="15">
        <v>1</v>
      </c>
    </row>
    <row r="170" spans="2:8" x14ac:dyDescent="0.3">
      <c r="B170" s="15">
        <v>164</v>
      </c>
      <c r="C170" s="14">
        <v>43629</v>
      </c>
      <c r="D170" s="15" t="s">
        <v>9</v>
      </c>
      <c r="E170" s="15" t="s">
        <v>14</v>
      </c>
      <c r="F170" s="15" t="s">
        <v>11</v>
      </c>
      <c r="G170" s="15">
        <v>900</v>
      </c>
      <c r="H170" s="15">
        <v>1</v>
      </c>
    </row>
    <row r="171" spans="2:8" x14ac:dyDescent="0.3">
      <c r="B171" s="15">
        <v>165</v>
      </c>
      <c r="C171" s="14">
        <v>43630</v>
      </c>
      <c r="D171" s="15" t="s">
        <v>9</v>
      </c>
      <c r="E171" s="15" t="s">
        <v>10</v>
      </c>
      <c r="F171" s="15" t="s">
        <v>11</v>
      </c>
      <c r="G171" s="15">
        <v>1100</v>
      </c>
      <c r="H171" s="15">
        <v>1</v>
      </c>
    </row>
    <row r="172" spans="2:8" x14ac:dyDescent="0.3">
      <c r="B172" s="15">
        <v>166</v>
      </c>
      <c r="C172" s="14">
        <v>43631</v>
      </c>
      <c r="D172" s="15" t="s">
        <v>9</v>
      </c>
      <c r="E172" s="15" t="s">
        <v>10</v>
      </c>
      <c r="F172" s="15" t="s">
        <v>11</v>
      </c>
      <c r="G172" s="15">
        <v>1100</v>
      </c>
      <c r="H172" s="15">
        <v>1</v>
      </c>
    </row>
    <row r="173" spans="2:8" x14ac:dyDescent="0.3">
      <c r="B173" s="15">
        <v>167</v>
      </c>
      <c r="C173" s="14">
        <v>43632</v>
      </c>
      <c r="D173" s="15" t="s">
        <v>9</v>
      </c>
      <c r="E173" s="15" t="s">
        <v>21</v>
      </c>
      <c r="F173" s="15" t="s">
        <v>20</v>
      </c>
      <c r="G173" s="15">
        <v>1200</v>
      </c>
      <c r="H173" s="15">
        <v>1</v>
      </c>
    </row>
    <row r="174" spans="2:8" x14ac:dyDescent="0.3">
      <c r="B174" s="15">
        <v>168</v>
      </c>
      <c r="C174" s="14">
        <v>43633</v>
      </c>
      <c r="D174" s="15" t="s">
        <v>9</v>
      </c>
      <c r="E174" s="15" t="s">
        <v>21</v>
      </c>
      <c r="F174" s="15" t="s">
        <v>20</v>
      </c>
      <c r="G174" s="15">
        <v>1200</v>
      </c>
      <c r="H174" s="15">
        <v>1</v>
      </c>
    </row>
    <row r="175" spans="2:8" x14ac:dyDescent="0.3">
      <c r="B175" s="15">
        <v>169</v>
      </c>
      <c r="C175" s="14">
        <v>43634</v>
      </c>
      <c r="D175" s="15" t="s">
        <v>9</v>
      </c>
      <c r="E175" s="15" t="s">
        <v>10</v>
      </c>
      <c r="F175" s="15" t="s">
        <v>11</v>
      </c>
      <c r="G175" s="15">
        <v>1100</v>
      </c>
      <c r="H175" s="15">
        <v>1</v>
      </c>
    </row>
    <row r="176" spans="2:8" x14ac:dyDescent="0.3">
      <c r="B176" s="15">
        <v>170</v>
      </c>
      <c r="C176" s="14">
        <v>43635</v>
      </c>
      <c r="D176" s="15" t="s">
        <v>9</v>
      </c>
      <c r="E176" s="15" t="s">
        <v>10</v>
      </c>
      <c r="F176" s="15" t="s">
        <v>11</v>
      </c>
      <c r="G176" s="15">
        <v>1100</v>
      </c>
      <c r="H176" s="15">
        <v>1</v>
      </c>
    </row>
    <row r="177" spans="2:8" x14ac:dyDescent="0.3">
      <c r="B177" s="15">
        <v>171</v>
      </c>
      <c r="C177" s="14">
        <v>43636</v>
      </c>
      <c r="D177" s="15" t="s">
        <v>9</v>
      </c>
      <c r="E177" s="15" t="s">
        <v>22</v>
      </c>
      <c r="F177" s="15" t="s">
        <v>23</v>
      </c>
      <c r="G177" s="15">
        <v>900</v>
      </c>
      <c r="H177" s="15">
        <v>1</v>
      </c>
    </row>
    <row r="178" spans="2:8" x14ac:dyDescent="0.3">
      <c r="B178" s="15">
        <v>172</v>
      </c>
      <c r="C178" s="14">
        <v>43637</v>
      </c>
      <c r="D178" s="15" t="s">
        <v>9</v>
      </c>
      <c r="E178" s="15" t="s">
        <v>14</v>
      </c>
      <c r="F178" s="15" t="s">
        <v>11</v>
      </c>
      <c r="G178" s="15">
        <v>900</v>
      </c>
      <c r="H178" s="15">
        <v>1</v>
      </c>
    </row>
    <row r="179" spans="2:8" x14ac:dyDescent="0.3">
      <c r="B179" s="15">
        <v>173</v>
      </c>
      <c r="C179" s="14">
        <v>43638</v>
      </c>
      <c r="D179" s="15" t="s">
        <v>9</v>
      </c>
      <c r="E179" s="15" t="s">
        <v>22</v>
      </c>
      <c r="F179" s="15" t="s">
        <v>23</v>
      </c>
      <c r="G179" s="15">
        <v>800</v>
      </c>
      <c r="H179" s="15">
        <v>1</v>
      </c>
    </row>
    <row r="180" spans="2:8" x14ac:dyDescent="0.3">
      <c r="B180" s="15">
        <v>174</v>
      </c>
      <c r="C180" s="14">
        <v>43639</v>
      </c>
      <c r="D180" s="15" t="s">
        <v>9</v>
      </c>
      <c r="E180" s="15" t="s">
        <v>18</v>
      </c>
      <c r="F180" s="15" t="s">
        <v>17</v>
      </c>
      <c r="G180" s="15">
        <v>600</v>
      </c>
      <c r="H180" s="15">
        <v>1</v>
      </c>
    </row>
    <row r="181" spans="2:8" x14ac:dyDescent="0.3">
      <c r="B181" s="15">
        <v>175</v>
      </c>
      <c r="C181" s="14">
        <v>43640</v>
      </c>
      <c r="D181" s="15" t="s">
        <v>9</v>
      </c>
      <c r="E181" s="15" t="s">
        <v>22</v>
      </c>
      <c r="F181" s="15" t="s">
        <v>23</v>
      </c>
      <c r="G181" s="15">
        <v>800</v>
      </c>
      <c r="H181" s="15">
        <v>1</v>
      </c>
    </row>
    <row r="182" spans="2:8" x14ac:dyDescent="0.3">
      <c r="B182" s="15">
        <v>176</v>
      </c>
      <c r="C182" s="14">
        <v>43641</v>
      </c>
      <c r="D182" s="15" t="s">
        <v>9</v>
      </c>
      <c r="E182" s="15" t="s">
        <v>14</v>
      </c>
      <c r="F182" s="15" t="s">
        <v>11</v>
      </c>
      <c r="G182" s="15">
        <v>900</v>
      </c>
      <c r="H182" s="15">
        <v>1</v>
      </c>
    </row>
    <row r="183" spans="2:8" x14ac:dyDescent="0.3">
      <c r="B183" s="15">
        <v>177</v>
      </c>
      <c r="C183" s="14">
        <v>43642</v>
      </c>
      <c r="D183" s="15" t="s">
        <v>9</v>
      </c>
      <c r="E183" s="15" t="s">
        <v>21</v>
      </c>
      <c r="F183" s="15" t="s">
        <v>20</v>
      </c>
      <c r="G183" s="15">
        <v>1200</v>
      </c>
      <c r="H183" s="15">
        <v>1</v>
      </c>
    </row>
    <row r="184" spans="2:8" x14ac:dyDescent="0.3">
      <c r="B184" s="15">
        <v>178</v>
      </c>
      <c r="C184" s="14">
        <v>43643</v>
      </c>
      <c r="D184" s="15" t="s">
        <v>9</v>
      </c>
      <c r="E184" s="15" t="s">
        <v>22</v>
      </c>
      <c r="F184" s="15" t="s">
        <v>23</v>
      </c>
      <c r="G184" s="15">
        <v>800</v>
      </c>
      <c r="H184" s="15">
        <v>1</v>
      </c>
    </row>
    <row r="185" spans="2:8" x14ac:dyDescent="0.3">
      <c r="B185" s="15">
        <v>179</v>
      </c>
      <c r="C185" s="14">
        <v>43644</v>
      </c>
      <c r="D185" s="15" t="s">
        <v>9</v>
      </c>
      <c r="E185" s="15" t="s">
        <v>12</v>
      </c>
      <c r="F185" s="15" t="s">
        <v>11</v>
      </c>
      <c r="G185" s="15">
        <v>900</v>
      </c>
      <c r="H185" s="15">
        <v>1</v>
      </c>
    </row>
    <row r="186" spans="2:8" x14ac:dyDescent="0.3">
      <c r="B186" s="15">
        <v>180</v>
      </c>
      <c r="C186" s="14">
        <v>43645</v>
      </c>
      <c r="D186" s="15" t="s">
        <v>9</v>
      </c>
      <c r="E186" s="15" t="s">
        <v>21</v>
      </c>
      <c r="F186" s="15" t="s">
        <v>20</v>
      </c>
      <c r="G186" s="15">
        <v>1200</v>
      </c>
      <c r="H186" s="15">
        <v>1</v>
      </c>
    </row>
    <row r="187" spans="2:8" x14ac:dyDescent="0.3">
      <c r="B187" s="15">
        <v>181</v>
      </c>
      <c r="C187" s="14">
        <v>43646</v>
      </c>
      <c r="D187" s="15" t="s">
        <v>9</v>
      </c>
      <c r="E187" s="15" t="s">
        <v>10</v>
      </c>
      <c r="F187" s="15" t="s">
        <v>11</v>
      </c>
      <c r="G187" s="15">
        <v>1100</v>
      </c>
      <c r="H187" s="15">
        <v>1</v>
      </c>
    </row>
    <row r="188" spans="2:8" x14ac:dyDescent="0.3">
      <c r="B188" s="15">
        <v>182</v>
      </c>
      <c r="C188" s="14">
        <v>43647</v>
      </c>
      <c r="D188" s="15" t="s">
        <v>9</v>
      </c>
      <c r="E188" s="15" t="s">
        <v>21</v>
      </c>
      <c r="F188" s="15" t="s">
        <v>20</v>
      </c>
      <c r="G188" s="15">
        <v>1200</v>
      </c>
      <c r="H188" s="15">
        <v>1</v>
      </c>
    </row>
    <row r="189" spans="2:8" x14ac:dyDescent="0.3">
      <c r="B189" s="15">
        <v>183</v>
      </c>
      <c r="C189" s="14">
        <v>43648</v>
      </c>
      <c r="D189" s="15" t="s">
        <v>9</v>
      </c>
      <c r="E189" s="15" t="s">
        <v>14</v>
      </c>
      <c r="F189" s="15" t="s">
        <v>11</v>
      </c>
      <c r="G189" s="15">
        <v>900</v>
      </c>
      <c r="H189" s="15">
        <v>1</v>
      </c>
    </row>
    <row r="190" spans="2:8" x14ac:dyDescent="0.3">
      <c r="B190" s="15">
        <v>184</v>
      </c>
      <c r="C190" s="14">
        <v>43649</v>
      </c>
      <c r="D190" s="15" t="s">
        <v>9</v>
      </c>
      <c r="E190" s="15" t="s">
        <v>10</v>
      </c>
      <c r="F190" s="15" t="s">
        <v>11</v>
      </c>
      <c r="G190" s="15">
        <v>1100</v>
      </c>
      <c r="H190" s="15">
        <v>2</v>
      </c>
    </row>
    <row r="191" spans="2:8" x14ac:dyDescent="0.3">
      <c r="B191" s="15">
        <v>185</v>
      </c>
      <c r="C191" s="14">
        <v>43650</v>
      </c>
      <c r="D191" s="15" t="s">
        <v>9</v>
      </c>
      <c r="E191" s="15" t="s">
        <v>21</v>
      </c>
      <c r="F191" s="15" t="s">
        <v>20</v>
      </c>
      <c r="G191" s="15">
        <v>1200</v>
      </c>
      <c r="H191" s="15">
        <v>1</v>
      </c>
    </row>
    <row r="192" spans="2:8" x14ac:dyDescent="0.3">
      <c r="B192" s="15">
        <v>186</v>
      </c>
      <c r="C192" s="14">
        <v>43651</v>
      </c>
      <c r="D192" s="15" t="s">
        <v>9</v>
      </c>
      <c r="E192" s="15" t="s">
        <v>10</v>
      </c>
      <c r="F192" s="15" t="s">
        <v>11</v>
      </c>
      <c r="G192" s="15">
        <v>1100</v>
      </c>
      <c r="H192" s="15">
        <v>1</v>
      </c>
    </row>
    <row r="193" spans="2:8" x14ac:dyDescent="0.3">
      <c r="B193" s="15">
        <v>187</v>
      </c>
      <c r="C193" s="14">
        <v>43652</v>
      </c>
      <c r="D193" s="15" t="s">
        <v>9</v>
      </c>
      <c r="E193" s="15" t="s">
        <v>12</v>
      </c>
      <c r="F193" s="15" t="s">
        <v>11</v>
      </c>
      <c r="G193" s="15">
        <v>900</v>
      </c>
      <c r="H193" s="15">
        <v>1</v>
      </c>
    </row>
    <row r="194" spans="2:8" x14ac:dyDescent="0.3">
      <c r="B194" s="15">
        <v>188</v>
      </c>
      <c r="C194" s="14">
        <v>43653</v>
      </c>
      <c r="D194" s="15" t="s">
        <v>9</v>
      </c>
      <c r="E194" s="15" t="s">
        <v>18</v>
      </c>
      <c r="F194" s="15" t="s">
        <v>17</v>
      </c>
      <c r="G194" s="15">
        <v>600</v>
      </c>
      <c r="H194" s="15">
        <v>1</v>
      </c>
    </row>
    <row r="195" spans="2:8" x14ac:dyDescent="0.3">
      <c r="B195" s="15">
        <v>189</v>
      </c>
      <c r="C195" s="14">
        <v>43654</v>
      </c>
      <c r="D195" s="15" t="s">
        <v>9</v>
      </c>
      <c r="E195" s="15" t="s">
        <v>22</v>
      </c>
      <c r="F195" s="15" t="s">
        <v>23</v>
      </c>
      <c r="G195" s="15">
        <v>900</v>
      </c>
      <c r="H195" s="15">
        <v>1</v>
      </c>
    </row>
    <row r="196" spans="2:8" x14ac:dyDescent="0.3">
      <c r="B196" s="15">
        <v>190</v>
      </c>
      <c r="C196" s="14">
        <v>43655</v>
      </c>
      <c r="D196" s="15" t="s">
        <v>9</v>
      </c>
      <c r="E196" s="15" t="s">
        <v>16</v>
      </c>
      <c r="F196" s="15" t="s">
        <v>17</v>
      </c>
      <c r="G196" s="15">
        <v>800</v>
      </c>
      <c r="H196" s="15">
        <v>1</v>
      </c>
    </row>
    <row r="197" spans="2:8" x14ac:dyDescent="0.3">
      <c r="B197" s="15">
        <v>191</v>
      </c>
      <c r="C197" s="14">
        <v>43656</v>
      </c>
      <c r="D197" s="15" t="s">
        <v>9</v>
      </c>
      <c r="E197" s="15" t="s">
        <v>10</v>
      </c>
      <c r="F197" s="15" t="s">
        <v>11</v>
      </c>
      <c r="G197" s="15">
        <v>1100</v>
      </c>
      <c r="H197" s="15">
        <v>1</v>
      </c>
    </row>
    <row r="198" spans="2:8" x14ac:dyDescent="0.3">
      <c r="B198" s="15">
        <v>192</v>
      </c>
      <c r="C198" s="14">
        <v>43657</v>
      </c>
      <c r="D198" s="15" t="s">
        <v>9</v>
      </c>
      <c r="E198" s="15" t="s">
        <v>14</v>
      </c>
      <c r="F198" s="15" t="s">
        <v>11</v>
      </c>
      <c r="G198" s="15">
        <v>900</v>
      </c>
      <c r="H198" s="15">
        <v>1</v>
      </c>
    </row>
    <row r="199" spans="2:8" x14ac:dyDescent="0.3">
      <c r="B199" s="15">
        <v>193</v>
      </c>
      <c r="C199" s="14">
        <v>43658</v>
      </c>
      <c r="D199" s="15" t="s">
        <v>9</v>
      </c>
      <c r="E199" s="15" t="s">
        <v>15</v>
      </c>
      <c r="F199" s="15" t="s">
        <v>11</v>
      </c>
      <c r="G199" s="15">
        <v>1000</v>
      </c>
      <c r="H199" s="15">
        <v>1</v>
      </c>
    </row>
    <row r="200" spans="2:8" x14ac:dyDescent="0.3">
      <c r="B200" s="15">
        <v>194</v>
      </c>
      <c r="C200" s="14">
        <v>43659</v>
      </c>
      <c r="D200" s="15" t="s">
        <v>9</v>
      </c>
      <c r="E200" s="15" t="s">
        <v>19</v>
      </c>
      <c r="F200" s="15" t="s">
        <v>20</v>
      </c>
      <c r="G200" s="15">
        <v>850</v>
      </c>
      <c r="H200" s="15">
        <v>1</v>
      </c>
    </row>
    <row r="201" spans="2:8" x14ac:dyDescent="0.3">
      <c r="B201" s="15">
        <v>195</v>
      </c>
      <c r="C201" s="14">
        <v>43660</v>
      </c>
      <c r="D201" s="15" t="s">
        <v>9</v>
      </c>
      <c r="E201" s="15" t="s">
        <v>18</v>
      </c>
      <c r="F201" s="15" t="s">
        <v>17</v>
      </c>
      <c r="G201" s="15">
        <v>600</v>
      </c>
      <c r="H201" s="15">
        <v>1</v>
      </c>
    </row>
    <row r="202" spans="2:8" x14ac:dyDescent="0.3">
      <c r="B202" s="15">
        <v>196</v>
      </c>
      <c r="C202" s="14">
        <v>43661</v>
      </c>
      <c r="D202" s="15" t="s">
        <v>9</v>
      </c>
      <c r="E202" s="15" t="s">
        <v>14</v>
      </c>
      <c r="F202" s="15" t="s">
        <v>11</v>
      </c>
      <c r="G202" s="15">
        <v>900</v>
      </c>
      <c r="H202" s="15">
        <v>1</v>
      </c>
    </row>
    <row r="203" spans="2:8" x14ac:dyDescent="0.3">
      <c r="B203" s="15">
        <v>197</v>
      </c>
      <c r="C203" s="14">
        <v>43662</v>
      </c>
      <c r="D203" s="15" t="s">
        <v>9</v>
      </c>
      <c r="E203" s="15" t="s">
        <v>15</v>
      </c>
      <c r="F203" s="15" t="s">
        <v>11</v>
      </c>
      <c r="G203" s="15">
        <v>1000</v>
      </c>
      <c r="H203" s="15">
        <v>1</v>
      </c>
    </row>
    <row r="204" spans="2:8" x14ac:dyDescent="0.3">
      <c r="B204" s="15">
        <v>198</v>
      </c>
      <c r="C204" s="14">
        <v>43663</v>
      </c>
      <c r="D204" s="15" t="s">
        <v>9</v>
      </c>
      <c r="E204" s="15" t="s">
        <v>14</v>
      </c>
      <c r="F204" s="15" t="s">
        <v>11</v>
      </c>
      <c r="G204" s="15">
        <v>900</v>
      </c>
      <c r="H204" s="15">
        <v>1</v>
      </c>
    </row>
    <row r="205" spans="2:8" x14ac:dyDescent="0.3">
      <c r="B205" s="15">
        <v>199</v>
      </c>
      <c r="C205" s="14">
        <v>43664</v>
      </c>
      <c r="D205" s="15" t="s">
        <v>9</v>
      </c>
      <c r="E205" s="15" t="s">
        <v>12</v>
      </c>
      <c r="F205" s="15" t="s">
        <v>11</v>
      </c>
      <c r="G205" s="15">
        <v>900</v>
      </c>
      <c r="H205" s="15">
        <v>1</v>
      </c>
    </row>
    <row r="206" spans="2:8" x14ac:dyDescent="0.3">
      <c r="B206" s="15">
        <v>200</v>
      </c>
      <c r="C206" s="14">
        <v>43665</v>
      </c>
      <c r="D206" s="15" t="s">
        <v>9</v>
      </c>
      <c r="E206" s="15" t="s">
        <v>18</v>
      </c>
      <c r="F206" s="15" t="s">
        <v>17</v>
      </c>
      <c r="G206" s="15">
        <v>600</v>
      </c>
      <c r="H206" s="15">
        <v>1</v>
      </c>
    </row>
    <row r="207" spans="2:8" x14ac:dyDescent="0.3">
      <c r="B207" s="15">
        <v>201</v>
      </c>
      <c r="C207" s="14">
        <v>43666</v>
      </c>
      <c r="D207" s="15" t="s">
        <v>9</v>
      </c>
      <c r="E207" s="15" t="s">
        <v>22</v>
      </c>
      <c r="F207" s="15" t="s">
        <v>23</v>
      </c>
      <c r="G207" s="15">
        <v>900</v>
      </c>
      <c r="H207" s="15">
        <v>1</v>
      </c>
    </row>
    <row r="208" spans="2:8" x14ac:dyDescent="0.3">
      <c r="B208" s="15">
        <v>202</v>
      </c>
      <c r="C208" s="14">
        <v>43667</v>
      </c>
      <c r="D208" s="15" t="s">
        <v>9</v>
      </c>
      <c r="E208" s="15" t="s">
        <v>22</v>
      </c>
      <c r="F208" s="15" t="s">
        <v>23</v>
      </c>
      <c r="G208" s="15">
        <v>800</v>
      </c>
      <c r="H208" s="15">
        <v>1</v>
      </c>
    </row>
    <row r="209" spans="2:8" x14ac:dyDescent="0.3">
      <c r="B209" s="15">
        <v>203</v>
      </c>
      <c r="C209" s="14">
        <v>43668</v>
      </c>
      <c r="D209" s="15" t="s">
        <v>9</v>
      </c>
      <c r="E209" s="15" t="s">
        <v>16</v>
      </c>
      <c r="F209" s="15" t="s">
        <v>17</v>
      </c>
      <c r="G209" s="15">
        <v>800</v>
      </c>
      <c r="H209" s="15">
        <v>1</v>
      </c>
    </row>
    <row r="210" spans="2:8" x14ac:dyDescent="0.3">
      <c r="B210" s="15">
        <v>204</v>
      </c>
      <c r="C210" s="14">
        <v>43669</v>
      </c>
      <c r="D210" s="15" t="s">
        <v>9</v>
      </c>
      <c r="E210" s="15" t="s">
        <v>18</v>
      </c>
      <c r="F210" s="15" t="s">
        <v>17</v>
      </c>
      <c r="G210" s="15">
        <v>600</v>
      </c>
      <c r="H210" s="15">
        <v>1</v>
      </c>
    </row>
    <row r="211" spans="2:8" x14ac:dyDescent="0.3">
      <c r="B211" s="15">
        <v>205</v>
      </c>
      <c r="C211" s="14">
        <v>43670</v>
      </c>
      <c r="D211" s="15" t="s">
        <v>9</v>
      </c>
      <c r="E211" s="15" t="s">
        <v>22</v>
      </c>
      <c r="F211" s="15" t="s">
        <v>23</v>
      </c>
      <c r="G211" s="15">
        <v>500</v>
      </c>
      <c r="H211" s="15">
        <v>1</v>
      </c>
    </row>
    <row r="212" spans="2:8" x14ac:dyDescent="0.3">
      <c r="B212" s="15">
        <v>206</v>
      </c>
      <c r="C212" s="14">
        <v>43671</v>
      </c>
      <c r="D212" s="15" t="s">
        <v>9</v>
      </c>
      <c r="E212" s="15" t="s">
        <v>14</v>
      </c>
      <c r="F212" s="15" t="s">
        <v>11</v>
      </c>
      <c r="G212" s="15">
        <v>900</v>
      </c>
      <c r="H212" s="15">
        <v>1</v>
      </c>
    </row>
    <row r="213" spans="2:8" x14ac:dyDescent="0.3">
      <c r="B213" s="15">
        <v>207</v>
      </c>
      <c r="C213" s="14">
        <v>43672</v>
      </c>
      <c r="D213" s="15" t="s">
        <v>9</v>
      </c>
      <c r="E213" s="15" t="s">
        <v>10</v>
      </c>
      <c r="F213" s="15" t="s">
        <v>11</v>
      </c>
      <c r="G213" s="15">
        <v>1100</v>
      </c>
      <c r="H213" s="15">
        <v>1</v>
      </c>
    </row>
    <row r="214" spans="2:8" x14ac:dyDescent="0.3">
      <c r="B214" s="15">
        <v>208</v>
      </c>
      <c r="C214" s="14">
        <v>43673</v>
      </c>
      <c r="D214" s="15" t="s">
        <v>9</v>
      </c>
      <c r="E214" s="15" t="s">
        <v>22</v>
      </c>
      <c r="F214" s="15" t="s">
        <v>23</v>
      </c>
      <c r="G214" s="15">
        <v>500</v>
      </c>
      <c r="H214" s="15">
        <v>1</v>
      </c>
    </row>
    <row r="215" spans="2:8" x14ac:dyDescent="0.3">
      <c r="B215" s="15">
        <v>209</v>
      </c>
      <c r="C215" s="14">
        <v>43674</v>
      </c>
      <c r="D215" s="15" t="s">
        <v>9</v>
      </c>
      <c r="E215" s="15" t="s">
        <v>18</v>
      </c>
      <c r="F215" s="15" t="s">
        <v>17</v>
      </c>
      <c r="G215" s="15">
        <v>600</v>
      </c>
      <c r="H215" s="15">
        <v>1</v>
      </c>
    </row>
    <row r="216" spans="2:8" x14ac:dyDescent="0.3">
      <c r="B216" s="15">
        <v>210</v>
      </c>
      <c r="C216" s="14">
        <v>43675</v>
      </c>
      <c r="D216" s="15" t="s">
        <v>9</v>
      </c>
      <c r="E216" s="15" t="s">
        <v>14</v>
      </c>
      <c r="F216" s="15" t="s">
        <v>11</v>
      </c>
      <c r="G216" s="15">
        <v>900</v>
      </c>
      <c r="H216" s="15">
        <v>1</v>
      </c>
    </row>
    <row r="217" spans="2:8" x14ac:dyDescent="0.3">
      <c r="B217" s="15">
        <v>211</v>
      </c>
      <c r="C217" s="14">
        <v>43676</v>
      </c>
      <c r="D217" s="15" t="s">
        <v>9</v>
      </c>
      <c r="E217" s="15" t="s">
        <v>22</v>
      </c>
      <c r="F217" s="15" t="s">
        <v>23</v>
      </c>
      <c r="G217" s="15">
        <v>500</v>
      </c>
      <c r="H217" s="15">
        <v>1</v>
      </c>
    </row>
    <row r="218" spans="2:8" x14ac:dyDescent="0.3">
      <c r="B218" s="15">
        <v>212</v>
      </c>
      <c r="C218" s="14">
        <v>43677</v>
      </c>
      <c r="D218" s="15" t="s">
        <v>9</v>
      </c>
      <c r="E218" s="15" t="s">
        <v>22</v>
      </c>
      <c r="F218" s="15" t="s">
        <v>23</v>
      </c>
      <c r="G218" s="15">
        <v>500</v>
      </c>
      <c r="H218" s="15">
        <v>1</v>
      </c>
    </row>
    <row r="219" spans="2:8" x14ac:dyDescent="0.3">
      <c r="B219" s="15">
        <v>213</v>
      </c>
      <c r="C219" s="14">
        <v>43678</v>
      </c>
      <c r="D219" s="15" t="s">
        <v>9</v>
      </c>
      <c r="E219" s="15" t="s">
        <v>18</v>
      </c>
      <c r="F219" s="15" t="s">
        <v>17</v>
      </c>
      <c r="G219" s="15">
        <v>600</v>
      </c>
      <c r="H219" s="15">
        <v>1</v>
      </c>
    </row>
    <row r="220" spans="2:8" x14ac:dyDescent="0.3">
      <c r="B220" s="15">
        <v>214</v>
      </c>
      <c r="C220" s="14">
        <v>43679</v>
      </c>
      <c r="D220" s="15" t="s">
        <v>9</v>
      </c>
      <c r="E220" s="15" t="s">
        <v>18</v>
      </c>
      <c r="F220" s="15" t="s">
        <v>17</v>
      </c>
      <c r="G220" s="15">
        <v>600</v>
      </c>
      <c r="H220" s="15">
        <v>1</v>
      </c>
    </row>
    <row r="221" spans="2:8" x14ac:dyDescent="0.3">
      <c r="B221" s="15">
        <v>215</v>
      </c>
      <c r="C221" s="14">
        <v>43680</v>
      </c>
      <c r="D221" s="15" t="s">
        <v>9</v>
      </c>
      <c r="E221" s="15" t="s">
        <v>16</v>
      </c>
      <c r="F221" s="15" t="s">
        <v>17</v>
      </c>
      <c r="G221" s="15">
        <v>800</v>
      </c>
      <c r="H221" s="15">
        <v>1</v>
      </c>
    </row>
    <row r="222" spans="2:8" x14ac:dyDescent="0.3">
      <c r="B222" s="15">
        <v>216</v>
      </c>
      <c r="C222" s="14">
        <v>43681</v>
      </c>
      <c r="D222" s="15" t="s">
        <v>9</v>
      </c>
      <c r="E222" s="15" t="s">
        <v>19</v>
      </c>
      <c r="F222" s="15" t="s">
        <v>20</v>
      </c>
      <c r="G222" s="15">
        <v>850</v>
      </c>
      <c r="H222" s="15">
        <v>1</v>
      </c>
    </row>
    <row r="223" spans="2:8" x14ac:dyDescent="0.3">
      <c r="B223" s="15">
        <v>217</v>
      </c>
      <c r="C223" s="14">
        <v>43682</v>
      </c>
      <c r="D223" s="15" t="s">
        <v>9</v>
      </c>
      <c r="E223" s="15" t="s">
        <v>22</v>
      </c>
      <c r="F223" s="15" t="s">
        <v>23</v>
      </c>
      <c r="G223" s="15">
        <v>500</v>
      </c>
      <c r="H223" s="15">
        <v>1</v>
      </c>
    </row>
    <row r="224" spans="2:8" x14ac:dyDescent="0.3">
      <c r="B224" s="15">
        <v>218</v>
      </c>
      <c r="C224" s="14">
        <v>43683</v>
      </c>
      <c r="D224" s="15" t="s">
        <v>9</v>
      </c>
      <c r="E224" s="15" t="s">
        <v>22</v>
      </c>
      <c r="F224" s="15" t="s">
        <v>23</v>
      </c>
      <c r="G224" s="15">
        <v>500</v>
      </c>
      <c r="H224" s="15">
        <v>1</v>
      </c>
    </row>
    <row r="225" spans="2:8" x14ac:dyDescent="0.3">
      <c r="B225" s="15">
        <v>219</v>
      </c>
      <c r="C225" s="14">
        <v>43684</v>
      </c>
      <c r="D225" s="15" t="s">
        <v>9</v>
      </c>
      <c r="E225" s="15" t="s">
        <v>10</v>
      </c>
      <c r="F225" s="15" t="s">
        <v>11</v>
      </c>
      <c r="G225" s="15">
        <v>1100</v>
      </c>
      <c r="H225" s="15">
        <v>1</v>
      </c>
    </row>
    <row r="226" spans="2:8" x14ac:dyDescent="0.3">
      <c r="B226" s="15">
        <v>220</v>
      </c>
      <c r="C226" s="14">
        <v>43685</v>
      </c>
      <c r="D226" s="15" t="s">
        <v>9</v>
      </c>
      <c r="E226" s="15" t="s">
        <v>22</v>
      </c>
      <c r="F226" s="15" t="s">
        <v>23</v>
      </c>
      <c r="G226" s="15">
        <v>500</v>
      </c>
      <c r="H226" s="15">
        <v>1</v>
      </c>
    </row>
    <row r="227" spans="2:8" x14ac:dyDescent="0.3">
      <c r="B227" s="15">
        <v>221</v>
      </c>
      <c r="C227" s="14">
        <v>43686</v>
      </c>
      <c r="D227" s="15" t="s">
        <v>9</v>
      </c>
      <c r="E227" s="15" t="s">
        <v>15</v>
      </c>
      <c r="F227" s="15" t="s">
        <v>11</v>
      </c>
      <c r="G227" s="15">
        <v>1000</v>
      </c>
      <c r="H227" s="15">
        <v>1</v>
      </c>
    </row>
    <row r="228" spans="2:8" x14ac:dyDescent="0.3">
      <c r="B228" s="15">
        <v>222</v>
      </c>
      <c r="C228" s="14">
        <v>43687</v>
      </c>
      <c r="D228" s="15" t="s">
        <v>9</v>
      </c>
      <c r="E228" s="15" t="s">
        <v>16</v>
      </c>
      <c r="F228" s="15" t="s">
        <v>17</v>
      </c>
      <c r="G228" s="15">
        <v>800</v>
      </c>
      <c r="H228" s="15">
        <v>1</v>
      </c>
    </row>
    <row r="229" spans="2:8" x14ac:dyDescent="0.3">
      <c r="B229" s="15">
        <v>223</v>
      </c>
      <c r="C229" s="14">
        <v>43688</v>
      </c>
      <c r="D229" s="15" t="s">
        <v>9</v>
      </c>
      <c r="E229" s="15" t="s">
        <v>24</v>
      </c>
      <c r="F229" s="15" t="s">
        <v>23</v>
      </c>
      <c r="G229" s="15">
        <v>600</v>
      </c>
      <c r="H229" s="15">
        <v>1</v>
      </c>
    </row>
    <row r="230" spans="2:8" x14ac:dyDescent="0.3">
      <c r="B230" s="15">
        <v>224</v>
      </c>
      <c r="C230" s="14">
        <v>43689</v>
      </c>
      <c r="D230" s="15" t="s">
        <v>9</v>
      </c>
      <c r="E230" s="15" t="s">
        <v>24</v>
      </c>
      <c r="F230" s="15" t="s">
        <v>23</v>
      </c>
      <c r="G230" s="15">
        <v>600</v>
      </c>
      <c r="H230" s="15">
        <v>1</v>
      </c>
    </row>
    <row r="231" spans="2:8" x14ac:dyDescent="0.3">
      <c r="B231" s="15">
        <v>225</v>
      </c>
      <c r="C231" s="14">
        <v>43690</v>
      </c>
      <c r="D231" s="15" t="s">
        <v>9</v>
      </c>
      <c r="E231" s="15" t="s">
        <v>19</v>
      </c>
      <c r="F231" s="15" t="s">
        <v>20</v>
      </c>
      <c r="G231" s="15">
        <v>850</v>
      </c>
      <c r="H231" s="15">
        <v>1</v>
      </c>
    </row>
    <row r="232" spans="2:8" x14ac:dyDescent="0.3">
      <c r="B232" s="15">
        <v>226</v>
      </c>
      <c r="C232" s="14">
        <v>43691</v>
      </c>
      <c r="D232" s="15" t="s">
        <v>9</v>
      </c>
      <c r="E232" s="15" t="s">
        <v>24</v>
      </c>
      <c r="F232" s="15" t="s">
        <v>23</v>
      </c>
      <c r="G232" s="15">
        <v>600</v>
      </c>
      <c r="H232" s="15">
        <v>1</v>
      </c>
    </row>
    <row r="233" spans="2:8" x14ac:dyDescent="0.3">
      <c r="B233" s="15">
        <v>227</v>
      </c>
      <c r="C233" s="14">
        <v>43692</v>
      </c>
      <c r="D233" s="15" t="s">
        <v>9</v>
      </c>
      <c r="E233" s="15" t="s">
        <v>18</v>
      </c>
      <c r="F233" s="15" t="s">
        <v>17</v>
      </c>
      <c r="G233" s="15">
        <v>600</v>
      </c>
      <c r="H233" s="15">
        <v>1</v>
      </c>
    </row>
    <row r="234" spans="2:8" x14ac:dyDescent="0.3">
      <c r="B234" s="15">
        <v>228</v>
      </c>
      <c r="C234" s="14">
        <v>43693</v>
      </c>
      <c r="D234" s="15" t="s">
        <v>9</v>
      </c>
      <c r="E234" s="15" t="s">
        <v>24</v>
      </c>
      <c r="F234" s="15" t="s">
        <v>23</v>
      </c>
      <c r="G234" s="15">
        <v>600</v>
      </c>
      <c r="H234" s="15">
        <v>1</v>
      </c>
    </row>
    <row r="235" spans="2:8" x14ac:dyDescent="0.3">
      <c r="B235" s="15">
        <v>229</v>
      </c>
      <c r="C235" s="14">
        <v>43694</v>
      </c>
      <c r="D235" s="15" t="s">
        <v>9</v>
      </c>
      <c r="E235" s="15" t="s">
        <v>10</v>
      </c>
      <c r="F235" s="15" t="s">
        <v>11</v>
      </c>
      <c r="G235" s="15">
        <v>1100</v>
      </c>
      <c r="H235" s="15">
        <v>1</v>
      </c>
    </row>
    <row r="236" spans="2:8" x14ac:dyDescent="0.3">
      <c r="B236" s="15">
        <v>230</v>
      </c>
      <c r="C236" s="14">
        <v>43695</v>
      </c>
      <c r="D236" s="15" t="s">
        <v>9</v>
      </c>
      <c r="E236" s="15" t="s">
        <v>18</v>
      </c>
      <c r="F236" s="15" t="s">
        <v>17</v>
      </c>
      <c r="G236" s="15">
        <v>600</v>
      </c>
      <c r="H236" s="15">
        <v>1</v>
      </c>
    </row>
    <row r="237" spans="2:8" x14ac:dyDescent="0.3">
      <c r="B237" s="15">
        <v>231</v>
      </c>
      <c r="C237" s="14">
        <v>43696</v>
      </c>
      <c r="D237" s="15" t="s">
        <v>9</v>
      </c>
      <c r="E237" s="15" t="s">
        <v>10</v>
      </c>
      <c r="F237" s="15" t="s">
        <v>11</v>
      </c>
      <c r="G237" s="15">
        <v>1100</v>
      </c>
      <c r="H237" s="15">
        <v>1</v>
      </c>
    </row>
    <row r="238" spans="2:8" x14ac:dyDescent="0.3">
      <c r="B238" s="15">
        <v>232</v>
      </c>
      <c r="C238" s="14">
        <v>43697</v>
      </c>
      <c r="D238" s="15" t="s">
        <v>9</v>
      </c>
      <c r="E238" s="15" t="s">
        <v>10</v>
      </c>
      <c r="F238" s="15" t="s">
        <v>11</v>
      </c>
      <c r="G238" s="15">
        <v>1100</v>
      </c>
      <c r="H238" s="15">
        <v>1</v>
      </c>
    </row>
    <row r="239" spans="2:8" x14ac:dyDescent="0.3">
      <c r="B239" s="15">
        <v>233</v>
      </c>
      <c r="C239" s="14">
        <v>43698</v>
      </c>
      <c r="D239" s="15" t="s">
        <v>9</v>
      </c>
      <c r="E239" s="15" t="s">
        <v>10</v>
      </c>
      <c r="F239" s="15" t="s">
        <v>11</v>
      </c>
      <c r="G239" s="15">
        <v>1100</v>
      </c>
      <c r="H239" s="15">
        <v>1</v>
      </c>
    </row>
    <row r="240" spans="2:8" x14ac:dyDescent="0.3">
      <c r="B240" s="15">
        <v>234</v>
      </c>
      <c r="C240" s="14">
        <v>43699</v>
      </c>
      <c r="D240" s="15" t="s">
        <v>9</v>
      </c>
      <c r="E240" s="15" t="s">
        <v>19</v>
      </c>
      <c r="F240" s="15" t="s">
        <v>20</v>
      </c>
      <c r="G240" s="15">
        <v>850</v>
      </c>
      <c r="H240" s="15">
        <v>1</v>
      </c>
    </row>
    <row r="241" spans="2:8" x14ac:dyDescent="0.3">
      <c r="B241" s="15">
        <v>235</v>
      </c>
      <c r="C241" s="14">
        <v>43700</v>
      </c>
      <c r="D241" s="15" t="s">
        <v>9</v>
      </c>
      <c r="E241" s="15" t="s">
        <v>18</v>
      </c>
      <c r="F241" s="15" t="s">
        <v>17</v>
      </c>
      <c r="G241" s="15">
        <v>600</v>
      </c>
      <c r="H241" s="15">
        <v>1</v>
      </c>
    </row>
    <row r="242" spans="2:8" x14ac:dyDescent="0.3">
      <c r="B242" s="15">
        <v>236</v>
      </c>
      <c r="C242" s="14">
        <v>43701</v>
      </c>
      <c r="D242" s="15" t="s">
        <v>9</v>
      </c>
      <c r="E242" s="15" t="s">
        <v>18</v>
      </c>
      <c r="F242" s="15" t="s">
        <v>17</v>
      </c>
      <c r="G242" s="15">
        <v>600</v>
      </c>
      <c r="H242" s="15">
        <v>1</v>
      </c>
    </row>
    <row r="243" spans="2:8" x14ac:dyDescent="0.3">
      <c r="B243" s="15">
        <v>237</v>
      </c>
      <c r="C243" s="14">
        <v>43702</v>
      </c>
      <c r="D243" s="15" t="s">
        <v>9</v>
      </c>
      <c r="E243" s="15" t="s">
        <v>16</v>
      </c>
      <c r="F243" s="15" t="s">
        <v>17</v>
      </c>
      <c r="G243" s="15">
        <v>800</v>
      </c>
      <c r="H243" s="15">
        <v>1</v>
      </c>
    </row>
    <row r="244" spans="2:8" x14ac:dyDescent="0.3">
      <c r="B244" s="15">
        <v>238</v>
      </c>
      <c r="C244" s="14">
        <v>43703</v>
      </c>
      <c r="D244" s="15" t="s">
        <v>9</v>
      </c>
      <c r="E244" s="15" t="s">
        <v>21</v>
      </c>
      <c r="F244" s="15" t="s">
        <v>20</v>
      </c>
      <c r="G244" s="15">
        <v>1200</v>
      </c>
      <c r="H244" s="15">
        <v>1</v>
      </c>
    </row>
    <row r="245" spans="2:8" x14ac:dyDescent="0.3">
      <c r="B245" s="15">
        <v>239</v>
      </c>
      <c r="C245" s="14">
        <v>43704</v>
      </c>
      <c r="D245" s="15" t="s">
        <v>9</v>
      </c>
      <c r="E245" s="15" t="s">
        <v>15</v>
      </c>
      <c r="F245" s="15" t="s">
        <v>11</v>
      </c>
      <c r="G245" s="15">
        <v>1000</v>
      </c>
      <c r="H245" s="15">
        <v>1</v>
      </c>
    </row>
    <row r="246" spans="2:8" x14ac:dyDescent="0.3">
      <c r="B246" s="15">
        <v>240</v>
      </c>
      <c r="C246" s="14">
        <v>43705</v>
      </c>
      <c r="D246" s="15" t="s">
        <v>9</v>
      </c>
      <c r="E246" s="15" t="s">
        <v>24</v>
      </c>
      <c r="F246" s="15" t="s">
        <v>23</v>
      </c>
      <c r="G246" s="15">
        <v>600</v>
      </c>
      <c r="H246" s="15">
        <v>1</v>
      </c>
    </row>
    <row r="247" spans="2:8" x14ac:dyDescent="0.3">
      <c r="B247" s="15">
        <v>241</v>
      </c>
      <c r="C247" s="14">
        <v>43706</v>
      </c>
      <c r="D247" s="15" t="s">
        <v>9</v>
      </c>
      <c r="E247" s="15" t="s">
        <v>14</v>
      </c>
      <c r="F247" s="15" t="s">
        <v>11</v>
      </c>
      <c r="G247" s="15">
        <v>900</v>
      </c>
      <c r="H247" s="15">
        <v>1</v>
      </c>
    </row>
    <row r="248" spans="2:8" x14ac:dyDescent="0.3">
      <c r="B248" s="15">
        <v>242</v>
      </c>
      <c r="C248" s="14">
        <v>43707</v>
      </c>
      <c r="D248" s="15" t="s">
        <v>9</v>
      </c>
      <c r="E248" s="15" t="s">
        <v>18</v>
      </c>
      <c r="F248" s="15" t="s">
        <v>17</v>
      </c>
      <c r="G248" s="15">
        <v>600</v>
      </c>
      <c r="H248" s="15">
        <v>1</v>
      </c>
    </row>
    <row r="249" spans="2:8" x14ac:dyDescent="0.3">
      <c r="B249" s="15">
        <v>243</v>
      </c>
      <c r="C249" s="14">
        <v>43708</v>
      </c>
      <c r="D249" s="15" t="s">
        <v>9</v>
      </c>
      <c r="E249" s="15" t="s">
        <v>12</v>
      </c>
      <c r="F249" s="15" t="s">
        <v>11</v>
      </c>
      <c r="G249" s="15">
        <v>900</v>
      </c>
      <c r="H249" s="15">
        <v>1</v>
      </c>
    </row>
    <row r="250" spans="2:8" x14ac:dyDescent="0.3">
      <c r="B250" s="15">
        <v>244</v>
      </c>
      <c r="C250" s="14">
        <v>43709</v>
      </c>
      <c r="D250" s="15" t="s">
        <v>9</v>
      </c>
      <c r="E250" s="15" t="s">
        <v>24</v>
      </c>
      <c r="F250" s="15" t="s">
        <v>23</v>
      </c>
      <c r="G250" s="15">
        <v>600</v>
      </c>
      <c r="H250" s="15">
        <v>1</v>
      </c>
    </row>
    <row r="251" spans="2:8" x14ac:dyDescent="0.3">
      <c r="B251" s="15">
        <v>245</v>
      </c>
      <c r="C251" s="14">
        <v>43710</v>
      </c>
      <c r="D251" s="15" t="s">
        <v>9</v>
      </c>
      <c r="E251" s="15" t="s">
        <v>19</v>
      </c>
      <c r="F251" s="15" t="s">
        <v>20</v>
      </c>
      <c r="G251" s="15">
        <v>850</v>
      </c>
      <c r="H251" s="15">
        <v>1</v>
      </c>
    </row>
    <row r="252" spans="2:8" x14ac:dyDescent="0.3">
      <c r="B252" s="15">
        <v>246</v>
      </c>
      <c r="C252" s="14">
        <v>43711</v>
      </c>
      <c r="D252" s="15" t="s">
        <v>9</v>
      </c>
      <c r="E252" s="15" t="s">
        <v>14</v>
      </c>
      <c r="F252" s="15" t="s">
        <v>11</v>
      </c>
      <c r="G252" s="15">
        <v>900</v>
      </c>
      <c r="H252" s="15">
        <v>1</v>
      </c>
    </row>
    <row r="253" spans="2:8" x14ac:dyDescent="0.3">
      <c r="B253" s="15">
        <v>247</v>
      </c>
      <c r="C253" s="14">
        <v>43712</v>
      </c>
      <c r="D253" s="15" t="s">
        <v>9</v>
      </c>
      <c r="E253" s="15" t="s">
        <v>10</v>
      </c>
      <c r="F253" s="15" t="s">
        <v>11</v>
      </c>
      <c r="G253" s="15">
        <v>1100</v>
      </c>
      <c r="H253" s="15">
        <v>1</v>
      </c>
    </row>
    <row r="254" spans="2:8" x14ac:dyDescent="0.3">
      <c r="B254" s="15">
        <v>248</v>
      </c>
      <c r="C254" s="14">
        <v>43713</v>
      </c>
      <c r="D254" s="15" t="s">
        <v>9</v>
      </c>
      <c r="E254" s="15" t="s">
        <v>14</v>
      </c>
      <c r="F254" s="15" t="s">
        <v>11</v>
      </c>
      <c r="G254" s="15">
        <v>900</v>
      </c>
      <c r="H254" s="15">
        <v>1</v>
      </c>
    </row>
    <row r="255" spans="2:8" x14ac:dyDescent="0.3">
      <c r="B255" s="15">
        <v>249</v>
      </c>
      <c r="C255" s="14">
        <v>43714</v>
      </c>
      <c r="D255" s="15" t="s">
        <v>9</v>
      </c>
      <c r="E255" s="15" t="s">
        <v>15</v>
      </c>
      <c r="F255" s="15" t="s">
        <v>11</v>
      </c>
      <c r="G255" s="15">
        <v>1000</v>
      </c>
      <c r="H255" s="15">
        <v>1</v>
      </c>
    </row>
    <row r="256" spans="2:8" x14ac:dyDescent="0.3">
      <c r="B256" s="15">
        <v>250</v>
      </c>
      <c r="C256" s="14">
        <v>43715</v>
      </c>
      <c r="D256" s="15" t="s">
        <v>9</v>
      </c>
      <c r="E256" s="15" t="s">
        <v>10</v>
      </c>
      <c r="F256" s="15" t="s">
        <v>11</v>
      </c>
      <c r="G256" s="15">
        <v>1100</v>
      </c>
      <c r="H256" s="15">
        <v>1</v>
      </c>
    </row>
    <row r="257" spans="2:8" x14ac:dyDescent="0.3">
      <c r="B257" s="15">
        <v>251</v>
      </c>
      <c r="C257" s="14">
        <v>43716</v>
      </c>
      <c r="D257" s="15" t="s">
        <v>9</v>
      </c>
      <c r="E257" s="15" t="s">
        <v>15</v>
      </c>
      <c r="F257" s="15" t="s">
        <v>11</v>
      </c>
      <c r="G257" s="15">
        <v>1000</v>
      </c>
      <c r="H257" s="15">
        <v>1</v>
      </c>
    </row>
    <row r="258" spans="2:8" x14ac:dyDescent="0.3">
      <c r="B258" s="15">
        <v>252</v>
      </c>
      <c r="C258" s="14">
        <v>43717</v>
      </c>
      <c r="D258" s="15" t="s">
        <v>9</v>
      </c>
      <c r="E258" s="15" t="s">
        <v>10</v>
      </c>
      <c r="F258" s="15" t="s">
        <v>11</v>
      </c>
      <c r="G258" s="15">
        <v>1100</v>
      </c>
      <c r="H258" s="15">
        <v>1</v>
      </c>
    </row>
    <row r="259" spans="2:8" x14ac:dyDescent="0.3">
      <c r="B259" s="15">
        <v>253</v>
      </c>
      <c r="C259" s="14">
        <v>43718</v>
      </c>
      <c r="D259" s="15" t="s">
        <v>9</v>
      </c>
      <c r="E259" s="15" t="s">
        <v>14</v>
      </c>
      <c r="F259" s="15" t="s">
        <v>11</v>
      </c>
      <c r="G259" s="15">
        <v>900</v>
      </c>
      <c r="H259" s="15">
        <v>1</v>
      </c>
    </row>
    <row r="260" spans="2:8" x14ac:dyDescent="0.3">
      <c r="B260" s="15">
        <v>254</v>
      </c>
      <c r="C260" s="14">
        <v>43719</v>
      </c>
      <c r="D260" s="15" t="s">
        <v>9</v>
      </c>
      <c r="E260" s="15" t="s">
        <v>12</v>
      </c>
      <c r="F260" s="15" t="s">
        <v>11</v>
      </c>
      <c r="G260" s="15">
        <v>900</v>
      </c>
      <c r="H260" s="15">
        <v>1</v>
      </c>
    </row>
    <row r="261" spans="2:8" x14ac:dyDescent="0.3">
      <c r="B261" s="15">
        <v>255</v>
      </c>
      <c r="C261" s="14">
        <v>43720</v>
      </c>
      <c r="D261" s="15" t="s">
        <v>9</v>
      </c>
      <c r="E261" s="15" t="s">
        <v>10</v>
      </c>
      <c r="F261" s="15" t="s">
        <v>11</v>
      </c>
      <c r="G261" s="15">
        <v>1100</v>
      </c>
      <c r="H261" s="15">
        <v>1</v>
      </c>
    </row>
    <row r="262" spans="2:8" x14ac:dyDescent="0.3">
      <c r="B262" s="15">
        <v>256</v>
      </c>
      <c r="C262" s="14">
        <v>43721</v>
      </c>
      <c r="D262" s="15" t="s">
        <v>9</v>
      </c>
      <c r="E262" s="15" t="s">
        <v>10</v>
      </c>
      <c r="F262" s="15" t="s">
        <v>11</v>
      </c>
      <c r="G262" s="15">
        <v>1100</v>
      </c>
      <c r="H262" s="15">
        <v>1</v>
      </c>
    </row>
    <row r="263" spans="2:8" x14ac:dyDescent="0.3">
      <c r="B263" s="15">
        <v>257</v>
      </c>
      <c r="C263" s="14">
        <v>43722</v>
      </c>
      <c r="D263" s="15" t="s">
        <v>9</v>
      </c>
      <c r="E263" s="15" t="s">
        <v>15</v>
      </c>
      <c r="F263" s="15" t="s">
        <v>11</v>
      </c>
      <c r="G263" s="15">
        <v>1000</v>
      </c>
      <c r="H263" s="15">
        <v>1</v>
      </c>
    </row>
    <row r="264" spans="2:8" x14ac:dyDescent="0.3">
      <c r="B264" s="15">
        <v>258</v>
      </c>
      <c r="C264" s="14">
        <v>43723</v>
      </c>
      <c r="D264" s="15" t="s">
        <v>9</v>
      </c>
      <c r="E264" s="15" t="s">
        <v>12</v>
      </c>
      <c r="F264" s="15" t="s">
        <v>11</v>
      </c>
      <c r="G264" s="15">
        <v>900</v>
      </c>
      <c r="H264" s="15">
        <v>1</v>
      </c>
    </row>
    <row r="265" spans="2:8" x14ac:dyDescent="0.3">
      <c r="B265" s="15">
        <v>259</v>
      </c>
      <c r="C265" s="14">
        <v>43724</v>
      </c>
      <c r="D265" s="15" t="s">
        <v>9</v>
      </c>
      <c r="E265" s="15" t="s">
        <v>18</v>
      </c>
      <c r="F265" s="15" t="s">
        <v>17</v>
      </c>
      <c r="G265" s="15">
        <v>600</v>
      </c>
      <c r="H265" s="15">
        <v>1</v>
      </c>
    </row>
    <row r="266" spans="2:8" x14ac:dyDescent="0.3">
      <c r="B266" s="15">
        <v>260</v>
      </c>
      <c r="C266" s="14">
        <v>43725</v>
      </c>
      <c r="D266" s="15" t="s">
        <v>9</v>
      </c>
      <c r="E266" s="15" t="s">
        <v>12</v>
      </c>
      <c r="F266" s="15" t="s">
        <v>11</v>
      </c>
      <c r="G266" s="15">
        <v>900</v>
      </c>
      <c r="H266" s="15">
        <v>1</v>
      </c>
    </row>
    <row r="267" spans="2:8" x14ac:dyDescent="0.3">
      <c r="B267" s="15">
        <v>261</v>
      </c>
      <c r="C267" s="14">
        <v>43726</v>
      </c>
      <c r="D267" s="15" t="s">
        <v>9</v>
      </c>
      <c r="E267" s="15" t="s">
        <v>18</v>
      </c>
      <c r="F267" s="15" t="s">
        <v>17</v>
      </c>
      <c r="G267" s="15">
        <v>600</v>
      </c>
      <c r="H267" s="15">
        <v>1</v>
      </c>
    </row>
    <row r="268" spans="2:8" x14ac:dyDescent="0.3">
      <c r="B268" s="15">
        <v>262</v>
      </c>
      <c r="C268" s="14">
        <v>43727</v>
      </c>
      <c r="D268" s="15" t="s">
        <v>9</v>
      </c>
      <c r="E268" s="15" t="s">
        <v>14</v>
      </c>
      <c r="F268" s="15" t="s">
        <v>11</v>
      </c>
      <c r="G268" s="15">
        <v>900</v>
      </c>
      <c r="H268" s="15">
        <v>1</v>
      </c>
    </row>
    <row r="269" spans="2:8" x14ac:dyDescent="0.3">
      <c r="B269" s="15">
        <v>263</v>
      </c>
      <c r="C269" s="14">
        <v>43728</v>
      </c>
      <c r="D269" s="15" t="s">
        <v>9</v>
      </c>
      <c r="E269" s="15" t="s">
        <v>10</v>
      </c>
      <c r="F269" s="15" t="s">
        <v>11</v>
      </c>
      <c r="G269" s="15">
        <v>1100</v>
      </c>
      <c r="H269" s="15">
        <v>2</v>
      </c>
    </row>
    <row r="270" spans="2:8" x14ac:dyDescent="0.3">
      <c r="B270" s="15">
        <v>264</v>
      </c>
      <c r="C270" s="14">
        <v>43729</v>
      </c>
      <c r="D270" s="15" t="s">
        <v>9</v>
      </c>
      <c r="E270" s="15" t="s">
        <v>18</v>
      </c>
      <c r="F270" s="15" t="s">
        <v>17</v>
      </c>
      <c r="G270" s="15">
        <v>600</v>
      </c>
      <c r="H270" s="15">
        <v>1</v>
      </c>
    </row>
    <row r="271" spans="2:8" x14ac:dyDescent="0.3">
      <c r="B271" s="15">
        <v>265</v>
      </c>
      <c r="C271" s="14">
        <v>43730</v>
      </c>
      <c r="D271" s="15" t="s">
        <v>9</v>
      </c>
      <c r="E271" s="15" t="s">
        <v>18</v>
      </c>
      <c r="F271" s="15" t="s">
        <v>17</v>
      </c>
      <c r="G271" s="15">
        <v>600</v>
      </c>
      <c r="H271" s="15">
        <v>1</v>
      </c>
    </row>
    <row r="272" spans="2:8" x14ac:dyDescent="0.3">
      <c r="B272" s="15">
        <v>266</v>
      </c>
      <c r="C272" s="14">
        <v>43731</v>
      </c>
      <c r="D272" s="15" t="s">
        <v>9</v>
      </c>
      <c r="E272" s="15" t="s">
        <v>14</v>
      </c>
      <c r="F272" s="15" t="s">
        <v>11</v>
      </c>
      <c r="G272" s="15">
        <v>900</v>
      </c>
      <c r="H272" s="15">
        <v>1</v>
      </c>
    </row>
    <row r="273" spans="2:8" x14ac:dyDescent="0.3">
      <c r="B273" s="15">
        <v>267</v>
      </c>
      <c r="C273" s="14">
        <v>43732</v>
      </c>
      <c r="D273" s="15" t="s">
        <v>9</v>
      </c>
      <c r="E273" s="15" t="s">
        <v>10</v>
      </c>
      <c r="F273" s="15" t="s">
        <v>11</v>
      </c>
      <c r="G273" s="15">
        <v>1100</v>
      </c>
      <c r="H273" s="15">
        <v>1</v>
      </c>
    </row>
    <row r="274" spans="2:8" x14ac:dyDescent="0.3">
      <c r="B274" s="15">
        <v>268</v>
      </c>
      <c r="C274" s="14">
        <v>43733</v>
      </c>
      <c r="D274" s="15" t="s">
        <v>9</v>
      </c>
      <c r="E274" s="15" t="s">
        <v>18</v>
      </c>
      <c r="F274" s="15" t="s">
        <v>17</v>
      </c>
      <c r="G274" s="15">
        <v>600</v>
      </c>
      <c r="H274" s="15">
        <v>1</v>
      </c>
    </row>
    <row r="275" spans="2:8" x14ac:dyDescent="0.3">
      <c r="B275" s="15">
        <v>269</v>
      </c>
      <c r="C275" s="14">
        <v>43734</v>
      </c>
      <c r="D275" s="15" t="s">
        <v>9</v>
      </c>
      <c r="E275" s="15" t="s">
        <v>24</v>
      </c>
      <c r="F275" s="15" t="s">
        <v>23</v>
      </c>
      <c r="G275" s="15">
        <v>600</v>
      </c>
      <c r="H275" s="15">
        <v>1</v>
      </c>
    </row>
    <row r="276" spans="2:8" x14ac:dyDescent="0.3">
      <c r="B276" s="15">
        <v>270</v>
      </c>
      <c r="C276" s="14">
        <v>43735</v>
      </c>
      <c r="D276" s="15" t="s">
        <v>9</v>
      </c>
      <c r="E276" s="15" t="s">
        <v>18</v>
      </c>
      <c r="F276" s="15" t="s">
        <v>17</v>
      </c>
      <c r="G276" s="15">
        <v>600</v>
      </c>
      <c r="H276" s="15">
        <v>1</v>
      </c>
    </row>
    <row r="277" spans="2:8" x14ac:dyDescent="0.3">
      <c r="B277" s="15">
        <v>271</v>
      </c>
      <c r="C277" s="14">
        <v>43736</v>
      </c>
      <c r="D277" s="15" t="s">
        <v>9</v>
      </c>
      <c r="E277" s="15" t="s">
        <v>24</v>
      </c>
      <c r="F277" s="15" t="s">
        <v>23</v>
      </c>
      <c r="G277" s="15">
        <v>600</v>
      </c>
      <c r="H277" s="15">
        <v>1</v>
      </c>
    </row>
    <row r="278" spans="2:8" x14ac:dyDescent="0.3">
      <c r="B278" s="15">
        <v>272</v>
      </c>
      <c r="C278" s="14">
        <v>43737</v>
      </c>
      <c r="D278" s="15" t="s">
        <v>9</v>
      </c>
      <c r="E278" s="15" t="s">
        <v>24</v>
      </c>
      <c r="F278" s="15" t="s">
        <v>23</v>
      </c>
      <c r="G278" s="15">
        <v>600</v>
      </c>
      <c r="H278" s="15">
        <v>2</v>
      </c>
    </row>
    <row r="279" spans="2:8" x14ac:dyDescent="0.3">
      <c r="B279" s="15">
        <v>273</v>
      </c>
      <c r="C279" s="14">
        <v>43738</v>
      </c>
      <c r="D279" s="15" t="s">
        <v>9</v>
      </c>
      <c r="E279" s="15" t="s">
        <v>18</v>
      </c>
      <c r="F279" s="15" t="s">
        <v>17</v>
      </c>
      <c r="G279" s="15">
        <v>600</v>
      </c>
      <c r="H279" s="15">
        <v>1</v>
      </c>
    </row>
    <row r="280" spans="2:8" x14ac:dyDescent="0.3">
      <c r="B280" s="15">
        <v>274</v>
      </c>
      <c r="C280" s="14">
        <v>43739</v>
      </c>
      <c r="D280" s="15" t="s">
        <v>9</v>
      </c>
      <c r="E280" s="15" t="s">
        <v>10</v>
      </c>
      <c r="F280" s="15" t="s">
        <v>11</v>
      </c>
      <c r="G280" s="15">
        <v>1100</v>
      </c>
      <c r="H280" s="15">
        <v>3</v>
      </c>
    </row>
    <row r="281" spans="2:8" x14ac:dyDescent="0.3">
      <c r="B281" s="15">
        <v>275</v>
      </c>
      <c r="C281" s="14">
        <v>43740</v>
      </c>
      <c r="D281" s="15" t="s">
        <v>9</v>
      </c>
      <c r="E281" s="15" t="s">
        <v>10</v>
      </c>
      <c r="F281" s="15" t="s">
        <v>11</v>
      </c>
      <c r="G281" s="15">
        <v>1100</v>
      </c>
      <c r="H281" s="15">
        <v>1</v>
      </c>
    </row>
    <row r="282" spans="2:8" x14ac:dyDescent="0.3">
      <c r="B282" s="15">
        <v>276</v>
      </c>
      <c r="C282" s="14">
        <v>43741</v>
      </c>
      <c r="D282" s="15" t="s">
        <v>9</v>
      </c>
      <c r="E282" s="15" t="s">
        <v>19</v>
      </c>
      <c r="F282" s="15" t="s">
        <v>20</v>
      </c>
      <c r="G282" s="15">
        <v>850</v>
      </c>
      <c r="H282" s="15">
        <v>1</v>
      </c>
    </row>
    <row r="283" spans="2:8" x14ac:dyDescent="0.3">
      <c r="B283" s="15">
        <v>277</v>
      </c>
      <c r="C283" s="14">
        <v>43742</v>
      </c>
      <c r="D283" s="15" t="s">
        <v>9</v>
      </c>
      <c r="E283" s="15" t="s">
        <v>21</v>
      </c>
      <c r="F283" s="15" t="s">
        <v>20</v>
      </c>
      <c r="G283" s="15">
        <v>1200</v>
      </c>
      <c r="H283" s="15">
        <v>1</v>
      </c>
    </row>
    <row r="284" spans="2:8" x14ac:dyDescent="0.3">
      <c r="B284" s="15">
        <v>278</v>
      </c>
      <c r="C284" s="14">
        <v>43743</v>
      </c>
      <c r="D284" s="15" t="s">
        <v>9</v>
      </c>
      <c r="E284" s="15" t="s">
        <v>16</v>
      </c>
      <c r="F284" s="15" t="s">
        <v>17</v>
      </c>
      <c r="G284" s="15">
        <v>800</v>
      </c>
      <c r="H284" s="15">
        <v>1</v>
      </c>
    </row>
    <row r="285" spans="2:8" x14ac:dyDescent="0.3">
      <c r="B285" s="15">
        <v>279</v>
      </c>
      <c r="C285" s="14">
        <v>43744</v>
      </c>
      <c r="D285" s="15" t="s">
        <v>9</v>
      </c>
      <c r="E285" s="15" t="s">
        <v>14</v>
      </c>
      <c r="F285" s="15" t="s">
        <v>11</v>
      </c>
      <c r="G285" s="15">
        <v>900</v>
      </c>
      <c r="H285" s="15">
        <v>1</v>
      </c>
    </row>
    <row r="286" spans="2:8" x14ac:dyDescent="0.3">
      <c r="B286" s="15">
        <v>280</v>
      </c>
      <c r="C286" s="14">
        <v>43745</v>
      </c>
      <c r="D286" s="15" t="s">
        <v>9</v>
      </c>
      <c r="E286" s="15" t="s">
        <v>10</v>
      </c>
      <c r="F286" s="15" t="s">
        <v>11</v>
      </c>
      <c r="G286" s="15">
        <v>1100</v>
      </c>
      <c r="H286" s="15">
        <v>1</v>
      </c>
    </row>
    <row r="287" spans="2:8" x14ac:dyDescent="0.3">
      <c r="B287" s="15">
        <v>281</v>
      </c>
      <c r="C287" s="14">
        <v>43746</v>
      </c>
      <c r="D287" s="15" t="s">
        <v>9</v>
      </c>
      <c r="E287" s="15" t="s">
        <v>12</v>
      </c>
      <c r="F287" s="15" t="s">
        <v>11</v>
      </c>
      <c r="G287" s="15">
        <v>900</v>
      </c>
      <c r="H287" s="15">
        <v>1</v>
      </c>
    </row>
    <row r="288" spans="2:8" x14ac:dyDescent="0.3">
      <c r="B288" s="15">
        <v>282</v>
      </c>
      <c r="C288" s="14">
        <v>43747</v>
      </c>
      <c r="D288" s="15" t="s">
        <v>9</v>
      </c>
      <c r="E288" s="15" t="s">
        <v>10</v>
      </c>
      <c r="F288" s="15" t="s">
        <v>11</v>
      </c>
      <c r="G288" s="15">
        <v>1100</v>
      </c>
      <c r="H288" s="15">
        <v>1</v>
      </c>
    </row>
    <row r="289" spans="2:8" x14ac:dyDescent="0.3">
      <c r="B289" s="15">
        <v>283</v>
      </c>
      <c r="C289" s="14">
        <v>43748</v>
      </c>
      <c r="D289" s="15" t="s">
        <v>9</v>
      </c>
      <c r="E289" s="15" t="s">
        <v>22</v>
      </c>
      <c r="F289" s="15" t="s">
        <v>23</v>
      </c>
      <c r="G289" s="15">
        <v>900</v>
      </c>
      <c r="H289" s="15">
        <v>1</v>
      </c>
    </row>
    <row r="290" spans="2:8" x14ac:dyDescent="0.3">
      <c r="B290" s="15">
        <v>284</v>
      </c>
      <c r="C290" s="14">
        <v>43749</v>
      </c>
      <c r="D290" s="15" t="s">
        <v>9</v>
      </c>
      <c r="E290" s="15" t="s">
        <v>22</v>
      </c>
      <c r="F290" s="15" t="s">
        <v>23</v>
      </c>
      <c r="G290" s="15">
        <v>500</v>
      </c>
      <c r="H290" s="15">
        <v>1</v>
      </c>
    </row>
    <row r="291" spans="2:8" x14ac:dyDescent="0.3">
      <c r="B291" s="15">
        <v>285</v>
      </c>
      <c r="C291" s="14">
        <v>43750</v>
      </c>
      <c r="D291" s="15" t="s">
        <v>9</v>
      </c>
      <c r="E291" s="15" t="s">
        <v>15</v>
      </c>
      <c r="F291" s="15" t="s">
        <v>11</v>
      </c>
      <c r="G291" s="15">
        <v>1000</v>
      </c>
      <c r="H291" s="15">
        <v>1</v>
      </c>
    </row>
    <row r="292" spans="2:8" x14ac:dyDescent="0.3">
      <c r="B292" s="15">
        <v>286</v>
      </c>
      <c r="C292" s="14">
        <v>43751</v>
      </c>
      <c r="D292" s="15" t="s">
        <v>9</v>
      </c>
      <c r="E292" s="15" t="s">
        <v>24</v>
      </c>
      <c r="F292" s="15" t="s">
        <v>23</v>
      </c>
      <c r="G292" s="15">
        <v>600</v>
      </c>
      <c r="H292" s="15">
        <v>1</v>
      </c>
    </row>
    <row r="293" spans="2:8" x14ac:dyDescent="0.3">
      <c r="B293" s="15">
        <v>287</v>
      </c>
      <c r="C293" s="14">
        <v>43752</v>
      </c>
      <c r="D293" s="15" t="s">
        <v>9</v>
      </c>
      <c r="E293" s="15" t="s">
        <v>12</v>
      </c>
      <c r="F293" s="15" t="s">
        <v>11</v>
      </c>
      <c r="G293" s="15">
        <v>900</v>
      </c>
      <c r="H293" s="15">
        <v>2</v>
      </c>
    </row>
    <row r="294" spans="2:8" x14ac:dyDescent="0.3">
      <c r="B294" s="15">
        <v>288</v>
      </c>
      <c r="C294" s="14">
        <v>43753</v>
      </c>
      <c r="D294" s="15" t="s">
        <v>9</v>
      </c>
      <c r="E294" s="15" t="s">
        <v>19</v>
      </c>
      <c r="F294" s="15" t="s">
        <v>20</v>
      </c>
      <c r="G294" s="15">
        <v>850</v>
      </c>
      <c r="H294" s="15">
        <v>1</v>
      </c>
    </row>
    <row r="295" spans="2:8" x14ac:dyDescent="0.3">
      <c r="B295" s="15">
        <v>289</v>
      </c>
      <c r="C295" s="14">
        <v>43754</v>
      </c>
      <c r="D295" s="15" t="s">
        <v>9</v>
      </c>
      <c r="E295" s="15" t="s">
        <v>16</v>
      </c>
      <c r="F295" s="15" t="s">
        <v>17</v>
      </c>
      <c r="G295" s="15">
        <v>800</v>
      </c>
      <c r="H295" s="15">
        <v>1</v>
      </c>
    </row>
    <row r="296" spans="2:8" x14ac:dyDescent="0.3">
      <c r="B296" s="15">
        <v>290</v>
      </c>
      <c r="C296" s="14">
        <v>43755</v>
      </c>
      <c r="D296" s="15" t="s">
        <v>9</v>
      </c>
      <c r="E296" s="15" t="s">
        <v>12</v>
      </c>
      <c r="F296" s="15" t="s">
        <v>11</v>
      </c>
      <c r="G296" s="15">
        <v>900</v>
      </c>
      <c r="H296" s="15">
        <v>1</v>
      </c>
    </row>
    <row r="297" spans="2:8" x14ac:dyDescent="0.3">
      <c r="B297" s="15">
        <v>291</v>
      </c>
      <c r="C297" s="14">
        <v>43756</v>
      </c>
      <c r="D297" s="15" t="s">
        <v>9</v>
      </c>
      <c r="E297" s="15" t="s">
        <v>12</v>
      </c>
      <c r="F297" s="15" t="s">
        <v>11</v>
      </c>
      <c r="G297" s="15">
        <v>900</v>
      </c>
      <c r="H297" s="15">
        <v>1</v>
      </c>
    </row>
    <row r="298" spans="2:8" x14ac:dyDescent="0.3">
      <c r="B298" s="15">
        <v>292</v>
      </c>
      <c r="C298" s="14">
        <v>43757</v>
      </c>
      <c r="D298" s="15" t="s">
        <v>9</v>
      </c>
      <c r="E298" s="15" t="s">
        <v>10</v>
      </c>
      <c r="F298" s="15" t="s">
        <v>11</v>
      </c>
      <c r="G298" s="15">
        <v>1100</v>
      </c>
      <c r="H298" s="15">
        <v>1</v>
      </c>
    </row>
    <row r="299" spans="2:8" x14ac:dyDescent="0.3">
      <c r="B299" s="15">
        <v>293</v>
      </c>
      <c r="C299" s="14">
        <v>43758</v>
      </c>
      <c r="D299" s="15" t="s">
        <v>9</v>
      </c>
      <c r="E299" s="15" t="s">
        <v>14</v>
      </c>
      <c r="F299" s="15" t="s">
        <v>11</v>
      </c>
      <c r="G299" s="15">
        <v>900</v>
      </c>
      <c r="H299" s="15">
        <v>1</v>
      </c>
    </row>
    <row r="300" spans="2:8" x14ac:dyDescent="0.3">
      <c r="B300" s="15">
        <v>294</v>
      </c>
      <c r="C300" s="14">
        <v>43759</v>
      </c>
      <c r="D300" s="15" t="s">
        <v>9</v>
      </c>
      <c r="E300" s="15" t="s">
        <v>18</v>
      </c>
      <c r="F300" s="15" t="s">
        <v>17</v>
      </c>
      <c r="G300" s="15">
        <v>600</v>
      </c>
      <c r="H300" s="15">
        <v>1</v>
      </c>
    </row>
    <row r="301" spans="2:8" x14ac:dyDescent="0.3">
      <c r="B301" s="15">
        <v>295</v>
      </c>
      <c r="C301" s="14">
        <v>43760</v>
      </c>
      <c r="D301" s="15" t="s">
        <v>9</v>
      </c>
      <c r="E301" s="15" t="s">
        <v>18</v>
      </c>
      <c r="F301" s="15" t="s">
        <v>17</v>
      </c>
      <c r="G301" s="15">
        <v>600</v>
      </c>
      <c r="H301" s="15">
        <v>1</v>
      </c>
    </row>
    <row r="302" spans="2:8" x14ac:dyDescent="0.3">
      <c r="B302" s="15">
        <v>296</v>
      </c>
      <c r="C302" s="14">
        <v>43761</v>
      </c>
      <c r="D302" s="15" t="s">
        <v>9</v>
      </c>
      <c r="E302" s="15" t="s">
        <v>14</v>
      </c>
      <c r="F302" s="15" t="s">
        <v>11</v>
      </c>
      <c r="G302" s="15">
        <v>900</v>
      </c>
      <c r="H302" s="15">
        <v>1</v>
      </c>
    </row>
    <row r="303" spans="2:8" x14ac:dyDescent="0.3">
      <c r="B303" s="15">
        <v>297</v>
      </c>
      <c r="C303" s="14">
        <v>43762</v>
      </c>
      <c r="D303" s="15" t="s">
        <v>9</v>
      </c>
      <c r="E303" s="15" t="s">
        <v>19</v>
      </c>
      <c r="F303" s="15" t="s">
        <v>20</v>
      </c>
      <c r="G303" s="15">
        <v>850</v>
      </c>
      <c r="H303" s="15">
        <v>1</v>
      </c>
    </row>
    <row r="304" spans="2:8" x14ac:dyDescent="0.3">
      <c r="B304" s="15">
        <v>298</v>
      </c>
      <c r="C304" s="14">
        <v>43763</v>
      </c>
      <c r="D304" s="15" t="s">
        <v>9</v>
      </c>
      <c r="E304" s="15" t="s">
        <v>14</v>
      </c>
      <c r="F304" s="15" t="s">
        <v>11</v>
      </c>
      <c r="G304" s="15">
        <v>900</v>
      </c>
      <c r="H304" s="15">
        <v>1</v>
      </c>
    </row>
    <row r="305" spans="2:8" x14ac:dyDescent="0.3">
      <c r="B305" s="15">
        <v>299</v>
      </c>
      <c r="C305" s="14">
        <v>43764</v>
      </c>
      <c r="D305" s="15" t="s">
        <v>9</v>
      </c>
      <c r="E305" s="15" t="s">
        <v>18</v>
      </c>
      <c r="F305" s="15" t="s">
        <v>17</v>
      </c>
      <c r="G305" s="15">
        <v>600</v>
      </c>
      <c r="H305" s="15">
        <v>1</v>
      </c>
    </row>
    <row r="306" spans="2:8" x14ac:dyDescent="0.3">
      <c r="B306" s="15">
        <v>300</v>
      </c>
      <c r="C306" s="14">
        <v>43765</v>
      </c>
      <c r="D306" s="15" t="s">
        <v>9</v>
      </c>
      <c r="E306" s="15" t="s">
        <v>18</v>
      </c>
      <c r="F306" s="15" t="s">
        <v>17</v>
      </c>
      <c r="G306" s="15">
        <v>600</v>
      </c>
      <c r="H306" s="15">
        <v>1</v>
      </c>
    </row>
    <row r="307" spans="2:8" x14ac:dyDescent="0.3">
      <c r="B307" s="15">
        <v>301</v>
      </c>
      <c r="C307" s="14">
        <v>43766</v>
      </c>
      <c r="D307" s="15" t="s">
        <v>9</v>
      </c>
      <c r="E307" s="15" t="s">
        <v>10</v>
      </c>
      <c r="F307" s="15" t="s">
        <v>11</v>
      </c>
      <c r="G307" s="15">
        <v>1100</v>
      </c>
      <c r="H307" s="15">
        <v>1</v>
      </c>
    </row>
    <row r="308" spans="2:8" x14ac:dyDescent="0.3">
      <c r="B308" s="15">
        <v>302</v>
      </c>
      <c r="C308" s="14">
        <v>43767</v>
      </c>
      <c r="D308" s="15" t="s">
        <v>9</v>
      </c>
      <c r="E308" s="15" t="s">
        <v>12</v>
      </c>
      <c r="F308" s="15" t="s">
        <v>11</v>
      </c>
      <c r="G308" s="15">
        <v>900</v>
      </c>
      <c r="H308" s="15">
        <v>1</v>
      </c>
    </row>
    <row r="309" spans="2:8" x14ac:dyDescent="0.3">
      <c r="B309" s="15">
        <v>303</v>
      </c>
      <c r="C309" s="14">
        <v>43768</v>
      </c>
      <c r="D309" s="15" t="s">
        <v>9</v>
      </c>
      <c r="E309" s="15" t="s">
        <v>10</v>
      </c>
      <c r="F309" s="15" t="s">
        <v>11</v>
      </c>
      <c r="G309" s="15">
        <v>1100</v>
      </c>
      <c r="H309" s="15">
        <v>1</v>
      </c>
    </row>
    <row r="310" spans="2:8" x14ac:dyDescent="0.3">
      <c r="B310" s="15">
        <v>304</v>
      </c>
      <c r="C310" s="14">
        <v>43769</v>
      </c>
      <c r="D310" s="15" t="s">
        <v>9</v>
      </c>
      <c r="E310" s="15" t="s">
        <v>18</v>
      </c>
      <c r="F310" s="15" t="s">
        <v>17</v>
      </c>
      <c r="G310" s="15">
        <v>600</v>
      </c>
      <c r="H310" s="15">
        <v>1</v>
      </c>
    </row>
    <row r="311" spans="2:8" x14ac:dyDescent="0.3">
      <c r="B311" s="15">
        <v>305</v>
      </c>
      <c r="C311" s="14">
        <v>43770</v>
      </c>
      <c r="D311" s="15" t="s">
        <v>9</v>
      </c>
      <c r="E311" s="15" t="s">
        <v>21</v>
      </c>
      <c r="F311" s="15" t="s">
        <v>20</v>
      </c>
      <c r="G311" s="15">
        <v>1200</v>
      </c>
      <c r="H311" s="15">
        <v>1</v>
      </c>
    </row>
    <row r="312" spans="2:8" x14ac:dyDescent="0.3">
      <c r="B312" s="15">
        <v>306</v>
      </c>
      <c r="C312" s="14">
        <v>43771</v>
      </c>
      <c r="D312" s="15" t="s">
        <v>9</v>
      </c>
      <c r="E312" s="15" t="s">
        <v>24</v>
      </c>
      <c r="F312" s="15" t="s">
        <v>23</v>
      </c>
      <c r="G312" s="15">
        <v>600</v>
      </c>
      <c r="H312" s="15">
        <v>1</v>
      </c>
    </row>
    <row r="313" spans="2:8" x14ac:dyDescent="0.3">
      <c r="B313" s="15">
        <v>307</v>
      </c>
      <c r="C313" s="14">
        <v>43772</v>
      </c>
      <c r="D313" s="15" t="s">
        <v>9</v>
      </c>
      <c r="E313" s="15" t="s">
        <v>10</v>
      </c>
      <c r="F313" s="15" t="s">
        <v>11</v>
      </c>
      <c r="G313" s="15">
        <v>1100</v>
      </c>
      <c r="H313" s="15">
        <v>1</v>
      </c>
    </row>
    <row r="314" spans="2:8" x14ac:dyDescent="0.3">
      <c r="B314" s="15">
        <v>308</v>
      </c>
      <c r="C314" s="14">
        <v>43773</v>
      </c>
      <c r="D314" s="15" t="s">
        <v>9</v>
      </c>
      <c r="E314" s="15" t="s">
        <v>22</v>
      </c>
      <c r="F314" s="15" t="s">
        <v>23</v>
      </c>
      <c r="G314" s="15">
        <v>500</v>
      </c>
      <c r="H314" s="15">
        <v>1</v>
      </c>
    </row>
    <row r="315" spans="2:8" x14ac:dyDescent="0.3">
      <c r="B315" s="15">
        <v>309</v>
      </c>
      <c r="C315" s="14">
        <v>43774</v>
      </c>
      <c r="D315" s="15" t="s">
        <v>9</v>
      </c>
      <c r="E315" s="15" t="s">
        <v>12</v>
      </c>
      <c r="F315" s="15" t="s">
        <v>11</v>
      </c>
      <c r="G315" s="15">
        <v>900</v>
      </c>
      <c r="H315" s="15">
        <v>1</v>
      </c>
    </row>
    <row r="316" spans="2:8" x14ac:dyDescent="0.3">
      <c r="B316" s="15">
        <v>310</v>
      </c>
      <c r="C316" s="14">
        <v>43775</v>
      </c>
      <c r="D316" s="15" t="s">
        <v>9</v>
      </c>
      <c r="E316" s="15" t="s">
        <v>19</v>
      </c>
      <c r="F316" s="15" t="s">
        <v>20</v>
      </c>
      <c r="G316" s="15">
        <v>850</v>
      </c>
      <c r="H316" s="15">
        <v>1</v>
      </c>
    </row>
    <row r="317" spans="2:8" x14ac:dyDescent="0.3">
      <c r="B317" s="15">
        <v>311</v>
      </c>
      <c r="C317" s="14">
        <v>43776</v>
      </c>
      <c r="D317" s="15" t="s">
        <v>9</v>
      </c>
      <c r="E317" s="15" t="s">
        <v>18</v>
      </c>
      <c r="F317" s="15" t="s">
        <v>17</v>
      </c>
      <c r="G317" s="15">
        <v>600</v>
      </c>
      <c r="H317" s="15">
        <v>1</v>
      </c>
    </row>
    <row r="318" spans="2:8" x14ac:dyDescent="0.3">
      <c r="B318" s="15">
        <v>312</v>
      </c>
      <c r="C318" s="14">
        <v>43777</v>
      </c>
      <c r="D318" s="15" t="s">
        <v>9</v>
      </c>
      <c r="E318" s="15" t="s">
        <v>10</v>
      </c>
      <c r="F318" s="15" t="s">
        <v>11</v>
      </c>
      <c r="G318" s="15">
        <v>1100</v>
      </c>
      <c r="H318" s="15">
        <v>1</v>
      </c>
    </row>
    <row r="319" spans="2:8" x14ac:dyDescent="0.3">
      <c r="B319" s="15">
        <v>313</v>
      </c>
      <c r="C319" s="14">
        <v>43778</v>
      </c>
      <c r="D319" s="15" t="s">
        <v>9</v>
      </c>
      <c r="E319" s="15" t="s">
        <v>22</v>
      </c>
      <c r="F319" s="15" t="s">
        <v>23</v>
      </c>
      <c r="G319" s="15">
        <v>500</v>
      </c>
      <c r="H319" s="15">
        <v>1</v>
      </c>
    </row>
    <row r="320" spans="2:8" x14ac:dyDescent="0.3">
      <c r="B320" s="15">
        <v>314</v>
      </c>
      <c r="C320" s="14">
        <v>43779</v>
      </c>
      <c r="D320" s="15" t="s">
        <v>9</v>
      </c>
      <c r="E320" s="15" t="s">
        <v>18</v>
      </c>
      <c r="F320" s="15" t="s">
        <v>17</v>
      </c>
      <c r="G320" s="15">
        <v>600</v>
      </c>
      <c r="H320" s="15">
        <v>1</v>
      </c>
    </row>
    <row r="321" spans="2:8" x14ac:dyDescent="0.3">
      <c r="B321" s="15">
        <v>315</v>
      </c>
      <c r="C321" s="14">
        <v>43780</v>
      </c>
      <c r="D321" s="15" t="s">
        <v>9</v>
      </c>
      <c r="E321" s="15" t="s">
        <v>15</v>
      </c>
      <c r="F321" s="15" t="s">
        <v>11</v>
      </c>
      <c r="G321" s="15">
        <v>1000</v>
      </c>
      <c r="H321" s="15">
        <v>1</v>
      </c>
    </row>
    <row r="322" spans="2:8" x14ac:dyDescent="0.3">
      <c r="B322" s="15">
        <v>316</v>
      </c>
      <c r="C322" s="14">
        <v>43781</v>
      </c>
      <c r="D322" s="15" t="s">
        <v>13</v>
      </c>
      <c r="E322" s="15" t="s">
        <v>18</v>
      </c>
      <c r="F322" s="15" t="s">
        <v>17</v>
      </c>
      <c r="G322" s="15">
        <v>600</v>
      </c>
      <c r="H322" s="15">
        <v>1</v>
      </c>
    </row>
    <row r="323" spans="2:8" x14ac:dyDescent="0.3">
      <c r="B323" s="15">
        <v>317</v>
      </c>
      <c r="C323" s="14">
        <v>43782</v>
      </c>
      <c r="D323" s="15" t="s">
        <v>13</v>
      </c>
      <c r="E323" s="15" t="s">
        <v>10</v>
      </c>
      <c r="F323" s="15" t="s">
        <v>11</v>
      </c>
      <c r="G323" s="15">
        <v>1100</v>
      </c>
      <c r="H323" s="15">
        <v>1</v>
      </c>
    </row>
    <row r="324" spans="2:8" x14ac:dyDescent="0.3">
      <c r="B324" s="15">
        <v>318</v>
      </c>
      <c r="C324" s="14">
        <v>43783</v>
      </c>
      <c r="D324" s="15" t="s">
        <v>13</v>
      </c>
      <c r="E324" s="15" t="s">
        <v>22</v>
      </c>
      <c r="F324" s="15" t="s">
        <v>23</v>
      </c>
      <c r="G324" s="15">
        <v>500</v>
      </c>
      <c r="H324" s="15">
        <v>1</v>
      </c>
    </row>
    <row r="325" spans="2:8" x14ac:dyDescent="0.3">
      <c r="B325" s="15">
        <v>319</v>
      </c>
      <c r="C325" s="14">
        <v>43784</v>
      </c>
      <c r="D325" s="15" t="s">
        <v>13</v>
      </c>
      <c r="E325" s="15" t="s">
        <v>10</v>
      </c>
      <c r="F325" s="15" t="s">
        <v>11</v>
      </c>
      <c r="G325" s="15">
        <v>1100</v>
      </c>
      <c r="H325" s="15">
        <v>2</v>
      </c>
    </row>
    <row r="326" spans="2:8" x14ac:dyDescent="0.3">
      <c r="B326" s="15">
        <v>320</v>
      </c>
      <c r="C326" s="14">
        <v>43785</v>
      </c>
      <c r="D326" s="15" t="s">
        <v>13</v>
      </c>
      <c r="E326" s="15" t="s">
        <v>18</v>
      </c>
      <c r="F326" s="15" t="s">
        <v>17</v>
      </c>
      <c r="G326" s="15">
        <v>600</v>
      </c>
      <c r="H326" s="15">
        <v>1</v>
      </c>
    </row>
    <row r="327" spans="2:8" x14ac:dyDescent="0.3">
      <c r="B327" s="15">
        <v>321</v>
      </c>
      <c r="C327" s="14">
        <v>43786</v>
      </c>
      <c r="D327" s="15" t="s">
        <v>13</v>
      </c>
      <c r="E327" s="15" t="s">
        <v>16</v>
      </c>
      <c r="F327" s="15" t="s">
        <v>17</v>
      </c>
      <c r="G327" s="15">
        <v>800</v>
      </c>
      <c r="H327" s="15">
        <v>1</v>
      </c>
    </row>
    <row r="328" spans="2:8" x14ac:dyDescent="0.3">
      <c r="B328" s="15">
        <v>322</v>
      </c>
      <c r="C328" s="14">
        <v>43787</v>
      </c>
      <c r="D328" s="15" t="s">
        <v>13</v>
      </c>
      <c r="E328" s="15" t="s">
        <v>14</v>
      </c>
      <c r="F328" s="15" t="s">
        <v>11</v>
      </c>
      <c r="G328" s="15">
        <v>900</v>
      </c>
      <c r="H328" s="15">
        <v>1</v>
      </c>
    </row>
    <row r="329" spans="2:8" x14ac:dyDescent="0.3">
      <c r="B329" s="15">
        <v>323</v>
      </c>
      <c r="C329" s="14">
        <v>43788</v>
      </c>
      <c r="D329" s="15" t="s">
        <v>13</v>
      </c>
      <c r="E329" s="15" t="s">
        <v>24</v>
      </c>
      <c r="F329" s="15" t="s">
        <v>23</v>
      </c>
      <c r="G329" s="15">
        <v>600</v>
      </c>
      <c r="H329" s="15">
        <v>1</v>
      </c>
    </row>
    <row r="330" spans="2:8" x14ac:dyDescent="0.3">
      <c r="B330" s="15">
        <v>324</v>
      </c>
      <c r="C330" s="14">
        <v>43789</v>
      </c>
      <c r="D330" s="15" t="s">
        <v>13</v>
      </c>
      <c r="E330" s="15" t="s">
        <v>10</v>
      </c>
      <c r="F330" s="15" t="s">
        <v>11</v>
      </c>
      <c r="G330" s="15">
        <v>1100</v>
      </c>
      <c r="H330" s="15">
        <v>2</v>
      </c>
    </row>
    <row r="331" spans="2:8" x14ac:dyDescent="0.3">
      <c r="B331" s="15">
        <v>325</v>
      </c>
      <c r="C331" s="14">
        <v>43790</v>
      </c>
      <c r="D331" s="15" t="s">
        <v>9</v>
      </c>
      <c r="E331" s="15" t="s">
        <v>18</v>
      </c>
      <c r="F331" s="15" t="s">
        <v>17</v>
      </c>
      <c r="G331" s="15">
        <v>600</v>
      </c>
      <c r="H331" s="15">
        <v>1</v>
      </c>
    </row>
    <row r="332" spans="2:8" x14ac:dyDescent="0.3">
      <c r="B332" s="15">
        <v>326</v>
      </c>
      <c r="C332" s="14">
        <v>43791</v>
      </c>
      <c r="D332" s="15" t="s">
        <v>9</v>
      </c>
      <c r="E332" s="15" t="s">
        <v>10</v>
      </c>
      <c r="F332" s="15" t="s">
        <v>11</v>
      </c>
      <c r="G332" s="15">
        <v>1100</v>
      </c>
      <c r="H332" s="15">
        <v>1</v>
      </c>
    </row>
    <row r="333" spans="2:8" x14ac:dyDescent="0.3">
      <c r="B333" s="15">
        <v>327</v>
      </c>
      <c r="C333" s="14">
        <v>43792</v>
      </c>
      <c r="D333" s="15" t="s">
        <v>9</v>
      </c>
      <c r="E333" s="15" t="s">
        <v>15</v>
      </c>
      <c r="F333" s="15" t="s">
        <v>11</v>
      </c>
      <c r="G333" s="15">
        <v>1000</v>
      </c>
      <c r="H333" s="15">
        <v>1</v>
      </c>
    </row>
    <row r="334" spans="2:8" x14ac:dyDescent="0.3">
      <c r="B334" s="15">
        <v>328</v>
      </c>
      <c r="C334" s="14">
        <v>43793</v>
      </c>
      <c r="D334" s="15" t="s">
        <v>9</v>
      </c>
      <c r="E334" s="15" t="s">
        <v>10</v>
      </c>
      <c r="F334" s="15" t="s">
        <v>11</v>
      </c>
      <c r="G334" s="15">
        <v>1100</v>
      </c>
      <c r="H334" s="15">
        <v>1</v>
      </c>
    </row>
    <row r="335" spans="2:8" x14ac:dyDescent="0.3">
      <c r="B335" s="15">
        <v>329</v>
      </c>
      <c r="C335" s="14">
        <v>43794</v>
      </c>
      <c r="D335" s="15" t="s">
        <v>9</v>
      </c>
      <c r="E335" s="15" t="s">
        <v>21</v>
      </c>
      <c r="F335" s="15" t="s">
        <v>20</v>
      </c>
      <c r="G335" s="15">
        <v>1200</v>
      </c>
      <c r="H335" s="15">
        <v>1</v>
      </c>
    </row>
    <row r="336" spans="2:8" x14ac:dyDescent="0.3">
      <c r="B336" s="15">
        <v>330</v>
      </c>
      <c r="C336" s="14">
        <v>43795</v>
      </c>
      <c r="D336" s="15" t="s">
        <v>9</v>
      </c>
      <c r="E336" s="15" t="s">
        <v>14</v>
      </c>
      <c r="F336" s="15" t="s">
        <v>11</v>
      </c>
      <c r="G336" s="15">
        <v>900</v>
      </c>
      <c r="H336" s="15">
        <v>1</v>
      </c>
    </row>
    <row r="337" spans="2:8" x14ac:dyDescent="0.3">
      <c r="B337" s="15">
        <v>331</v>
      </c>
      <c r="C337" s="14">
        <v>43796</v>
      </c>
      <c r="D337" s="15" t="s">
        <v>9</v>
      </c>
      <c r="E337" s="15" t="s">
        <v>24</v>
      </c>
      <c r="F337" s="15" t="s">
        <v>23</v>
      </c>
      <c r="G337" s="15">
        <v>600</v>
      </c>
      <c r="H337" s="15">
        <v>1</v>
      </c>
    </row>
    <row r="338" spans="2:8" x14ac:dyDescent="0.3">
      <c r="B338" s="15">
        <v>332</v>
      </c>
      <c r="C338" s="14">
        <v>43797</v>
      </c>
      <c r="D338" s="15" t="s">
        <v>9</v>
      </c>
      <c r="E338" s="15" t="s">
        <v>10</v>
      </c>
      <c r="F338" s="15" t="s">
        <v>11</v>
      </c>
      <c r="G338" s="15">
        <v>1100</v>
      </c>
      <c r="H338" s="15">
        <v>2</v>
      </c>
    </row>
    <row r="339" spans="2:8" x14ac:dyDescent="0.3">
      <c r="B339" s="15">
        <v>333</v>
      </c>
      <c r="C339" s="14">
        <v>43798</v>
      </c>
      <c r="D339" s="15" t="s">
        <v>9</v>
      </c>
      <c r="E339" s="15" t="s">
        <v>15</v>
      </c>
      <c r="F339" s="15" t="s">
        <v>11</v>
      </c>
      <c r="G339" s="15">
        <v>1000</v>
      </c>
      <c r="H339" s="15">
        <v>1</v>
      </c>
    </row>
    <row r="340" spans="2:8" x14ac:dyDescent="0.3">
      <c r="B340" s="15">
        <v>334</v>
      </c>
      <c r="C340" s="14">
        <v>43799</v>
      </c>
      <c r="D340" s="15" t="s">
        <v>9</v>
      </c>
      <c r="E340" s="15" t="s">
        <v>15</v>
      </c>
      <c r="F340" s="15" t="s">
        <v>11</v>
      </c>
      <c r="G340" s="15">
        <v>1000</v>
      </c>
      <c r="H340" s="15">
        <v>1</v>
      </c>
    </row>
    <row r="341" spans="2:8" x14ac:dyDescent="0.3">
      <c r="B341" s="15">
        <v>335</v>
      </c>
      <c r="C341" s="14">
        <v>43800</v>
      </c>
      <c r="D341" s="15" t="s">
        <v>9</v>
      </c>
      <c r="E341" s="15" t="s">
        <v>22</v>
      </c>
      <c r="F341" s="15" t="s">
        <v>23</v>
      </c>
      <c r="G341" s="15">
        <v>500</v>
      </c>
      <c r="H341" s="15">
        <v>1</v>
      </c>
    </row>
    <row r="342" spans="2:8" x14ac:dyDescent="0.3">
      <c r="B342" s="15">
        <v>336</v>
      </c>
      <c r="C342" s="14">
        <v>43801</v>
      </c>
      <c r="D342" s="15" t="s">
        <v>9</v>
      </c>
      <c r="E342" s="15" t="s">
        <v>15</v>
      </c>
      <c r="F342" s="15" t="s">
        <v>11</v>
      </c>
      <c r="G342" s="15">
        <v>1000</v>
      </c>
      <c r="H342" s="15">
        <v>1</v>
      </c>
    </row>
    <row r="343" spans="2:8" x14ac:dyDescent="0.3">
      <c r="B343" s="15">
        <v>337</v>
      </c>
      <c r="C343" s="14">
        <v>43802</v>
      </c>
      <c r="D343" s="15" t="s">
        <v>9</v>
      </c>
      <c r="E343" s="15" t="s">
        <v>21</v>
      </c>
      <c r="F343" s="15" t="s">
        <v>20</v>
      </c>
      <c r="G343" s="15">
        <v>1200</v>
      </c>
      <c r="H343" s="15">
        <v>1</v>
      </c>
    </row>
    <row r="344" spans="2:8" x14ac:dyDescent="0.3">
      <c r="B344" s="15">
        <v>338</v>
      </c>
      <c r="C344" s="19">
        <v>43803</v>
      </c>
      <c r="D344" s="15" t="s">
        <v>9</v>
      </c>
      <c r="E344" s="15" t="s">
        <v>21</v>
      </c>
      <c r="F344" s="15" t="s">
        <v>20</v>
      </c>
      <c r="G344" s="15"/>
      <c r="H344" s="15">
        <v>1</v>
      </c>
    </row>
    <row r="345" spans="2:8" x14ac:dyDescent="0.3">
      <c r="B345" s="15">
        <v>339</v>
      </c>
      <c r="C345" s="19">
        <v>43804</v>
      </c>
      <c r="D345" s="15" t="s">
        <v>9</v>
      </c>
      <c r="E345" s="15" t="s">
        <v>12</v>
      </c>
      <c r="F345" s="15" t="s">
        <v>11</v>
      </c>
      <c r="G345" s="15"/>
      <c r="H345" s="15">
        <v>1</v>
      </c>
    </row>
    <row r="346" spans="2:8" x14ac:dyDescent="0.3">
      <c r="B346" s="15">
        <v>340</v>
      </c>
      <c r="C346" s="19">
        <v>43805</v>
      </c>
      <c r="D346" s="15" t="s">
        <v>9</v>
      </c>
      <c r="E346" s="15" t="s">
        <v>15</v>
      </c>
      <c r="F346" s="15" t="s">
        <v>11</v>
      </c>
      <c r="G346" s="15"/>
      <c r="H346" s="15">
        <v>1</v>
      </c>
    </row>
    <row r="347" spans="2:8" x14ac:dyDescent="0.3">
      <c r="B347" s="15">
        <v>341</v>
      </c>
      <c r="C347" s="19">
        <v>43806</v>
      </c>
      <c r="D347" s="15" t="s">
        <v>9</v>
      </c>
      <c r="E347" s="15" t="s">
        <v>18</v>
      </c>
      <c r="F347" s="15" t="s">
        <v>17</v>
      </c>
      <c r="G347" s="15"/>
      <c r="H347" s="15">
        <v>1</v>
      </c>
    </row>
    <row r="348" spans="2:8" x14ac:dyDescent="0.3">
      <c r="B348" s="15">
        <v>342</v>
      </c>
      <c r="C348" s="19">
        <v>43807</v>
      </c>
      <c r="D348" s="15" t="s">
        <v>9</v>
      </c>
      <c r="E348" s="15" t="s">
        <v>18</v>
      </c>
      <c r="F348" s="15" t="s">
        <v>17</v>
      </c>
      <c r="G348" s="15"/>
      <c r="H348" s="15">
        <v>1</v>
      </c>
    </row>
    <row r="349" spans="2:8" x14ac:dyDescent="0.3">
      <c r="B349" s="15">
        <v>343</v>
      </c>
      <c r="C349" s="19">
        <v>43808</v>
      </c>
      <c r="D349" s="15" t="s">
        <v>9</v>
      </c>
      <c r="E349" s="15" t="s">
        <v>15</v>
      </c>
      <c r="F349" s="15" t="s">
        <v>11</v>
      </c>
      <c r="G349" s="15"/>
      <c r="H349" s="15">
        <v>1</v>
      </c>
    </row>
    <row r="350" spans="2:8" x14ac:dyDescent="0.3">
      <c r="B350" s="15">
        <v>344</v>
      </c>
      <c r="C350" s="14">
        <v>43809</v>
      </c>
      <c r="D350" s="15" t="s">
        <v>9</v>
      </c>
      <c r="E350" s="15" t="s">
        <v>14</v>
      </c>
      <c r="F350" s="15" t="s">
        <v>11</v>
      </c>
      <c r="G350" s="15">
        <v>900</v>
      </c>
      <c r="H350" s="15">
        <v>2</v>
      </c>
    </row>
    <row r="351" spans="2:8" x14ac:dyDescent="0.3">
      <c r="B351" s="15">
        <v>345</v>
      </c>
      <c r="C351" s="14">
        <v>43810</v>
      </c>
      <c r="D351" s="15" t="s">
        <v>55</v>
      </c>
      <c r="E351" s="15" t="s">
        <v>10</v>
      </c>
      <c r="F351" s="15" t="s">
        <v>11</v>
      </c>
      <c r="G351" s="15">
        <v>1100</v>
      </c>
      <c r="H351" s="15">
        <v>2</v>
      </c>
    </row>
    <row r="352" spans="2:8" x14ac:dyDescent="0.3">
      <c r="B352" s="15">
        <v>346</v>
      </c>
      <c r="C352" s="14">
        <v>43811</v>
      </c>
      <c r="D352" s="15" t="s">
        <v>56</v>
      </c>
      <c r="E352" s="15" t="s">
        <v>14</v>
      </c>
      <c r="F352" s="15" t="s">
        <v>11</v>
      </c>
      <c r="G352" s="15">
        <v>900</v>
      </c>
      <c r="H352" s="15">
        <v>2</v>
      </c>
    </row>
    <row r="353" spans="2:8" x14ac:dyDescent="0.3">
      <c r="B353" s="15">
        <v>347</v>
      </c>
      <c r="C353" s="14">
        <v>43812</v>
      </c>
      <c r="D353" s="15" t="s">
        <v>55</v>
      </c>
      <c r="E353" s="15" t="s">
        <v>22</v>
      </c>
      <c r="F353" s="15" t="s">
        <v>23</v>
      </c>
      <c r="G353" s="15">
        <v>800</v>
      </c>
      <c r="H353" s="15">
        <v>1</v>
      </c>
    </row>
    <row r="354" spans="2:8" x14ac:dyDescent="0.3">
      <c r="B354" s="15">
        <v>348</v>
      </c>
      <c r="C354" s="14">
        <v>43813</v>
      </c>
      <c r="D354" s="15" t="s">
        <v>9</v>
      </c>
      <c r="E354" s="15" t="s">
        <v>10</v>
      </c>
      <c r="F354" s="15" t="s">
        <v>11</v>
      </c>
      <c r="G354" s="15">
        <v>1100</v>
      </c>
      <c r="H354" s="15">
        <v>1</v>
      </c>
    </row>
    <row r="355" spans="2:8" x14ac:dyDescent="0.3">
      <c r="B355" s="15">
        <v>349</v>
      </c>
      <c r="C355" s="14">
        <v>43814</v>
      </c>
      <c r="D355" s="15" t="s">
        <v>9</v>
      </c>
      <c r="E355" s="15" t="s">
        <v>24</v>
      </c>
      <c r="F355" s="15" t="s">
        <v>23</v>
      </c>
      <c r="G355" s="15">
        <v>600</v>
      </c>
      <c r="H355" s="15">
        <v>1</v>
      </c>
    </row>
    <row r="356" spans="2:8" x14ac:dyDescent="0.3">
      <c r="B356" s="15">
        <v>350</v>
      </c>
      <c r="C356" s="14">
        <v>43815</v>
      </c>
      <c r="D356" s="15" t="s">
        <v>13</v>
      </c>
      <c r="E356" s="15" t="s">
        <v>10</v>
      </c>
      <c r="F356" s="15" t="s">
        <v>11</v>
      </c>
      <c r="G356" s="15">
        <v>1100</v>
      </c>
      <c r="H356" s="15">
        <v>3</v>
      </c>
    </row>
    <row r="357" spans="2:8" x14ac:dyDescent="0.3">
      <c r="B357" s="15">
        <v>351</v>
      </c>
      <c r="C357" s="14">
        <v>43816</v>
      </c>
      <c r="D357" s="15" t="s">
        <v>13</v>
      </c>
      <c r="E357" s="15" t="s">
        <v>19</v>
      </c>
      <c r="F357" s="15" t="s">
        <v>20</v>
      </c>
      <c r="G357" s="15">
        <v>850</v>
      </c>
      <c r="H357" s="15">
        <v>1</v>
      </c>
    </row>
    <row r="358" spans="2:8" x14ac:dyDescent="0.3">
      <c r="B358" s="15">
        <v>352</v>
      </c>
      <c r="C358" s="14">
        <v>43817</v>
      </c>
      <c r="D358" s="15" t="s">
        <v>13</v>
      </c>
      <c r="E358" s="15" t="s">
        <v>24</v>
      </c>
      <c r="F358" s="15" t="s">
        <v>23</v>
      </c>
      <c r="G358" s="15">
        <v>600</v>
      </c>
      <c r="H358" s="15">
        <v>1</v>
      </c>
    </row>
    <row r="359" spans="2:8" x14ac:dyDescent="0.3">
      <c r="B359" s="15">
        <v>353</v>
      </c>
      <c r="C359" s="14">
        <v>43818</v>
      </c>
      <c r="D359" s="15" t="s">
        <v>13</v>
      </c>
      <c r="E359" s="15" t="s">
        <v>24</v>
      </c>
      <c r="F359" s="15" t="s">
        <v>23</v>
      </c>
      <c r="G359" s="15">
        <v>600</v>
      </c>
      <c r="H359" s="15">
        <v>1</v>
      </c>
    </row>
    <row r="360" spans="2:8" x14ac:dyDescent="0.3">
      <c r="B360" s="15">
        <v>354</v>
      </c>
      <c r="C360" s="14">
        <v>43819</v>
      </c>
      <c r="D360" s="15" t="s">
        <v>9</v>
      </c>
      <c r="E360" s="15" t="s">
        <v>10</v>
      </c>
      <c r="F360" s="15" t="s">
        <v>11</v>
      </c>
      <c r="G360" s="15">
        <v>1100</v>
      </c>
      <c r="H360" s="15">
        <v>1</v>
      </c>
    </row>
    <row r="361" spans="2:8" x14ac:dyDescent="0.3">
      <c r="B361" s="15">
        <v>355</v>
      </c>
      <c r="C361" s="14">
        <v>43820</v>
      </c>
      <c r="D361" s="15" t="s">
        <v>9</v>
      </c>
      <c r="E361" s="15" t="s">
        <v>15</v>
      </c>
      <c r="F361" s="15" t="s">
        <v>11</v>
      </c>
      <c r="G361" s="15">
        <v>1000</v>
      </c>
      <c r="H361" s="15">
        <v>1</v>
      </c>
    </row>
    <row r="362" spans="2:8" x14ac:dyDescent="0.3">
      <c r="B362" s="15">
        <v>356</v>
      </c>
      <c r="C362" s="14">
        <v>43821</v>
      </c>
      <c r="D362" s="15" t="s">
        <v>9</v>
      </c>
      <c r="E362" s="15" t="s">
        <v>14</v>
      </c>
      <c r="F362" s="15" t="s">
        <v>11</v>
      </c>
      <c r="G362" s="15">
        <v>900</v>
      </c>
      <c r="H362" s="15">
        <v>1</v>
      </c>
    </row>
    <row r="363" spans="2:8" x14ac:dyDescent="0.3">
      <c r="B363" s="15">
        <v>357</v>
      </c>
      <c r="C363" s="14">
        <v>43822</v>
      </c>
      <c r="D363" s="15" t="s">
        <v>9</v>
      </c>
      <c r="E363" s="15" t="s">
        <v>24</v>
      </c>
      <c r="F363" s="15" t="s">
        <v>23</v>
      </c>
      <c r="G363" s="15">
        <v>600</v>
      </c>
      <c r="H363" s="15">
        <v>1</v>
      </c>
    </row>
    <row r="364" spans="2:8" x14ac:dyDescent="0.3">
      <c r="B364" s="15">
        <v>358</v>
      </c>
      <c r="C364" s="14">
        <v>43823</v>
      </c>
      <c r="D364" s="15" t="s">
        <v>9</v>
      </c>
      <c r="E364" s="15" t="s">
        <v>14</v>
      </c>
      <c r="F364" s="15" t="s">
        <v>11</v>
      </c>
      <c r="G364" s="15">
        <v>900</v>
      </c>
      <c r="H364" s="15">
        <v>1</v>
      </c>
    </row>
    <row r="365" spans="2:8" x14ac:dyDescent="0.3">
      <c r="B365" s="15">
        <v>359</v>
      </c>
      <c r="C365" s="14">
        <v>43824</v>
      </c>
      <c r="D365" s="15" t="s">
        <v>9</v>
      </c>
      <c r="E365" s="15" t="s">
        <v>18</v>
      </c>
      <c r="F365" s="15" t="s">
        <v>17</v>
      </c>
      <c r="G365" s="15">
        <v>600</v>
      </c>
      <c r="H365" s="15">
        <v>1</v>
      </c>
    </row>
    <row r="366" spans="2:8" x14ac:dyDescent="0.3">
      <c r="B366" s="15">
        <v>360</v>
      </c>
      <c r="C366" s="14">
        <v>43825</v>
      </c>
      <c r="D366" s="15" t="s">
        <v>9</v>
      </c>
      <c r="E366" s="15" t="s">
        <v>12</v>
      </c>
      <c r="F366" s="15" t="s">
        <v>11</v>
      </c>
      <c r="G366" s="15">
        <v>900</v>
      </c>
      <c r="H366" s="15">
        <v>1</v>
      </c>
    </row>
    <row r="367" spans="2:8" x14ac:dyDescent="0.3">
      <c r="B367" s="15">
        <v>361</v>
      </c>
      <c r="C367" s="14">
        <v>43826</v>
      </c>
      <c r="D367" s="15" t="s">
        <v>9</v>
      </c>
      <c r="E367" s="15" t="s">
        <v>18</v>
      </c>
      <c r="F367" s="15" t="s">
        <v>17</v>
      </c>
      <c r="G367" s="15">
        <v>600</v>
      </c>
      <c r="H367" s="15">
        <v>1</v>
      </c>
    </row>
    <row r="368" spans="2:8" x14ac:dyDescent="0.3">
      <c r="B368" s="15">
        <v>362</v>
      </c>
      <c r="C368" s="14">
        <v>43827</v>
      </c>
      <c r="D368" s="15" t="s">
        <v>9</v>
      </c>
      <c r="E368" s="15" t="s">
        <v>14</v>
      </c>
      <c r="F368" s="15" t="s">
        <v>11</v>
      </c>
      <c r="G368" s="15">
        <v>900</v>
      </c>
      <c r="H368" s="15">
        <v>1</v>
      </c>
    </row>
    <row r="369" spans="2:8" x14ac:dyDescent="0.3">
      <c r="B369" s="15">
        <v>363</v>
      </c>
      <c r="C369" s="14">
        <v>43828</v>
      </c>
      <c r="D369" s="15" t="s">
        <v>9</v>
      </c>
      <c r="E369" s="15" t="s">
        <v>24</v>
      </c>
      <c r="F369" s="15" t="s">
        <v>23</v>
      </c>
      <c r="G369" s="15">
        <v>600</v>
      </c>
      <c r="H369" s="15">
        <v>1</v>
      </c>
    </row>
    <row r="370" spans="2:8" x14ac:dyDescent="0.3">
      <c r="B370" s="15">
        <v>364</v>
      </c>
      <c r="C370" s="14">
        <v>43829</v>
      </c>
      <c r="D370" s="15" t="s">
        <v>9</v>
      </c>
      <c r="E370" s="15" t="s">
        <v>10</v>
      </c>
      <c r="F370" s="15" t="s">
        <v>11</v>
      </c>
      <c r="G370" s="15">
        <v>1100</v>
      </c>
      <c r="H370" s="15">
        <v>2</v>
      </c>
    </row>
    <row r="371" spans="2:8" x14ac:dyDescent="0.3">
      <c r="B371" s="15">
        <v>365</v>
      </c>
      <c r="C371" s="14">
        <v>43830</v>
      </c>
      <c r="D371" s="15" t="s">
        <v>9</v>
      </c>
      <c r="E371" s="15" t="s">
        <v>10</v>
      </c>
      <c r="F371" s="15" t="s">
        <v>11</v>
      </c>
      <c r="G371" s="15">
        <v>1100</v>
      </c>
      <c r="H371" s="15">
        <v>1</v>
      </c>
    </row>
    <row r="372" spans="2:8" x14ac:dyDescent="0.3">
      <c r="B372" s="15">
        <v>366</v>
      </c>
      <c r="C372" s="14">
        <v>43831</v>
      </c>
      <c r="D372" s="15" t="s">
        <v>9</v>
      </c>
      <c r="E372" s="15" t="s">
        <v>10</v>
      </c>
      <c r="F372" s="15" t="s">
        <v>11</v>
      </c>
      <c r="G372" s="15">
        <v>1100</v>
      </c>
      <c r="H372" s="15">
        <v>1</v>
      </c>
    </row>
    <row r="373" spans="2:8" x14ac:dyDescent="0.3">
      <c r="B373" s="15">
        <v>367</v>
      </c>
      <c r="C373" s="14">
        <v>43832</v>
      </c>
      <c r="D373" s="15" t="s">
        <v>9</v>
      </c>
      <c r="E373" s="15" t="s">
        <v>18</v>
      </c>
      <c r="F373" s="15" t="s">
        <v>17</v>
      </c>
      <c r="G373" s="15">
        <v>600</v>
      </c>
      <c r="H373" s="15">
        <v>2</v>
      </c>
    </row>
    <row r="374" spans="2:8" x14ac:dyDescent="0.3">
      <c r="B374" s="15">
        <v>368</v>
      </c>
      <c r="C374" s="14">
        <v>43833</v>
      </c>
      <c r="D374" s="15" t="s">
        <v>9</v>
      </c>
      <c r="E374" s="15" t="s">
        <v>10</v>
      </c>
      <c r="F374" s="15" t="s">
        <v>11</v>
      </c>
      <c r="G374" s="15">
        <v>1100</v>
      </c>
      <c r="H374" s="15">
        <v>1</v>
      </c>
    </row>
    <row r="375" spans="2:8" x14ac:dyDescent="0.3">
      <c r="B375" s="15">
        <v>369</v>
      </c>
      <c r="C375" s="14">
        <v>43834</v>
      </c>
      <c r="D375" s="15" t="s">
        <v>9</v>
      </c>
      <c r="E375" s="15" t="s">
        <v>24</v>
      </c>
      <c r="F375" s="15" t="s">
        <v>23</v>
      </c>
      <c r="G375" s="15">
        <v>600</v>
      </c>
      <c r="H375" s="15">
        <v>1</v>
      </c>
    </row>
    <row r="376" spans="2:8" x14ac:dyDescent="0.3">
      <c r="B376" s="15">
        <v>370</v>
      </c>
      <c r="C376" s="14">
        <v>43835</v>
      </c>
      <c r="D376" s="15" t="s">
        <v>9</v>
      </c>
      <c r="E376" s="15" t="s">
        <v>10</v>
      </c>
      <c r="F376" s="15" t="s">
        <v>11</v>
      </c>
      <c r="G376" s="15">
        <v>1100</v>
      </c>
      <c r="H376" s="15">
        <v>1</v>
      </c>
    </row>
    <row r="377" spans="2:8" x14ac:dyDescent="0.3">
      <c r="B377" s="15">
        <v>371</v>
      </c>
      <c r="C377" s="14">
        <v>43836</v>
      </c>
      <c r="D377" s="15" t="s">
        <v>13</v>
      </c>
      <c r="E377" s="15" t="s">
        <v>18</v>
      </c>
      <c r="F377" s="15" t="s">
        <v>17</v>
      </c>
      <c r="G377" s="15">
        <v>600</v>
      </c>
      <c r="H377" s="15">
        <v>1</v>
      </c>
    </row>
    <row r="378" spans="2:8" x14ac:dyDescent="0.3">
      <c r="B378" s="15">
        <v>372</v>
      </c>
      <c r="C378" s="14">
        <v>43837</v>
      </c>
      <c r="D378" s="15" t="s">
        <v>13</v>
      </c>
      <c r="E378" s="15" t="s">
        <v>10</v>
      </c>
      <c r="F378" s="15" t="s">
        <v>11</v>
      </c>
      <c r="G378" s="15">
        <v>1100</v>
      </c>
      <c r="H378" s="15">
        <v>1</v>
      </c>
    </row>
    <row r="379" spans="2:8" x14ac:dyDescent="0.3">
      <c r="B379" s="15">
        <v>373</v>
      </c>
      <c r="C379" s="14">
        <v>43838</v>
      </c>
      <c r="D379" s="15" t="s">
        <v>13</v>
      </c>
      <c r="E379" s="15" t="s">
        <v>14</v>
      </c>
      <c r="F379" s="15" t="s">
        <v>11</v>
      </c>
      <c r="G379" s="15">
        <v>900</v>
      </c>
      <c r="H379" s="15">
        <v>1</v>
      </c>
    </row>
    <row r="380" spans="2:8" x14ac:dyDescent="0.3">
      <c r="B380" s="15">
        <v>374</v>
      </c>
      <c r="C380" s="14">
        <v>43839</v>
      </c>
      <c r="D380" s="15" t="s">
        <v>13</v>
      </c>
      <c r="E380" s="15" t="s">
        <v>21</v>
      </c>
      <c r="F380" s="15" t="s">
        <v>20</v>
      </c>
      <c r="G380" s="15">
        <v>1200</v>
      </c>
      <c r="H380" s="15">
        <v>1</v>
      </c>
    </row>
    <row r="381" spans="2:8" x14ac:dyDescent="0.3">
      <c r="B381" s="15">
        <v>375</v>
      </c>
      <c r="C381" s="14">
        <v>43840</v>
      </c>
      <c r="D381" s="15" t="s">
        <v>13</v>
      </c>
      <c r="E381" s="15" t="s">
        <v>22</v>
      </c>
      <c r="F381" s="15" t="s">
        <v>23</v>
      </c>
      <c r="G381" s="15">
        <v>500</v>
      </c>
      <c r="H381" s="15">
        <v>1</v>
      </c>
    </row>
    <row r="382" spans="2:8" x14ac:dyDescent="0.3">
      <c r="B382" s="15">
        <v>376</v>
      </c>
      <c r="C382" s="14">
        <v>43841</v>
      </c>
      <c r="D382" s="15" t="s">
        <v>13</v>
      </c>
      <c r="E382" s="15" t="s">
        <v>18</v>
      </c>
      <c r="F382" s="15" t="s">
        <v>17</v>
      </c>
      <c r="G382" s="15">
        <v>600</v>
      </c>
      <c r="H382" s="15">
        <v>1</v>
      </c>
    </row>
    <row r="383" spans="2:8" x14ac:dyDescent="0.3">
      <c r="B383" s="15">
        <v>377</v>
      </c>
      <c r="C383" s="14">
        <v>43842</v>
      </c>
      <c r="D383" s="15" t="s">
        <v>13</v>
      </c>
      <c r="E383" s="15" t="s">
        <v>18</v>
      </c>
      <c r="F383" s="15" t="s">
        <v>17</v>
      </c>
      <c r="G383" s="15">
        <v>600</v>
      </c>
      <c r="H383" s="15">
        <v>1</v>
      </c>
    </row>
    <row r="384" spans="2:8" x14ac:dyDescent="0.3">
      <c r="B384" s="15">
        <v>378</v>
      </c>
      <c r="C384" s="14">
        <v>43843</v>
      </c>
      <c r="D384" s="15" t="s">
        <v>13</v>
      </c>
      <c r="E384" s="15" t="s">
        <v>10</v>
      </c>
      <c r="F384" s="15" t="s">
        <v>11</v>
      </c>
      <c r="G384" s="15">
        <v>1100</v>
      </c>
      <c r="H384" s="15">
        <v>1</v>
      </c>
    </row>
    <row r="385" spans="2:8" x14ac:dyDescent="0.3">
      <c r="B385" s="15">
        <v>379</v>
      </c>
      <c r="C385" s="14">
        <v>43844</v>
      </c>
      <c r="D385" s="15" t="s">
        <v>13</v>
      </c>
      <c r="E385" s="15" t="s">
        <v>10</v>
      </c>
      <c r="F385" s="15" t="s">
        <v>11</v>
      </c>
      <c r="G385" s="15">
        <v>1100</v>
      </c>
      <c r="H385" s="15">
        <v>1</v>
      </c>
    </row>
    <row r="386" spans="2:8" x14ac:dyDescent="0.3">
      <c r="B386" s="15">
        <v>380</v>
      </c>
      <c r="C386" s="14">
        <v>43845</v>
      </c>
      <c r="D386" s="15" t="s">
        <v>9</v>
      </c>
      <c r="E386" s="15" t="s">
        <v>22</v>
      </c>
      <c r="F386" s="15" t="s">
        <v>23</v>
      </c>
      <c r="G386" s="15">
        <v>900</v>
      </c>
      <c r="H386" s="15">
        <v>1</v>
      </c>
    </row>
    <row r="387" spans="2:8" x14ac:dyDescent="0.3">
      <c r="B387" s="15">
        <v>381</v>
      </c>
      <c r="C387" s="14">
        <v>43846</v>
      </c>
      <c r="D387" s="15" t="s">
        <v>9</v>
      </c>
      <c r="E387" s="15" t="s">
        <v>24</v>
      </c>
      <c r="F387" s="15" t="s">
        <v>23</v>
      </c>
      <c r="G387" s="15">
        <v>600</v>
      </c>
      <c r="H387" s="15">
        <v>1</v>
      </c>
    </row>
    <row r="388" spans="2:8" x14ac:dyDescent="0.3">
      <c r="B388" s="15">
        <v>382</v>
      </c>
      <c r="C388" s="14">
        <v>43847</v>
      </c>
      <c r="D388" s="15" t="s">
        <v>13</v>
      </c>
      <c r="E388" s="15" t="s">
        <v>10</v>
      </c>
      <c r="F388" s="15" t="s">
        <v>11</v>
      </c>
      <c r="G388" s="15">
        <v>1100</v>
      </c>
      <c r="H388" s="15">
        <v>1</v>
      </c>
    </row>
    <row r="389" spans="2:8" x14ac:dyDescent="0.3">
      <c r="B389" s="15">
        <v>383</v>
      </c>
      <c r="C389" s="14">
        <v>43848</v>
      </c>
      <c r="D389" s="15" t="s">
        <v>13</v>
      </c>
      <c r="E389" s="15" t="s">
        <v>18</v>
      </c>
      <c r="F389" s="15" t="s">
        <v>17</v>
      </c>
      <c r="G389" s="15">
        <v>600</v>
      </c>
      <c r="H389" s="15">
        <v>1</v>
      </c>
    </row>
    <row r="390" spans="2:8" x14ac:dyDescent="0.3">
      <c r="B390" s="15">
        <v>384</v>
      </c>
      <c r="C390" s="14">
        <v>43849</v>
      </c>
      <c r="D390" s="15" t="s">
        <v>13</v>
      </c>
      <c r="E390" s="15" t="s">
        <v>14</v>
      </c>
      <c r="F390" s="15" t="s">
        <v>11</v>
      </c>
      <c r="G390" s="15">
        <v>900</v>
      </c>
      <c r="H390" s="15">
        <v>1</v>
      </c>
    </row>
    <row r="391" spans="2:8" x14ac:dyDescent="0.3">
      <c r="B391" s="15">
        <v>385</v>
      </c>
      <c r="C391" s="14">
        <v>43850</v>
      </c>
      <c r="D391" s="15" t="s">
        <v>13</v>
      </c>
      <c r="E391" s="15" t="s">
        <v>18</v>
      </c>
      <c r="F391" s="15" t="s">
        <v>17</v>
      </c>
      <c r="G391" s="15">
        <v>600</v>
      </c>
      <c r="H391" s="15">
        <v>1</v>
      </c>
    </row>
    <row r="392" spans="2:8" x14ac:dyDescent="0.3">
      <c r="B392" s="15">
        <v>386</v>
      </c>
      <c r="C392" s="14">
        <v>43851</v>
      </c>
      <c r="D392" s="15" t="s">
        <v>9</v>
      </c>
      <c r="E392" s="15" t="s">
        <v>18</v>
      </c>
      <c r="F392" s="15" t="s">
        <v>17</v>
      </c>
      <c r="G392" s="15">
        <v>600</v>
      </c>
      <c r="H392" s="15">
        <v>1</v>
      </c>
    </row>
    <row r="393" spans="2:8" x14ac:dyDescent="0.3">
      <c r="B393" s="15">
        <v>387</v>
      </c>
      <c r="C393" s="14">
        <v>43852</v>
      </c>
      <c r="D393" s="15" t="s">
        <v>9</v>
      </c>
      <c r="E393" s="15" t="s">
        <v>18</v>
      </c>
      <c r="F393" s="15" t="s">
        <v>17</v>
      </c>
      <c r="G393" s="15">
        <v>600</v>
      </c>
      <c r="H393" s="15">
        <v>1</v>
      </c>
    </row>
    <row r="394" spans="2:8" x14ac:dyDescent="0.3">
      <c r="B394" s="15">
        <v>388</v>
      </c>
      <c r="C394" s="14">
        <v>43853</v>
      </c>
      <c r="D394" s="15" t="s">
        <v>9</v>
      </c>
      <c r="E394" s="15" t="s">
        <v>22</v>
      </c>
      <c r="F394" s="15" t="s">
        <v>23</v>
      </c>
      <c r="G394" s="15">
        <v>500</v>
      </c>
      <c r="H394" s="15">
        <v>1</v>
      </c>
    </row>
    <row r="395" spans="2:8" x14ac:dyDescent="0.3">
      <c r="B395" s="15">
        <v>389</v>
      </c>
      <c r="C395" s="14">
        <v>43854</v>
      </c>
      <c r="D395" s="15" t="s">
        <v>9</v>
      </c>
      <c r="E395" s="15" t="s">
        <v>18</v>
      </c>
      <c r="F395" s="15" t="s">
        <v>17</v>
      </c>
      <c r="G395" s="15">
        <v>600</v>
      </c>
      <c r="H395" s="15">
        <v>1</v>
      </c>
    </row>
    <row r="396" spans="2:8" x14ac:dyDescent="0.3">
      <c r="B396" s="15">
        <v>390</v>
      </c>
      <c r="C396" s="14">
        <v>43855</v>
      </c>
      <c r="D396" s="15" t="s">
        <v>56</v>
      </c>
      <c r="E396" s="15" t="s">
        <v>14</v>
      </c>
      <c r="F396" s="15" t="s">
        <v>11</v>
      </c>
      <c r="G396" s="15">
        <v>900</v>
      </c>
      <c r="H396" s="15">
        <v>1</v>
      </c>
    </row>
    <row r="397" spans="2:8" x14ac:dyDescent="0.3">
      <c r="B397" s="15">
        <v>391</v>
      </c>
      <c r="C397" s="14">
        <v>43856</v>
      </c>
      <c r="D397" s="15" t="s">
        <v>9</v>
      </c>
      <c r="E397" s="15" t="s">
        <v>21</v>
      </c>
      <c r="F397" s="15" t="s">
        <v>20</v>
      </c>
      <c r="G397" s="15">
        <v>1200</v>
      </c>
      <c r="H397" s="15">
        <v>2</v>
      </c>
    </row>
    <row r="398" spans="2:8" x14ac:dyDescent="0.3">
      <c r="B398" s="15">
        <v>392</v>
      </c>
      <c r="C398" s="14">
        <v>43857</v>
      </c>
      <c r="D398" s="15" t="s">
        <v>9</v>
      </c>
      <c r="E398" s="15" t="s">
        <v>10</v>
      </c>
      <c r="F398" s="15" t="s">
        <v>11</v>
      </c>
      <c r="G398" s="15">
        <v>1100</v>
      </c>
      <c r="H398" s="15">
        <v>1</v>
      </c>
    </row>
    <row r="399" spans="2:8" x14ac:dyDescent="0.3">
      <c r="B399" s="15">
        <v>393</v>
      </c>
      <c r="C399" s="14">
        <v>43858</v>
      </c>
      <c r="D399" s="15" t="s">
        <v>9</v>
      </c>
      <c r="E399" s="15" t="s">
        <v>16</v>
      </c>
      <c r="F399" s="15" t="s">
        <v>17</v>
      </c>
      <c r="G399" s="15">
        <v>800</v>
      </c>
      <c r="H399" s="15">
        <v>1</v>
      </c>
    </row>
    <row r="400" spans="2:8" x14ac:dyDescent="0.3">
      <c r="B400" s="15">
        <v>394</v>
      </c>
      <c r="C400" s="14">
        <v>43859</v>
      </c>
      <c r="D400" s="15" t="s">
        <v>9</v>
      </c>
      <c r="E400" s="15" t="s">
        <v>16</v>
      </c>
      <c r="F400" s="15" t="s">
        <v>17</v>
      </c>
      <c r="G400" s="15">
        <v>800</v>
      </c>
      <c r="H400" s="15">
        <v>1</v>
      </c>
    </row>
    <row r="401" spans="2:8" x14ac:dyDescent="0.3">
      <c r="B401" s="15">
        <v>395</v>
      </c>
      <c r="C401" s="14">
        <v>43860</v>
      </c>
      <c r="D401" s="15" t="s">
        <v>9</v>
      </c>
      <c r="E401" s="15" t="s">
        <v>10</v>
      </c>
      <c r="F401" s="15" t="s">
        <v>11</v>
      </c>
      <c r="G401" s="15">
        <v>1100</v>
      </c>
      <c r="H401" s="15">
        <v>1</v>
      </c>
    </row>
    <row r="402" spans="2:8" x14ac:dyDescent="0.3">
      <c r="B402" s="15">
        <v>396</v>
      </c>
      <c r="C402" s="14">
        <v>43861</v>
      </c>
      <c r="D402" s="15" t="s">
        <v>9</v>
      </c>
      <c r="E402" s="15" t="s">
        <v>15</v>
      </c>
      <c r="F402" s="15" t="s">
        <v>11</v>
      </c>
      <c r="G402" s="15">
        <v>1000</v>
      </c>
      <c r="H402" s="15">
        <v>1</v>
      </c>
    </row>
    <row r="403" spans="2:8" x14ac:dyDescent="0.3">
      <c r="B403" s="15">
        <v>397</v>
      </c>
      <c r="C403" s="14">
        <v>43862</v>
      </c>
      <c r="D403" s="15" t="s">
        <v>9</v>
      </c>
      <c r="E403" s="15" t="s">
        <v>22</v>
      </c>
      <c r="F403" s="15" t="s">
        <v>23</v>
      </c>
      <c r="G403" s="15">
        <v>500</v>
      </c>
      <c r="H403" s="15">
        <v>1</v>
      </c>
    </row>
    <row r="404" spans="2:8" x14ac:dyDescent="0.3">
      <c r="B404" s="15">
        <v>398</v>
      </c>
      <c r="C404" s="14">
        <v>43863</v>
      </c>
      <c r="D404" s="15" t="s">
        <v>9</v>
      </c>
      <c r="E404" s="15" t="s">
        <v>12</v>
      </c>
      <c r="F404" s="15" t="s">
        <v>11</v>
      </c>
      <c r="G404" s="15">
        <v>900</v>
      </c>
      <c r="H404" s="15">
        <v>1</v>
      </c>
    </row>
    <row r="405" spans="2:8" x14ac:dyDescent="0.3">
      <c r="B405" s="15">
        <v>399</v>
      </c>
      <c r="C405" s="14">
        <v>43864</v>
      </c>
      <c r="D405" s="15" t="s">
        <v>9</v>
      </c>
      <c r="E405" s="15" t="s">
        <v>18</v>
      </c>
      <c r="F405" s="15" t="s">
        <v>17</v>
      </c>
      <c r="G405" s="15">
        <v>600</v>
      </c>
      <c r="H405" s="15">
        <v>1</v>
      </c>
    </row>
    <row r="406" spans="2:8" x14ac:dyDescent="0.3">
      <c r="B406" s="15">
        <v>400</v>
      </c>
      <c r="C406" s="14">
        <v>43865</v>
      </c>
      <c r="D406" s="15" t="s">
        <v>9</v>
      </c>
      <c r="E406" s="15" t="s">
        <v>12</v>
      </c>
      <c r="F406" s="15" t="s">
        <v>11</v>
      </c>
      <c r="G406" s="15">
        <v>900</v>
      </c>
      <c r="H406" s="15">
        <v>1</v>
      </c>
    </row>
    <row r="407" spans="2:8" x14ac:dyDescent="0.3">
      <c r="B407" s="15">
        <v>401</v>
      </c>
      <c r="C407" s="14">
        <v>43866</v>
      </c>
      <c r="D407" s="15" t="s">
        <v>9</v>
      </c>
      <c r="E407" s="15" t="s">
        <v>21</v>
      </c>
      <c r="F407" s="15" t="s">
        <v>20</v>
      </c>
      <c r="G407" s="15">
        <v>1200</v>
      </c>
      <c r="H407" s="15">
        <v>1</v>
      </c>
    </row>
    <row r="408" spans="2:8" x14ac:dyDescent="0.3">
      <c r="B408" s="15">
        <v>402</v>
      </c>
      <c r="C408" s="14">
        <v>43867</v>
      </c>
      <c r="D408" s="15" t="s">
        <v>9</v>
      </c>
      <c r="E408" s="15" t="s">
        <v>10</v>
      </c>
      <c r="F408" s="15" t="s">
        <v>11</v>
      </c>
      <c r="G408" s="15">
        <v>1100</v>
      </c>
      <c r="H408" s="15">
        <v>1</v>
      </c>
    </row>
    <row r="409" spans="2:8" x14ac:dyDescent="0.3">
      <c r="B409" s="15">
        <v>403</v>
      </c>
      <c r="C409" s="14">
        <v>43868</v>
      </c>
      <c r="D409" s="15" t="s">
        <v>9</v>
      </c>
      <c r="E409" s="15" t="s">
        <v>16</v>
      </c>
      <c r="F409" s="15" t="s">
        <v>17</v>
      </c>
      <c r="G409" s="15">
        <v>800</v>
      </c>
      <c r="H409" s="15">
        <v>1</v>
      </c>
    </row>
    <row r="410" spans="2:8" x14ac:dyDescent="0.3">
      <c r="B410" s="15">
        <v>404</v>
      </c>
      <c r="C410" s="14">
        <v>43869</v>
      </c>
      <c r="D410" s="15" t="s">
        <v>9</v>
      </c>
      <c r="E410" s="15" t="s">
        <v>12</v>
      </c>
      <c r="F410" s="15" t="s">
        <v>11</v>
      </c>
      <c r="G410" s="15">
        <v>900</v>
      </c>
      <c r="H410" s="15">
        <v>1</v>
      </c>
    </row>
    <row r="411" spans="2:8" x14ac:dyDescent="0.3">
      <c r="B411" s="15">
        <v>405</v>
      </c>
      <c r="C411" s="14">
        <v>43870</v>
      </c>
      <c r="D411" s="15" t="s">
        <v>9</v>
      </c>
      <c r="E411" s="15" t="s">
        <v>10</v>
      </c>
      <c r="F411" s="15" t="s">
        <v>11</v>
      </c>
      <c r="G411" s="15">
        <v>1100</v>
      </c>
      <c r="H411" s="15">
        <v>1</v>
      </c>
    </row>
    <row r="412" spans="2:8" x14ac:dyDescent="0.3">
      <c r="B412" s="15">
        <v>406</v>
      </c>
      <c r="C412" s="14">
        <v>43871</v>
      </c>
      <c r="D412" s="15" t="s">
        <v>57</v>
      </c>
      <c r="E412" s="15" t="s">
        <v>16</v>
      </c>
      <c r="F412" s="15" t="s">
        <v>17</v>
      </c>
      <c r="G412" s="15">
        <v>800</v>
      </c>
      <c r="H412" s="15">
        <v>1</v>
      </c>
    </row>
    <row r="413" spans="2:8" x14ac:dyDescent="0.3">
      <c r="B413" s="15">
        <v>407</v>
      </c>
      <c r="C413" s="19">
        <v>43872</v>
      </c>
      <c r="D413" s="15" t="s">
        <v>9</v>
      </c>
      <c r="E413" s="15" t="s">
        <v>19</v>
      </c>
      <c r="F413" s="15" t="s">
        <v>20</v>
      </c>
      <c r="G413" s="15"/>
      <c r="H413" s="15">
        <v>1</v>
      </c>
    </row>
    <row r="414" spans="2:8" x14ac:dyDescent="0.3">
      <c r="B414" s="15">
        <v>408</v>
      </c>
      <c r="C414" s="19">
        <v>43873</v>
      </c>
      <c r="D414" s="15" t="s">
        <v>9</v>
      </c>
      <c r="E414" s="15" t="s">
        <v>14</v>
      </c>
      <c r="F414" s="15" t="s">
        <v>11</v>
      </c>
      <c r="G414" s="15"/>
      <c r="H414" s="15">
        <v>1</v>
      </c>
    </row>
    <row r="415" spans="2:8" x14ac:dyDescent="0.3">
      <c r="B415" s="15">
        <v>409</v>
      </c>
      <c r="C415" s="19">
        <v>43874</v>
      </c>
      <c r="D415" s="15" t="s">
        <v>9</v>
      </c>
      <c r="E415" s="15" t="s">
        <v>10</v>
      </c>
      <c r="F415" s="15" t="s">
        <v>11</v>
      </c>
      <c r="G415" s="15"/>
      <c r="H415" s="15">
        <v>1</v>
      </c>
    </row>
    <row r="416" spans="2:8" x14ac:dyDescent="0.3">
      <c r="B416" s="15">
        <v>410</v>
      </c>
      <c r="C416" s="14">
        <v>43875</v>
      </c>
      <c r="D416" s="15" t="s">
        <v>9</v>
      </c>
      <c r="E416" s="15" t="s">
        <v>18</v>
      </c>
      <c r="F416" s="15" t="s">
        <v>17</v>
      </c>
      <c r="G416" s="15">
        <v>600</v>
      </c>
      <c r="H416" s="15">
        <v>1</v>
      </c>
    </row>
    <row r="417" spans="2:8" x14ac:dyDescent="0.3">
      <c r="B417" s="15">
        <v>411</v>
      </c>
      <c r="C417" s="14">
        <v>43876</v>
      </c>
      <c r="D417" s="15" t="s">
        <v>9</v>
      </c>
      <c r="E417" s="15" t="s">
        <v>21</v>
      </c>
      <c r="F417" s="15" t="s">
        <v>20</v>
      </c>
      <c r="G417" s="15">
        <v>1200</v>
      </c>
      <c r="H417" s="15">
        <v>1</v>
      </c>
    </row>
    <row r="418" spans="2:8" x14ac:dyDescent="0.3">
      <c r="B418" s="15">
        <v>412</v>
      </c>
      <c r="C418" s="14">
        <v>43877</v>
      </c>
      <c r="D418" s="15" t="s">
        <v>9</v>
      </c>
      <c r="E418" s="15" t="s">
        <v>18</v>
      </c>
      <c r="F418" s="15" t="s">
        <v>17</v>
      </c>
      <c r="G418" s="15">
        <v>600</v>
      </c>
      <c r="H418" s="15">
        <v>1</v>
      </c>
    </row>
    <row r="419" spans="2:8" x14ac:dyDescent="0.3">
      <c r="B419" s="15">
        <v>413</v>
      </c>
      <c r="C419" s="14">
        <v>43878</v>
      </c>
      <c r="D419" s="15" t="s">
        <v>9</v>
      </c>
      <c r="E419" s="15" t="s">
        <v>18</v>
      </c>
      <c r="F419" s="15" t="s">
        <v>17</v>
      </c>
      <c r="G419" s="15">
        <v>600</v>
      </c>
      <c r="H419" s="15">
        <v>1</v>
      </c>
    </row>
    <row r="420" spans="2:8" x14ac:dyDescent="0.3">
      <c r="B420" s="15">
        <v>414</v>
      </c>
      <c r="C420" s="14">
        <v>43879</v>
      </c>
      <c r="D420" s="15" t="s">
        <v>9</v>
      </c>
      <c r="E420" s="15" t="s">
        <v>10</v>
      </c>
      <c r="F420" s="15" t="s">
        <v>11</v>
      </c>
      <c r="G420" s="15">
        <v>1100</v>
      </c>
      <c r="H420" s="15">
        <v>1</v>
      </c>
    </row>
    <row r="421" spans="2:8" x14ac:dyDescent="0.3">
      <c r="B421" s="15">
        <v>415</v>
      </c>
      <c r="C421" s="14">
        <v>43880</v>
      </c>
      <c r="D421" s="15" t="s">
        <v>9</v>
      </c>
      <c r="E421" s="15" t="s">
        <v>12</v>
      </c>
      <c r="F421" s="15" t="s">
        <v>11</v>
      </c>
      <c r="G421" s="15">
        <v>900</v>
      </c>
      <c r="H421" s="15">
        <v>1</v>
      </c>
    </row>
    <row r="422" spans="2:8" x14ac:dyDescent="0.3">
      <c r="B422" s="15">
        <v>416</v>
      </c>
      <c r="C422" s="14">
        <v>43881</v>
      </c>
      <c r="D422" s="15" t="s">
        <v>9</v>
      </c>
      <c r="E422" s="15" t="s">
        <v>15</v>
      </c>
      <c r="F422" s="15" t="s">
        <v>11</v>
      </c>
      <c r="G422" s="15">
        <v>1000</v>
      </c>
      <c r="H422" s="15">
        <v>1</v>
      </c>
    </row>
    <row r="423" spans="2:8" x14ac:dyDescent="0.3">
      <c r="B423" s="15">
        <v>417</v>
      </c>
      <c r="C423" s="14">
        <v>43882</v>
      </c>
      <c r="D423" s="15" t="s">
        <v>9</v>
      </c>
      <c r="E423" s="15" t="s">
        <v>12</v>
      </c>
      <c r="F423" s="15" t="s">
        <v>11</v>
      </c>
      <c r="G423" s="15">
        <v>900</v>
      </c>
      <c r="H423" s="15">
        <v>1</v>
      </c>
    </row>
    <row r="424" spans="2:8" x14ac:dyDescent="0.3">
      <c r="B424" s="15">
        <v>418</v>
      </c>
      <c r="C424" s="14">
        <v>43883</v>
      </c>
      <c r="D424" s="15" t="s">
        <v>9</v>
      </c>
      <c r="E424" s="15" t="s">
        <v>18</v>
      </c>
      <c r="F424" s="15" t="s">
        <v>17</v>
      </c>
      <c r="G424" s="15">
        <v>600</v>
      </c>
      <c r="H424" s="15">
        <v>1</v>
      </c>
    </row>
    <row r="425" spans="2:8" x14ac:dyDescent="0.3">
      <c r="B425" s="15">
        <v>419</v>
      </c>
      <c r="C425" s="14">
        <v>43884</v>
      </c>
      <c r="D425" s="15" t="s">
        <v>9</v>
      </c>
      <c r="E425" s="15" t="s">
        <v>19</v>
      </c>
      <c r="F425" s="15" t="s">
        <v>20</v>
      </c>
      <c r="G425" s="15">
        <v>850</v>
      </c>
      <c r="H425" s="15">
        <v>1</v>
      </c>
    </row>
    <row r="426" spans="2:8" x14ac:dyDescent="0.3">
      <c r="B426" s="15">
        <v>420</v>
      </c>
      <c r="C426" s="14">
        <v>43885</v>
      </c>
      <c r="D426" s="15" t="s">
        <v>9</v>
      </c>
      <c r="E426" s="15" t="s">
        <v>22</v>
      </c>
      <c r="F426" s="15" t="s">
        <v>23</v>
      </c>
      <c r="G426" s="15">
        <v>500</v>
      </c>
      <c r="H426" s="15">
        <v>1</v>
      </c>
    </row>
    <row r="427" spans="2:8" x14ac:dyDescent="0.3">
      <c r="B427" s="15">
        <v>421</v>
      </c>
      <c r="C427" s="14">
        <v>43886</v>
      </c>
      <c r="D427" s="15" t="s">
        <v>9</v>
      </c>
      <c r="E427" s="15" t="s">
        <v>15</v>
      </c>
      <c r="F427" s="15" t="s">
        <v>11</v>
      </c>
      <c r="G427" s="15">
        <v>1000</v>
      </c>
      <c r="H427" s="15">
        <v>1</v>
      </c>
    </row>
    <row r="428" spans="2:8" x14ac:dyDescent="0.3">
      <c r="B428" s="15">
        <v>422</v>
      </c>
      <c r="C428" s="14">
        <v>43887</v>
      </c>
      <c r="D428" s="15" t="s">
        <v>9</v>
      </c>
      <c r="E428" s="15" t="s">
        <v>10</v>
      </c>
      <c r="F428" s="15" t="s">
        <v>11</v>
      </c>
      <c r="G428" s="15">
        <v>1100</v>
      </c>
      <c r="H428" s="15">
        <v>1</v>
      </c>
    </row>
    <row r="429" spans="2:8" x14ac:dyDescent="0.3">
      <c r="B429" s="15">
        <v>423</v>
      </c>
      <c r="C429" s="14">
        <v>43888</v>
      </c>
      <c r="D429" s="15" t="s">
        <v>9</v>
      </c>
      <c r="E429" s="15" t="s">
        <v>10</v>
      </c>
      <c r="F429" s="15" t="s">
        <v>11</v>
      </c>
      <c r="G429" s="15">
        <v>1100</v>
      </c>
      <c r="H429" s="15">
        <v>2</v>
      </c>
    </row>
    <row r="430" spans="2:8" x14ac:dyDescent="0.3">
      <c r="B430" s="15">
        <v>424</v>
      </c>
      <c r="C430" s="14">
        <v>43889</v>
      </c>
      <c r="D430" s="15" t="s">
        <v>9</v>
      </c>
      <c r="E430" s="15" t="s">
        <v>14</v>
      </c>
      <c r="F430" s="15" t="s">
        <v>11</v>
      </c>
      <c r="G430" s="15">
        <v>900</v>
      </c>
      <c r="H430" s="15">
        <v>1</v>
      </c>
    </row>
    <row r="431" spans="2:8" x14ac:dyDescent="0.3">
      <c r="B431" s="15">
        <v>425</v>
      </c>
      <c r="C431" s="14">
        <v>43890</v>
      </c>
      <c r="D431" s="15" t="s">
        <v>9</v>
      </c>
      <c r="E431" s="15" t="s">
        <v>14</v>
      </c>
      <c r="F431" s="15" t="s">
        <v>11</v>
      </c>
      <c r="G431" s="15">
        <v>900</v>
      </c>
      <c r="H431" s="15">
        <v>1</v>
      </c>
    </row>
    <row r="432" spans="2:8" x14ac:dyDescent="0.3">
      <c r="B432" s="15">
        <v>426</v>
      </c>
      <c r="C432" s="14">
        <v>43891</v>
      </c>
      <c r="D432" s="15" t="s">
        <v>9</v>
      </c>
      <c r="E432" s="15" t="s">
        <v>18</v>
      </c>
      <c r="F432" s="15" t="s">
        <v>17</v>
      </c>
      <c r="G432" s="15">
        <v>600</v>
      </c>
      <c r="H432" s="15">
        <v>1</v>
      </c>
    </row>
    <row r="433" spans="2:8" x14ac:dyDescent="0.3">
      <c r="B433" s="15">
        <v>427</v>
      </c>
      <c r="C433" s="14">
        <v>43892</v>
      </c>
      <c r="D433" s="15" t="s">
        <v>9</v>
      </c>
      <c r="E433" s="15" t="s">
        <v>22</v>
      </c>
      <c r="F433" s="15" t="s">
        <v>23</v>
      </c>
      <c r="G433" s="15">
        <v>900</v>
      </c>
      <c r="H433" s="15">
        <v>1</v>
      </c>
    </row>
    <row r="434" spans="2:8" x14ac:dyDescent="0.3">
      <c r="B434" s="15">
        <v>428</v>
      </c>
      <c r="C434" s="14">
        <v>43893</v>
      </c>
      <c r="D434" s="15" t="s">
        <v>9</v>
      </c>
      <c r="E434" s="15" t="s">
        <v>10</v>
      </c>
      <c r="F434" s="15" t="s">
        <v>11</v>
      </c>
      <c r="G434" s="15">
        <v>1100</v>
      </c>
      <c r="H434" s="15">
        <v>1</v>
      </c>
    </row>
    <row r="435" spans="2:8" x14ac:dyDescent="0.3">
      <c r="B435" s="15">
        <v>429</v>
      </c>
      <c r="C435" s="14">
        <v>43894</v>
      </c>
      <c r="D435" s="15" t="s">
        <v>9</v>
      </c>
      <c r="E435" s="15" t="s">
        <v>18</v>
      </c>
      <c r="F435" s="15" t="s">
        <v>17</v>
      </c>
      <c r="G435" s="15">
        <v>600</v>
      </c>
      <c r="H435" s="15">
        <v>1</v>
      </c>
    </row>
    <row r="436" spans="2:8" x14ac:dyDescent="0.3">
      <c r="B436" s="15">
        <v>430</v>
      </c>
      <c r="C436" s="14">
        <v>43895</v>
      </c>
      <c r="D436" s="15" t="s">
        <v>9</v>
      </c>
      <c r="E436" s="15" t="s">
        <v>18</v>
      </c>
      <c r="F436" s="15" t="s">
        <v>17</v>
      </c>
      <c r="G436" s="15">
        <v>600</v>
      </c>
      <c r="H436" s="15">
        <v>1</v>
      </c>
    </row>
    <row r="437" spans="2:8" x14ac:dyDescent="0.3">
      <c r="B437" s="15">
        <v>431</v>
      </c>
      <c r="C437" s="14">
        <v>43896</v>
      </c>
      <c r="D437" s="15" t="s">
        <v>9</v>
      </c>
      <c r="E437" s="15" t="s">
        <v>22</v>
      </c>
      <c r="F437" s="15" t="s">
        <v>23</v>
      </c>
      <c r="G437" s="15">
        <v>500</v>
      </c>
      <c r="H437" s="15">
        <v>1</v>
      </c>
    </row>
    <row r="438" spans="2:8" x14ac:dyDescent="0.3">
      <c r="B438" s="15">
        <v>432</v>
      </c>
      <c r="C438" s="14">
        <v>43897</v>
      </c>
      <c r="D438" s="15" t="s">
        <v>9</v>
      </c>
      <c r="E438" s="15" t="s">
        <v>14</v>
      </c>
      <c r="F438" s="15" t="s">
        <v>11</v>
      </c>
      <c r="G438" s="15">
        <v>900</v>
      </c>
      <c r="H438" s="15">
        <v>1</v>
      </c>
    </row>
    <row r="439" spans="2:8" x14ac:dyDescent="0.3">
      <c r="B439" s="15">
        <v>433</v>
      </c>
      <c r="C439" s="14">
        <v>43898</v>
      </c>
      <c r="D439" s="15" t="s">
        <v>9</v>
      </c>
      <c r="E439" s="15" t="s">
        <v>21</v>
      </c>
      <c r="F439" s="15" t="s">
        <v>20</v>
      </c>
      <c r="G439" s="15">
        <v>1200</v>
      </c>
      <c r="H439" s="15">
        <v>1</v>
      </c>
    </row>
    <row r="440" spans="2:8" x14ac:dyDescent="0.3">
      <c r="B440" s="15">
        <v>434</v>
      </c>
      <c r="C440" s="14">
        <v>43899</v>
      </c>
      <c r="D440" s="15" t="s">
        <v>9</v>
      </c>
      <c r="E440" s="15" t="s">
        <v>18</v>
      </c>
      <c r="F440" s="15" t="s">
        <v>17</v>
      </c>
      <c r="G440" s="15">
        <v>600</v>
      </c>
      <c r="H440" s="15">
        <v>2</v>
      </c>
    </row>
    <row r="441" spans="2:8" x14ac:dyDescent="0.3">
      <c r="B441" s="15">
        <v>435</v>
      </c>
      <c r="C441" s="14">
        <v>43900</v>
      </c>
      <c r="D441" s="15" t="s">
        <v>9</v>
      </c>
      <c r="E441" s="15" t="s">
        <v>14</v>
      </c>
      <c r="F441" s="15" t="s">
        <v>11</v>
      </c>
      <c r="G441" s="15">
        <v>900</v>
      </c>
      <c r="H441" s="15">
        <v>1</v>
      </c>
    </row>
    <row r="442" spans="2:8" x14ac:dyDescent="0.3">
      <c r="B442" s="15">
        <v>436</v>
      </c>
      <c r="C442" s="14">
        <v>43901</v>
      </c>
      <c r="D442" s="15" t="s">
        <v>9</v>
      </c>
      <c r="E442" s="15" t="s">
        <v>10</v>
      </c>
      <c r="F442" s="15" t="s">
        <v>11</v>
      </c>
      <c r="G442" s="15">
        <v>1100</v>
      </c>
      <c r="H442" s="15">
        <v>2</v>
      </c>
    </row>
    <row r="443" spans="2:8" x14ac:dyDescent="0.3">
      <c r="B443" s="15">
        <v>437</v>
      </c>
      <c r="C443" s="14">
        <v>43902</v>
      </c>
      <c r="D443" s="15" t="s">
        <v>9</v>
      </c>
      <c r="E443" s="15" t="s">
        <v>24</v>
      </c>
      <c r="F443" s="15" t="s">
        <v>23</v>
      </c>
      <c r="G443" s="15">
        <v>600</v>
      </c>
      <c r="H443" s="15">
        <v>1</v>
      </c>
    </row>
    <row r="444" spans="2:8" x14ac:dyDescent="0.3">
      <c r="B444" s="15">
        <v>438</v>
      </c>
      <c r="C444" s="14">
        <v>43903</v>
      </c>
      <c r="D444" s="15" t="s">
        <v>9</v>
      </c>
      <c r="E444" s="15" t="s">
        <v>18</v>
      </c>
      <c r="F444" s="15" t="s">
        <v>17</v>
      </c>
      <c r="G444" s="15">
        <v>600</v>
      </c>
      <c r="H444" s="15">
        <v>1</v>
      </c>
    </row>
    <row r="445" spans="2:8" x14ac:dyDescent="0.3">
      <c r="B445" s="15">
        <v>439</v>
      </c>
      <c r="C445" s="14">
        <v>43904</v>
      </c>
      <c r="D445" s="15" t="s">
        <v>9</v>
      </c>
      <c r="E445" s="15" t="s">
        <v>24</v>
      </c>
      <c r="F445" s="15" t="s">
        <v>23</v>
      </c>
      <c r="G445" s="15">
        <v>300</v>
      </c>
      <c r="H445" s="15">
        <v>2</v>
      </c>
    </row>
    <row r="446" spans="2:8" x14ac:dyDescent="0.3">
      <c r="B446" s="15">
        <v>440</v>
      </c>
      <c r="C446" s="14">
        <v>43905</v>
      </c>
      <c r="D446" s="15" t="s">
        <v>9</v>
      </c>
      <c r="E446" s="15" t="s">
        <v>10</v>
      </c>
      <c r="F446" s="15" t="s">
        <v>11</v>
      </c>
      <c r="G446" s="15">
        <v>1100</v>
      </c>
      <c r="H446" s="15">
        <v>2</v>
      </c>
    </row>
    <row r="447" spans="2:8" x14ac:dyDescent="0.3">
      <c r="B447" s="15">
        <v>441</v>
      </c>
      <c r="C447" s="14">
        <v>43906</v>
      </c>
      <c r="D447" s="15" t="s">
        <v>9</v>
      </c>
      <c r="E447" s="15" t="s">
        <v>15</v>
      </c>
      <c r="F447" s="15" t="s">
        <v>11</v>
      </c>
      <c r="G447" s="15">
        <v>1000</v>
      </c>
      <c r="H447" s="15">
        <v>1</v>
      </c>
    </row>
    <row r="448" spans="2:8" x14ac:dyDescent="0.3">
      <c r="B448" s="15">
        <v>442</v>
      </c>
      <c r="C448" s="14">
        <v>43907</v>
      </c>
      <c r="D448" s="15" t="s">
        <v>9</v>
      </c>
      <c r="E448" s="15" t="s">
        <v>18</v>
      </c>
      <c r="F448" s="15" t="s">
        <v>17</v>
      </c>
      <c r="G448" s="15">
        <v>600</v>
      </c>
      <c r="H448" s="15">
        <v>1</v>
      </c>
    </row>
    <row r="449" spans="2:8" x14ac:dyDescent="0.3">
      <c r="B449" s="15">
        <v>443</v>
      </c>
      <c r="C449" s="14">
        <v>43908</v>
      </c>
      <c r="D449" s="15" t="s">
        <v>9</v>
      </c>
      <c r="E449" s="15" t="s">
        <v>14</v>
      </c>
      <c r="F449" s="15" t="s">
        <v>11</v>
      </c>
      <c r="G449" s="15">
        <v>900</v>
      </c>
      <c r="H449" s="15">
        <v>1</v>
      </c>
    </row>
    <row r="450" spans="2:8" x14ac:dyDescent="0.3">
      <c r="B450" s="15">
        <v>444</v>
      </c>
      <c r="C450" s="14">
        <v>43909</v>
      </c>
      <c r="D450" s="15" t="s">
        <v>9</v>
      </c>
      <c r="E450" s="15" t="s">
        <v>21</v>
      </c>
      <c r="F450" s="15" t="s">
        <v>20</v>
      </c>
      <c r="G450" s="15">
        <v>1200</v>
      </c>
      <c r="H450" s="15">
        <v>1</v>
      </c>
    </row>
    <row r="451" spans="2:8" x14ac:dyDescent="0.3">
      <c r="B451" s="15">
        <v>445</v>
      </c>
      <c r="C451" s="14">
        <v>43910</v>
      </c>
      <c r="D451" s="15" t="s">
        <v>9</v>
      </c>
      <c r="E451" s="15" t="s">
        <v>10</v>
      </c>
      <c r="F451" s="15" t="s">
        <v>11</v>
      </c>
      <c r="G451" s="15">
        <v>1100</v>
      </c>
      <c r="H451" s="15">
        <v>1</v>
      </c>
    </row>
    <row r="452" spans="2:8" x14ac:dyDescent="0.3">
      <c r="B452" s="15">
        <v>446</v>
      </c>
      <c r="C452" s="14">
        <v>43911</v>
      </c>
      <c r="D452" s="15" t="s">
        <v>9</v>
      </c>
      <c r="E452" s="15" t="s">
        <v>19</v>
      </c>
      <c r="F452" s="15" t="s">
        <v>20</v>
      </c>
      <c r="G452" s="15">
        <v>850</v>
      </c>
      <c r="H452" s="15">
        <v>1</v>
      </c>
    </row>
    <row r="453" spans="2:8" x14ac:dyDescent="0.3">
      <c r="B453" s="15">
        <v>447</v>
      </c>
      <c r="C453" s="14">
        <v>43912</v>
      </c>
      <c r="D453" s="15" t="s">
        <v>9</v>
      </c>
      <c r="E453" s="15" t="s">
        <v>10</v>
      </c>
      <c r="F453" s="15" t="s">
        <v>11</v>
      </c>
      <c r="G453" s="15">
        <v>1100</v>
      </c>
      <c r="H453" s="15">
        <v>1</v>
      </c>
    </row>
    <row r="454" spans="2:8" x14ac:dyDescent="0.3">
      <c r="B454" s="15">
        <v>448</v>
      </c>
      <c r="C454" s="14">
        <v>43913</v>
      </c>
      <c r="D454" s="15" t="s">
        <v>9</v>
      </c>
      <c r="E454" s="15" t="s">
        <v>10</v>
      </c>
      <c r="F454" s="15" t="s">
        <v>11</v>
      </c>
      <c r="G454" s="15">
        <v>1100</v>
      </c>
      <c r="H454" s="15">
        <v>2</v>
      </c>
    </row>
    <row r="455" spans="2:8" x14ac:dyDescent="0.3">
      <c r="B455" s="15">
        <v>449</v>
      </c>
      <c r="C455" s="14">
        <v>43914</v>
      </c>
      <c r="D455" s="15" t="s">
        <v>9</v>
      </c>
      <c r="E455" s="15" t="s">
        <v>14</v>
      </c>
      <c r="F455" s="15" t="s">
        <v>11</v>
      </c>
      <c r="G455" s="15">
        <v>900</v>
      </c>
      <c r="H455" s="15">
        <v>1</v>
      </c>
    </row>
    <row r="456" spans="2:8" x14ac:dyDescent="0.3">
      <c r="B456" s="15">
        <v>450</v>
      </c>
      <c r="C456" s="14">
        <v>43915</v>
      </c>
      <c r="D456" s="15" t="s">
        <v>9</v>
      </c>
      <c r="E456" s="15" t="s">
        <v>18</v>
      </c>
      <c r="F456" s="15" t="s">
        <v>17</v>
      </c>
      <c r="G456" s="15">
        <v>600</v>
      </c>
      <c r="H456" s="15">
        <v>1</v>
      </c>
    </row>
    <row r="457" spans="2:8" x14ac:dyDescent="0.3">
      <c r="B457" s="15">
        <v>451</v>
      </c>
      <c r="C457" s="14">
        <v>43916</v>
      </c>
      <c r="D457" s="15" t="s">
        <v>9</v>
      </c>
      <c r="E457" s="15" t="s">
        <v>18</v>
      </c>
      <c r="F457" s="15" t="s">
        <v>17</v>
      </c>
      <c r="G457" s="15">
        <v>600</v>
      </c>
      <c r="H457" s="15">
        <v>1</v>
      </c>
    </row>
    <row r="458" spans="2:8" x14ac:dyDescent="0.3">
      <c r="B458" s="15">
        <v>452</v>
      </c>
      <c r="C458" s="14">
        <v>43917</v>
      </c>
      <c r="D458" s="15" t="s">
        <v>9</v>
      </c>
      <c r="E458" s="15" t="s">
        <v>21</v>
      </c>
      <c r="F458" s="15" t="s">
        <v>20</v>
      </c>
      <c r="G458" s="15">
        <v>1200</v>
      </c>
      <c r="H458" s="15">
        <v>1</v>
      </c>
    </row>
    <row r="459" spans="2:8" x14ac:dyDescent="0.3">
      <c r="B459" s="15">
        <v>453</v>
      </c>
      <c r="C459" s="14">
        <v>43918</v>
      </c>
      <c r="D459" s="15" t="s">
        <v>9</v>
      </c>
      <c r="E459" s="15" t="s">
        <v>14</v>
      </c>
      <c r="F459" s="15" t="s">
        <v>11</v>
      </c>
      <c r="G459" s="15">
        <v>900</v>
      </c>
      <c r="H459" s="15">
        <v>1</v>
      </c>
    </row>
    <row r="460" spans="2:8" x14ac:dyDescent="0.3">
      <c r="B460" s="15">
        <v>454</v>
      </c>
      <c r="C460" s="14">
        <v>43919</v>
      </c>
      <c r="D460" s="15" t="s">
        <v>9</v>
      </c>
      <c r="E460" s="15" t="s">
        <v>16</v>
      </c>
      <c r="F460" s="15" t="s">
        <v>17</v>
      </c>
      <c r="G460" s="15">
        <v>800</v>
      </c>
      <c r="H460" s="15">
        <v>1</v>
      </c>
    </row>
    <row r="461" spans="2:8" x14ac:dyDescent="0.3">
      <c r="B461" s="15">
        <v>455</v>
      </c>
      <c r="C461" s="14">
        <v>43920</v>
      </c>
      <c r="D461" s="15" t="s">
        <v>9</v>
      </c>
      <c r="E461" s="15" t="s">
        <v>14</v>
      </c>
      <c r="F461" s="15" t="s">
        <v>11</v>
      </c>
      <c r="G461" s="15">
        <v>900</v>
      </c>
      <c r="H461" s="15">
        <v>1</v>
      </c>
    </row>
    <row r="462" spans="2:8" x14ac:dyDescent="0.3">
      <c r="B462" s="15">
        <v>456</v>
      </c>
      <c r="C462" s="14">
        <v>43921</v>
      </c>
      <c r="D462" s="15" t="s">
        <v>9</v>
      </c>
      <c r="E462" s="15" t="s">
        <v>10</v>
      </c>
      <c r="F462" s="15" t="s">
        <v>11</v>
      </c>
      <c r="G462" s="15">
        <v>1100</v>
      </c>
      <c r="H462" s="15">
        <v>1</v>
      </c>
    </row>
    <row r="463" spans="2:8" x14ac:dyDescent="0.3">
      <c r="B463" s="15">
        <v>457</v>
      </c>
      <c r="C463" s="14">
        <v>43922</v>
      </c>
      <c r="D463" s="15" t="s">
        <v>9</v>
      </c>
      <c r="E463" s="15" t="s">
        <v>24</v>
      </c>
      <c r="F463" s="15" t="s">
        <v>23</v>
      </c>
      <c r="G463" s="15">
        <v>600</v>
      </c>
      <c r="H463" s="15">
        <v>1</v>
      </c>
    </row>
    <row r="464" spans="2:8" x14ac:dyDescent="0.3">
      <c r="B464" s="15">
        <v>458</v>
      </c>
      <c r="C464" s="14">
        <v>43923</v>
      </c>
      <c r="D464" s="15" t="s">
        <v>9</v>
      </c>
      <c r="E464" s="15" t="s">
        <v>10</v>
      </c>
      <c r="F464" s="15" t="s">
        <v>11</v>
      </c>
      <c r="G464" s="15">
        <v>1100</v>
      </c>
      <c r="H464" s="15">
        <v>1</v>
      </c>
    </row>
    <row r="465" spans="2:8" x14ac:dyDescent="0.3">
      <c r="B465" s="15">
        <v>459</v>
      </c>
      <c r="C465" s="14">
        <v>43924</v>
      </c>
      <c r="D465" s="15" t="s">
        <v>9</v>
      </c>
      <c r="E465" s="15" t="s">
        <v>16</v>
      </c>
      <c r="F465" s="15" t="s">
        <v>17</v>
      </c>
      <c r="G465" s="15">
        <v>800</v>
      </c>
      <c r="H465" s="15">
        <v>1</v>
      </c>
    </row>
    <row r="466" spans="2:8" x14ac:dyDescent="0.3">
      <c r="B466" s="15">
        <v>460</v>
      </c>
      <c r="C466" s="14">
        <v>43925</v>
      </c>
      <c r="D466" s="15" t="s">
        <v>9</v>
      </c>
      <c r="E466" s="15" t="s">
        <v>14</v>
      </c>
      <c r="F466" s="15" t="s">
        <v>11</v>
      </c>
      <c r="G466" s="15">
        <v>900</v>
      </c>
      <c r="H466" s="15">
        <v>1</v>
      </c>
    </row>
    <row r="467" spans="2:8" x14ac:dyDescent="0.3">
      <c r="B467" s="15">
        <v>461</v>
      </c>
      <c r="C467" s="14">
        <v>43926</v>
      </c>
      <c r="D467" s="15" t="s">
        <v>9</v>
      </c>
      <c r="E467" s="15" t="s">
        <v>10</v>
      </c>
      <c r="F467" s="15" t="s">
        <v>11</v>
      </c>
      <c r="G467" s="15">
        <v>1100</v>
      </c>
      <c r="H467" s="15">
        <v>1</v>
      </c>
    </row>
    <row r="468" spans="2:8" x14ac:dyDescent="0.3">
      <c r="B468" s="15">
        <v>462</v>
      </c>
      <c r="C468" s="14">
        <v>43927</v>
      </c>
      <c r="D468" s="15" t="s">
        <v>9</v>
      </c>
      <c r="E468" s="15" t="s">
        <v>14</v>
      </c>
      <c r="F468" s="15" t="s">
        <v>11</v>
      </c>
      <c r="G468" s="15">
        <v>900</v>
      </c>
      <c r="H468" s="15">
        <v>1</v>
      </c>
    </row>
    <row r="469" spans="2:8" x14ac:dyDescent="0.3">
      <c r="B469" s="15">
        <v>463</v>
      </c>
      <c r="C469" s="14">
        <v>43928</v>
      </c>
      <c r="D469" s="15" t="s">
        <v>9</v>
      </c>
      <c r="E469" s="15" t="s">
        <v>18</v>
      </c>
      <c r="F469" s="15" t="s">
        <v>17</v>
      </c>
      <c r="G469" s="15">
        <v>600</v>
      </c>
      <c r="H469" s="15">
        <v>1</v>
      </c>
    </row>
    <row r="470" spans="2:8" x14ac:dyDescent="0.3">
      <c r="B470" s="15">
        <v>464</v>
      </c>
      <c r="C470" s="14">
        <v>43929</v>
      </c>
      <c r="D470" s="15" t="s">
        <v>9</v>
      </c>
      <c r="E470" s="15" t="s">
        <v>10</v>
      </c>
      <c r="F470" s="15" t="s">
        <v>11</v>
      </c>
      <c r="G470" s="15">
        <v>1100</v>
      </c>
      <c r="H470" s="15">
        <v>1</v>
      </c>
    </row>
    <row r="471" spans="2:8" x14ac:dyDescent="0.3">
      <c r="B471" s="15">
        <v>465</v>
      </c>
      <c r="C471" s="14">
        <v>43930</v>
      </c>
      <c r="D471" s="15" t="s">
        <v>9</v>
      </c>
      <c r="E471" s="15" t="s">
        <v>10</v>
      </c>
      <c r="F471" s="15" t="s">
        <v>11</v>
      </c>
      <c r="G471" s="15">
        <v>1100</v>
      </c>
      <c r="H471" s="15">
        <v>2</v>
      </c>
    </row>
    <row r="472" spans="2:8" x14ac:dyDescent="0.3">
      <c r="B472" s="15">
        <v>466</v>
      </c>
      <c r="C472" s="14">
        <v>43931</v>
      </c>
      <c r="D472" s="15" t="s">
        <v>9</v>
      </c>
      <c r="E472" s="15" t="s">
        <v>10</v>
      </c>
      <c r="F472" s="15" t="s">
        <v>11</v>
      </c>
      <c r="G472" s="15">
        <v>1100</v>
      </c>
      <c r="H472" s="15">
        <v>1</v>
      </c>
    </row>
    <row r="473" spans="2:8" x14ac:dyDescent="0.3">
      <c r="B473" s="15">
        <v>467</v>
      </c>
      <c r="C473" s="14">
        <v>43932</v>
      </c>
      <c r="D473" s="15" t="s">
        <v>9</v>
      </c>
      <c r="E473" s="15" t="s">
        <v>10</v>
      </c>
      <c r="F473" s="15" t="s">
        <v>11</v>
      </c>
      <c r="G473" s="15">
        <v>1100</v>
      </c>
      <c r="H473" s="15">
        <v>1</v>
      </c>
    </row>
    <row r="474" spans="2:8" x14ac:dyDescent="0.3">
      <c r="B474" s="15">
        <v>468</v>
      </c>
      <c r="C474" s="14">
        <v>43933</v>
      </c>
      <c r="D474" s="15" t="s">
        <v>9</v>
      </c>
      <c r="E474" s="15" t="s">
        <v>10</v>
      </c>
      <c r="F474" s="15" t="s">
        <v>11</v>
      </c>
      <c r="G474" s="15">
        <v>1100</v>
      </c>
      <c r="H474" s="15">
        <v>1</v>
      </c>
    </row>
    <row r="475" spans="2:8" x14ac:dyDescent="0.3">
      <c r="B475" s="15">
        <v>469</v>
      </c>
      <c r="C475" s="14">
        <v>43934</v>
      </c>
      <c r="D475" s="15" t="s">
        <v>9</v>
      </c>
      <c r="E475" s="15" t="s">
        <v>18</v>
      </c>
      <c r="F475" s="15" t="s">
        <v>17</v>
      </c>
      <c r="G475" s="15">
        <v>600</v>
      </c>
      <c r="H475" s="15">
        <v>1</v>
      </c>
    </row>
    <row r="476" spans="2:8" x14ac:dyDescent="0.3">
      <c r="B476" s="15">
        <v>470</v>
      </c>
      <c r="C476" s="14">
        <v>43935</v>
      </c>
      <c r="D476" s="15" t="s">
        <v>9</v>
      </c>
      <c r="E476" s="15" t="s">
        <v>10</v>
      </c>
      <c r="F476" s="15" t="s">
        <v>11</v>
      </c>
      <c r="G476" s="15">
        <v>1100</v>
      </c>
      <c r="H476" s="15">
        <v>1</v>
      </c>
    </row>
    <row r="477" spans="2:8" x14ac:dyDescent="0.3">
      <c r="B477" s="15">
        <v>471</v>
      </c>
      <c r="C477" s="14">
        <v>43936</v>
      </c>
      <c r="D477" s="15" t="s">
        <v>9</v>
      </c>
      <c r="E477" s="15" t="s">
        <v>18</v>
      </c>
      <c r="F477" s="15" t="s">
        <v>17</v>
      </c>
      <c r="G477" s="15">
        <v>600</v>
      </c>
      <c r="H477" s="15">
        <v>1</v>
      </c>
    </row>
    <row r="478" spans="2:8" x14ac:dyDescent="0.3">
      <c r="B478" s="15">
        <v>472</v>
      </c>
      <c r="C478" s="14">
        <v>43937</v>
      </c>
      <c r="D478" s="15" t="s">
        <v>9</v>
      </c>
      <c r="E478" s="15" t="s">
        <v>14</v>
      </c>
      <c r="F478" s="15" t="s">
        <v>11</v>
      </c>
      <c r="G478" s="15">
        <v>900</v>
      </c>
      <c r="H478" s="15">
        <v>1</v>
      </c>
    </row>
    <row r="479" spans="2:8" x14ac:dyDescent="0.3">
      <c r="B479" s="15">
        <v>473</v>
      </c>
      <c r="C479" s="14">
        <v>43938</v>
      </c>
      <c r="D479" s="15" t="s">
        <v>9</v>
      </c>
      <c r="E479" s="15" t="s">
        <v>10</v>
      </c>
      <c r="F479" s="15" t="s">
        <v>11</v>
      </c>
      <c r="G479" s="15">
        <v>1100</v>
      </c>
      <c r="H479" s="15">
        <v>1</v>
      </c>
    </row>
    <row r="480" spans="2:8" x14ac:dyDescent="0.3">
      <c r="B480" s="15">
        <v>474</v>
      </c>
      <c r="C480" s="14">
        <v>43939</v>
      </c>
      <c r="D480" s="15" t="s">
        <v>9</v>
      </c>
      <c r="E480" s="15" t="s">
        <v>18</v>
      </c>
      <c r="F480" s="15" t="s">
        <v>17</v>
      </c>
      <c r="G480" s="15">
        <v>600</v>
      </c>
      <c r="H480" s="15">
        <v>1</v>
      </c>
    </row>
    <row r="481" spans="2:8" x14ac:dyDescent="0.3">
      <c r="B481" s="15">
        <v>475</v>
      </c>
      <c r="C481" s="14">
        <v>43940</v>
      </c>
      <c r="D481" s="15" t="s">
        <v>9</v>
      </c>
      <c r="E481" s="15" t="s">
        <v>18</v>
      </c>
      <c r="F481" s="15" t="s">
        <v>17</v>
      </c>
      <c r="G481" s="15">
        <v>600</v>
      </c>
      <c r="H481" s="15">
        <v>1</v>
      </c>
    </row>
    <row r="482" spans="2:8" x14ac:dyDescent="0.3">
      <c r="B482" s="15">
        <v>476</v>
      </c>
      <c r="C482" s="14">
        <v>43941</v>
      </c>
      <c r="D482" s="15" t="s">
        <v>9</v>
      </c>
      <c r="E482" s="15" t="s">
        <v>19</v>
      </c>
      <c r="F482" s="15" t="s">
        <v>20</v>
      </c>
      <c r="G482" s="15">
        <v>850</v>
      </c>
      <c r="H482" s="15">
        <v>1</v>
      </c>
    </row>
    <row r="483" spans="2:8" x14ac:dyDescent="0.3">
      <c r="B483" s="15">
        <v>477</v>
      </c>
      <c r="C483" s="14">
        <v>43942</v>
      </c>
      <c r="D483" s="15" t="s">
        <v>9</v>
      </c>
      <c r="E483" s="15" t="s">
        <v>18</v>
      </c>
      <c r="F483" s="15" t="s">
        <v>17</v>
      </c>
      <c r="G483" s="15">
        <v>600</v>
      </c>
      <c r="H483" s="15">
        <v>1</v>
      </c>
    </row>
    <row r="484" spans="2:8" x14ac:dyDescent="0.3">
      <c r="B484" s="15">
        <v>478</v>
      </c>
      <c r="C484" s="14">
        <v>43943</v>
      </c>
      <c r="D484" s="15" t="s">
        <v>9</v>
      </c>
      <c r="E484" s="15" t="s">
        <v>10</v>
      </c>
      <c r="F484" s="15" t="s">
        <v>11</v>
      </c>
      <c r="G484" s="15">
        <v>1100</v>
      </c>
      <c r="H484" s="15">
        <v>1</v>
      </c>
    </row>
    <row r="485" spans="2:8" x14ac:dyDescent="0.3">
      <c r="B485" s="15">
        <v>479</v>
      </c>
      <c r="C485" s="14">
        <v>43944</v>
      </c>
      <c r="D485" s="15" t="s">
        <v>9</v>
      </c>
      <c r="E485" s="15" t="s">
        <v>24</v>
      </c>
      <c r="F485" s="15" t="s">
        <v>23</v>
      </c>
      <c r="G485" s="15">
        <v>300</v>
      </c>
      <c r="H485" s="15">
        <v>1</v>
      </c>
    </row>
    <row r="486" spans="2:8" x14ac:dyDescent="0.3">
      <c r="B486" s="15">
        <v>480</v>
      </c>
      <c r="C486" s="14">
        <v>43945</v>
      </c>
      <c r="D486" s="15" t="s">
        <v>9</v>
      </c>
      <c r="E486" s="15" t="s">
        <v>24</v>
      </c>
      <c r="F486" s="15" t="s">
        <v>23</v>
      </c>
      <c r="G486" s="15">
        <v>300</v>
      </c>
      <c r="H486" s="15">
        <v>1</v>
      </c>
    </row>
    <row r="487" spans="2:8" x14ac:dyDescent="0.3">
      <c r="B487" s="15">
        <v>481</v>
      </c>
      <c r="C487" s="14">
        <v>43946</v>
      </c>
      <c r="D487" s="15" t="s">
        <v>9</v>
      </c>
      <c r="E487" s="15" t="s">
        <v>18</v>
      </c>
      <c r="F487" s="15" t="s">
        <v>17</v>
      </c>
      <c r="G487" s="15">
        <v>600</v>
      </c>
      <c r="H487" s="15">
        <v>1</v>
      </c>
    </row>
    <row r="488" spans="2:8" x14ac:dyDescent="0.3">
      <c r="B488" s="15">
        <v>482</v>
      </c>
      <c r="C488" s="14">
        <v>43947</v>
      </c>
      <c r="D488" s="15" t="s">
        <v>9</v>
      </c>
      <c r="E488" s="15" t="s">
        <v>22</v>
      </c>
      <c r="F488" s="15" t="s">
        <v>23</v>
      </c>
      <c r="G488" s="15">
        <v>800</v>
      </c>
      <c r="H488" s="15">
        <v>1</v>
      </c>
    </row>
    <row r="489" spans="2:8" x14ac:dyDescent="0.3">
      <c r="B489" s="15">
        <v>483</v>
      </c>
      <c r="C489" s="14">
        <v>43948</v>
      </c>
      <c r="D489" s="15" t="s">
        <v>9</v>
      </c>
      <c r="E489" s="15" t="s">
        <v>18</v>
      </c>
      <c r="F489" s="15" t="s">
        <v>17</v>
      </c>
      <c r="G489" s="15">
        <v>600</v>
      </c>
      <c r="H489" s="15">
        <v>1</v>
      </c>
    </row>
    <row r="490" spans="2:8" x14ac:dyDescent="0.3">
      <c r="B490" s="15">
        <v>484</v>
      </c>
      <c r="C490" s="14">
        <v>43949</v>
      </c>
      <c r="D490" s="15" t="s">
        <v>9</v>
      </c>
      <c r="E490" s="15" t="s">
        <v>22</v>
      </c>
      <c r="F490" s="15" t="s">
        <v>23</v>
      </c>
      <c r="G490" s="15">
        <v>500</v>
      </c>
      <c r="H490" s="15">
        <v>1</v>
      </c>
    </row>
    <row r="491" spans="2:8" x14ac:dyDescent="0.3">
      <c r="B491" s="15">
        <v>485</v>
      </c>
      <c r="C491" s="14">
        <v>43950</v>
      </c>
      <c r="D491" s="15" t="s">
        <v>9</v>
      </c>
      <c r="E491" s="15" t="s">
        <v>10</v>
      </c>
      <c r="F491" s="15" t="s">
        <v>11</v>
      </c>
      <c r="G491" s="15">
        <v>1100</v>
      </c>
      <c r="H491" s="15">
        <v>1</v>
      </c>
    </row>
    <row r="492" spans="2:8" x14ac:dyDescent="0.3">
      <c r="B492" s="15">
        <v>486</v>
      </c>
      <c r="C492" s="14">
        <v>43951</v>
      </c>
      <c r="D492" s="15" t="s">
        <v>9</v>
      </c>
      <c r="E492" s="15" t="s">
        <v>18</v>
      </c>
      <c r="F492" s="15" t="s">
        <v>17</v>
      </c>
      <c r="G492" s="15">
        <v>600</v>
      </c>
      <c r="H492" s="15">
        <v>1</v>
      </c>
    </row>
    <row r="493" spans="2:8" x14ac:dyDescent="0.3">
      <c r="B493" s="15">
        <v>487</v>
      </c>
      <c r="C493" s="14">
        <v>43952</v>
      </c>
      <c r="D493" s="15" t="s">
        <v>9</v>
      </c>
      <c r="E493" s="15" t="s">
        <v>12</v>
      </c>
      <c r="F493" s="15" t="s">
        <v>11</v>
      </c>
      <c r="G493" s="15">
        <v>900</v>
      </c>
      <c r="H493" s="15">
        <v>1</v>
      </c>
    </row>
    <row r="494" spans="2:8" x14ac:dyDescent="0.3">
      <c r="B494" s="15">
        <v>488</v>
      </c>
      <c r="C494" s="14">
        <v>43953</v>
      </c>
      <c r="D494" s="15" t="s">
        <v>9</v>
      </c>
      <c r="E494" s="15" t="s">
        <v>10</v>
      </c>
      <c r="F494" s="15" t="s">
        <v>11</v>
      </c>
      <c r="G494" s="15">
        <v>1100</v>
      </c>
      <c r="H494" s="15">
        <v>1</v>
      </c>
    </row>
    <row r="495" spans="2:8" x14ac:dyDescent="0.3">
      <c r="B495" s="15">
        <v>489</v>
      </c>
      <c r="C495" s="14">
        <v>43954</v>
      </c>
      <c r="D495" s="15" t="s">
        <v>9</v>
      </c>
      <c r="E495" s="15" t="s">
        <v>21</v>
      </c>
      <c r="F495" s="15" t="s">
        <v>20</v>
      </c>
      <c r="G495" s="15">
        <v>1200</v>
      </c>
      <c r="H495" s="15">
        <v>1</v>
      </c>
    </row>
    <row r="496" spans="2:8" x14ac:dyDescent="0.3">
      <c r="B496" s="15">
        <v>490</v>
      </c>
      <c r="C496" s="14">
        <v>43955</v>
      </c>
      <c r="D496" s="15" t="s">
        <v>9</v>
      </c>
      <c r="E496" s="15" t="s">
        <v>10</v>
      </c>
      <c r="F496" s="15" t="s">
        <v>11</v>
      </c>
      <c r="G496" s="15">
        <v>1100</v>
      </c>
      <c r="H496" s="15">
        <v>1</v>
      </c>
    </row>
    <row r="497" spans="2:8" x14ac:dyDescent="0.3">
      <c r="B497" s="15">
        <v>491</v>
      </c>
      <c r="C497" s="14">
        <v>43956</v>
      </c>
      <c r="D497" s="15" t="s">
        <v>9</v>
      </c>
      <c r="E497" s="15" t="s">
        <v>12</v>
      </c>
      <c r="F497" s="15" t="s">
        <v>11</v>
      </c>
      <c r="G497" s="15">
        <v>900</v>
      </c>
      <c r="H497" s="15">
        <v>1</v>
      </c>
    </row>
    <row r="498" spans="2:8" x14ac:dyDescent="0.3">
      <c r="B498" s="15">
        <v>492</v>
      </c>
      <c r="C498" s="14">
        <v>43957</v>
      </c>
      <c r="D498" s="15" t="s">
        <v>9</v>
      </c>
      <c r="E498" s="15" t="s">
        <v>22</v>
      </c>
      <c r="F498" s="15" t="s">
        <v>23</v>
      </c>
      <c r="G498" s="15">
        <v>900</v>
      </c>
      <c r="H498" s="15">
        <v>1</v>
      </c>
    </row>
    <row r="499" spans="2:8" x14ac:dyDescent="0.3">
      <c r="B499" s="15">
        <v>493</v>
      </c>
      <c r="C499" s="14">
        <v>43958</v>
      </c>
      <c r="D499" s="15" t="s">
        <v>9</v>
      </c>
      <c r="E499" s="15" t="s">
        <v>24</v>
      </c>
      <c r="F499" s="15" t="s">
        <v>23</v>
      </c>
      <c r="G499" s="15">
        <v>600</v>
      </c>
      <c r="H499" s="15">
        <v>1</v>
      </c>
    </row>
    <row r="500" spans="2:8" x14ac:dyDescent="0.3">
      <c r="B500" s="15">
        <v>494</v>
      </c>
      <c r="C500" s="14">
        <v>43959</v>
      </c>
      <c r="D500" s="15" t="s">
        <v>9</v>
      </c>
      <c r="E500" s="15" t="s">
        <v>10</v>
      </c>
      <c r="F500" s="15" t="s">
        <v>11</v>
      </c>
      <c r="G500" s="15">
        <v>1100</v>
      </c>
      <c r="H500" s="15">
        <v>1</v>
      </c>
    </row>
    <row r="501" spans="2:8" x14ac:dyDescent="0.3">
      <c r="B501" s="15">
        <v>495</v>
      </c>
      <c r="C501" s="14">
        <v>43960</v>
      </c>
      <c r="D501" s="15" t="s">
        <v>9</v>
      </c>
      <c r="E501" s="15" t="s">
        <v>10</v>
      </c>
      <c r="F501" s="15" t="s">
        <v>11</v>
      </c>
      <c r="G501" s="15">
        <v>1100</v>
      </c>
      <c r="H501" s="15">
        <v>1</v>
      </c>
    </row>
    <row r="502" spans="2:8" x14ac:dyDescent="0.3">
      <c r="B502" s="15">
        <v>496</v>
      </c>
      <c r="C502" s="14">
        <v>43961</v>
      </c>
      <c r="D502" s="15" t="s">
        <v>9</v>
      </c>
      <c r="E502" s="15" t="s">
        <v>22</v>
      </c>
      <c r="F502" s="15" t="s">
        <v>23</v>
      </c>
      <c r="G502" s="15">
        <v>500</v>
      </c>
      <c r="H502" s="15">
        <v>1</v>
      </c>
    </row>
    <row r="503" spans="2:8" x14ac:dyDescent="0.3">
      <c r="B503" s="15">
        <v>497</v>
      </c>
      <c r="C503" s="14">
        <v>43962</v>
      </c>
      <c r="D503" s="15" t="s">
        <v>9</v>
      </c>
      <c r="E503" s="15" t="s">
        <v>19</v>
      </c>
      <c r="F503" s="15" t="s">
        <v>20</v>
      </c>
      <c r="G503" s="15">
        <v>850</v>
      </c>
      <c r="H503" s="15">
        <v>1</v>
      </c>
    </row>
    <row r="504" spans="2:8" x14ac:dyDescent="0.3">
      <c r="B504" s="15">
        <v>498</v>
      </c>
      <c r="C504" s="14">
        <v>43963</v>
      </c>
      <c r="D504" s="15" t="s">
        <v>9</v>
      </c>
      <c r="E504" s="15" t="s">
        <v>10</v>
      </c>
      <c r="F504" s="15" t="s">
        <v>11</v>
      </c>
      <c r="G504" s="15">
        <v>1100</v>
      </c>
      <c r="H504" s="15">
        <v>1</v>
      </c>
    </row>
    <row r="505" spans="2:8" x14ac:dyDescent="0.3">
      <c r="B505" s="15">
        <v>499</v>
      </c>
      <c r="C505" s="14">
        <v>43964</v>
      </c>
      <c r="D505" s="15" t="s">
        <v>9</v>
      </c>
      <c r="E505" s="15" t="s">
        <v>24</v>
      </c>
      <c r="F505" s="15" t="s">
        <v>23</v>
      </c>
      <c r="G505" s="15">
        <v>300</v>
      </c>
      <c r="H505" s="15">
        <v>1</v>
      </c>
    </row>
    <row r="506" spans="2:8" x14ac:dyDescent="0.3">
      <c r="B506" s="15">
        <v>500</v>
      </c>
      <c r="C506" s="14">
        <v>43965</v>
      </c>
      <c r="D506" s="15" t="s">
        <v>9</v>
      </c>
      <c r="E506" s="15" t="s">
        <v>16</v>
      </c>
      <c r="F506" s="15" t="s">
        <v>17</v>
      </c>
      <c r="G506" s="15">
        <v>800</v>
      </c>
      <c r="H506" s="15">
        <v>1</v>
      </c>
    </row>
    <row r="507" spans="2:8" x14ac:dyDescent="0.3">
      <c r="B507" s="15">
        <v>501</v>
      </c>
      <c r="C507" s="14">
        <v>43966</v>
      </c>
      <c r="D507" s="15" t="s">
        <v>9</v>
      </c>
      <c r="E507" s="15" t="s">
        <v>12</v>
      </c>
      <c r="F507" s="15" t="s">
        <v>11</v>
      </c>
      <c r="G507" s="15">
        <v>900</v>
      </c>
      <c r="H507" s="15">
        <v>1</v>
      </c>
    </row>
    <row r="508" spans="2:8" x14ac:dyDescent="0.3">
      <c r="B508" s="15">
        <v>502</v>
      </c>
      <c r="C508" s="14">
        <v>43967</v>
      </c>
      <c r="D508" s="15" t="s">
        <v>9</v>
      </c>
      <c r="E508" s="15" t="s">
        <v>10</v>
      </c>
      <c r="F508" s="15" t="s">
        <v>11</v>
      </c>
      <c r="G508" s="15">
        <v>1100</v>
      </c>
      <c r="H508" s="15">
        <v>1</v>
      </c>
    </row>
    <row r="509" spans="2:8" x14ac:dyDescent="0.3">
      <c r="B509" s="15">
        <v>503</v>
      </c>
      <c r="C509" s="14">
        <v>43968</v>
      </c>
      <c r="D509" s="15" t="s">
        <v>9</v>
      </c>
      <c r="E509" s="15" t="s">
        <v>22</v>
      </c>
      <c r="F509" s="15" t="s">
        <v>23</v>
      </c>
      <c r="G509" s="15">
        <v>500</v>
      </c>
      <c r="H509" s="15">
        <v>1</v>
      </c>
    </row>
    <row r="510" spans="2:8" x14ac:dyDescent="0.3">
      <c r="B510" s="15">
        <v>504</v>
      </c>
      <c r="C510" s="14">
        <v>43969</v>
      </c>
      <c r="D510" s="15" t="s">
        <v>9</v>
      </c>
      <c r="E510" s="15" t="s">
        <v>18</v>
      </c>
      <c r="F510" s="15" t="s">
        <v>17</v>
      </c>
      <c r="G510" s="15">
        <v>600</v>
      </c>
      <c r="H510" s="15">
        <v>1</v>
      </c>
    </row>
    <row r="511" spans="2:8" x14ac:dyDescent="0.3">
      <c r="B511" s="15">
        <v>505</v>
      </c>
      <c r="C511" s="14">
        <v>43970</v>
      </c>
      <c r="D511" s="15" t="s">
        <v>9</v>
      </c>
      <c r="E511" s="15" t="s">
        <v>14</v>
      </c>
      <c r="F511" s="15" t="s">
        <v>11</v>
      </c>
      <c r="G511" s="15">
        <v>900</v>
      </c>
      <c r="H511" s="15">
        <v>1</v>
      </c>
    </row>
    <row r="512" spans="2:8" x14ac:dyDescent="0.3">
      <c r="B512" s="15">
        <v>506</v>
      </c>
      <c r="C512" s="14">
        <v>43971</v>
      </c>
      <c r="D512" s="15" t="s">
        <v>9</v>
      </c>
      <c r="E512" s="15" t="s">
        <v>24</v>
      </c>
      <c r="F512" s="15" t="s">
        <v>23</v>
      </c>
      <c r="G512" s="15">
        <v>600</v>
      </c>
      <c r="H512" s="15">
        <v>1</v>
      </c>
    </row>
    <row r="513" spans="2:8" x14ac:dyDescent="0.3">
      <c r="B513" s="15">
        <v>507</v>
      </c>
      <c r="C513" s="14">
        <v>43972</v>
      </c>
      <c r="D513" s="15" t="s">
        <v>9</v>
      </c>
      <c r="E513" s="15" t="s">
        <v>18</v>
      </c>
      <c r="F513" s="15" t="s">
        <v>17</v>
      </c>
      <c r="G513" s="15">
        <v>600</v>
      </c>
      <c r="H513" s="15">
        <v>1</v>
      </c>
    </row>
    <row r="514" spans="2:8" x14ac:dyDescent="0.3">
      <c r="B514" s="15">
        <v>508</v>
      </c>
      <c r="C514" s="14">
        <v>43973</v>
      </c>
      <c r="D514" s="15" t="s">
        <v>9</v>
      </c>
      <c r="E514" s="15" t="s">
        <v>10</v>
      </c>
      <c r="F514" s="15" t="s">
        <v>11</v>
      </c>
      <c r="G514" s="15">
        <v>1100</v>
      </c>
      <c r="H514" s="15">
        <v>1</v>
      </c>
    </row>
    <row r="515" spans="2:8" x14ac:dyDescent="0.3">
      <c r="B515" s="15">
        <v>509</v>
      </c>
      <c r="C515" s="14">
        <v>43974</v>
      </c>
      <c r="D515" s="15" t="s">
        <v>9</v>
      </c>
      <c r="E515" s="15" t="s">
        <v>10</v>
      </c>
      <c r="F515" s="15" t="s">
        <v>11</v>
      </c>
      <c r="G515" s="15">
        <v>1100</v>
      </c>
      <c r="H515" s="15">
        <v>2</v>
      </c>
    </row>
    <row r="516" spans="2:8" x14ac:dyDescent="0.3">
      <c r="B516" s="15">
        <v>510</v>
      </c>
      <c r="C516" s="14">
        <v>43975</v>
      </c>
      <c r="D516" s="15" t="s">
        <v>9</v>
      </c>
      <c r="E516" s="15" t="s">
        <v>10</v>
      </c>
      <c r="F516" s="15" t="s">
        <v>11</v>
      </c>
      <c r="G516" s="15">
        <v>1100</v>
      </c>
      <c r="H516" s="15">
        <v>1</v>
      </c>
    </row>
    <row r="517" spans="2:8" x14ac:dyDescent="0.3">
      <c r="B517" s="15">
        <v>511</v>
      </c>
      <c r="C517" s="14">
        <v>43976</v>
      </c>
      <c r="D517" s="15" t="s">
        <v>9</v>
      </c>
      <c r="E517" s="15" t="s">
        <v>19</v>
      </c>
      <c r="F517" s="15" t="s">
        <v>20</v>
      </c>
      <c r="G517" s="15">
        <v>850</v>
      </c>
      <c r="H517" s="15">
        <v>1</v>
      </c>
    </row>
    <row r="518" spans="2:8" x14ac:dyDescent="0.3">
      <c r="B518" s="15">
        <v>512</v>
      </c>
      <c r="C518" s="14">
        <v>43977</v>
      </c>
      <c r="D518" s="15" t="s">
        <v>9</v>
      </c>
      <c r="E518" s="15" t="s">
        <v>10</v>
      </c>
      <c r="F518" s="15" t="s">
        <v>11</v>
      </c>
      <c r="G518" s="15">
        <v>1100</v>
      </c>
      <c r="H518" s="15">
        <v>1</v>
      </c>
    </row>
    <row r="519" spans="2:8" x14ac:dyDescent="0.3">
      <c r="B519" s="15">
        <v>513</v>
      </c>
      <c r="C519" s="14">
        <v>43978</v>
      </c>
      <c r="D519" s="15" t="s">
        <v>9</v>
      </c>
      <c r="E519" s="15" t="s">
        <v>12</v>
      </c>
      <c r="F519" s="15" t="s">
        <v>11</v>
      </c>
      <c r="G519" s="15">
        <v>900</v>
      </c>
      <c r="H519" s="15">
        <v>1</v>
      </c>
    </row>
    <row r="520" spans="2:8" x14ac:dyDescent="0.3">
      <c r="B520" s="15">
        <v>514</v>
      </c>
      <c r="C520" s="14">
        <v>43979</v>
      </c>
      <c r="D520" s="15" t="s">
        <v>9</v>
      </c>
      <c r="E520" s="15" t="s">
        <v>14</v>
      </c>
      <c r="F520" s="15" t="s">
        <v>11</v>
      </c>
      <c r="G520" s="15">
        <v>900</v>
      </c>
      <c r="H520" s="15">
        <v>1</v>
      </c>
    </row>
    <row r="521" spans="2:8" x14ac:dyDescent="0.3">
      <c r="B521" s="15">
        <v>515</v>
      </c>
      <c r="C521" s="14">
        <v>43980</v>
      </c>
      <c r="D521" s="15" t="s">
        <v>9</v>
      </c>
      <c r="E521" s="15" t="s">
        <v>12</v>
      </c>
      <c r="F521" s="15" t="s">
        <v>11</v>
      </c>
      <c r="G521" s="15">
        <v>900</v>
      </c>
      <c r="H521" s="15">
        <v>1</v>
      </c>
    </row>
    <row r="522" spans="2:8" x14ac:dyDescent="0.3">
      <c r="B522" s="15">
        <v>516</v>
      </c>
      <c r="C522" s="14">
        <v>43981</v>
      </c>
      <c r="D522" s="15" t="s">
        <v>9</v>
      </c>
      <c r="E522" s="15" t="s">
        <v>15</v>
      </c>
      <c r="F522" s="15" t="s">
        <v>11</v>
      </c>
      <c r="G522" s="15">
        <v>1000</v>
      </c>
      <c r="H522" s="15">
        <v>1</v>
      </c>
    </row>
    <row r="523" spans="2:8" x14ac:dyDescent="0.3">
      <c r="B523" s="15">
        <v>517</v>
      </c>
      <c r="C523" s="14">
        <v>43982</v>
      </c>
      <c r="D523" s="15" t="s">
        <v>9</v>
      </c>
      <c r="E523" s="15" t="s">
        <v>21</v>
      </c>
      <c r="F523" s="15" t="s">
        <v>20</v>
      </c>
      <c r="G523" s="15">
        <v>1200</v>
      </c>
      <c r="H523" s="15">
        <v>1</v>
      </c>
    </row>
    <row r="524" spans="2:8" x14ac:dyDescent="0.3">
      <c r="B524" s="15">
        <v>518</v>
      </c>
      <c r="C524" s="14">
        <v>43983</v>
      </c>
      <c r="D524" s="15" t="s">
        <v>9</v>
      </c>
      <c r="E524" s="15" t="s">
        <v>14</v>
      </c>
      <c r="F524" s="15" t="s">
        <v>11</v>
      </c>
      <c r="G524" s="15">
        <v>900</v>
      </c>
      <c r="H524" s="15">
        <v>1</v>
      </c>
    </row>
    <row r="525" spans="2:8" x14ac:dyDescent="0.3">
      <c r="B525" s="15">
        <v>519</v>
      </c>
      <c r="C525" s="14">
        <v>43984</v>
      </c>
      <c r="D525" s="15" t="s">
        <v>9</v>
      </c>
      <c r="E525" s="15" t="s">
        <v>18</v>
      </c>
      <c r="F525" s="15" t="s">
        <v>17</v>
      </c>
      <c r="G525" s="15">
        <v>600</v>
      </c>
      <c r="H525" s="15">
        <v>1</v>
      </c>
    </row>
    <row r="526" spans="2:8" x14ac:dyDescent="0.3">
      <c r="B526" s="15">
        <v>520</v>
      </c>
      <c r="C526" s="14">
        <v>43985</v>
      </c>
      <c r="D526" s="15" t="s">
        <v>9</v>
      </c>
      <c r="E526" s="15" t="s">
        <v>24</v>
      </c>
      <c r="F526" s="15" t="s">
        <v>23</v>
      </c>
      <c r="G526" s="15">
        <v>600</v>
      </c>
      <c r="H526" s="15">
        <v>1</v>
      </c>
    </row>
    <row r="527" spans="2:8" x14ac:dyDescent="0.3">
      <c r="B527" s="15">
        <v>521</v>
      </c>
      <c r="C527" s="14">
        <v>43986</v>
      </c>
      <c r="D527" s="15" t="s">
        <v>9</v>
      </c>
      <c r="E527" s="15" t="s">
        <v>16</v>
      </c>
      <c r="F527" s="15" t="s">
        <v>17</v>
      </c>
      <c r="G527" s="15">
        <v>800</v>
      </c>
      <c r="H527" s="15">
        <v>1</v>
      </c>
    </row>
    <row r="528" spans="2:8" x14ac:dyDescent="0.3">
      <c r="B528" s="15">
        <v>522</v>
      </c>
      <c r="C528" s="14">
        <v>43987</v>
      </c>
      <c r="D528" s="15" t="s">
        <v>9</v>
      </c>
      <c r="E528" s="15" t="s">
        <v>24</v>
      </c>
      <c r="F528" s="15" t="s">
        <v>23</v>
      </c>
      <c r="G528" s="15">
        <v>600</v>
      </c>
      <c r="H528" s="15">
        <v>1</v>
      </c>
    </row>
    <row r="529" spans="2:8" x14ac:dyDescent="0.3">
      <c r="B529" s="15">
        <v>523</v>
      </c>
      <c r="C529" s="14">
        <v>43988</v>
      </c>
      <c r="D529" s="15" t="s">
        <v>9</v>
      </c>
      <c r="E529" s="15" t="s">
        <v>10</v>
      </c>
      <c r="F529" s="15" t="s">
        <v>11</v>
      </c>
      <c r="G529" s="15">
        <v>1100</v>
      </c>
      <c r="H529" s="15">
        <v>1</v>
      </c>
    </row>
    <row r="530" spans="2:8" x14ac:dyDescent="0.3">
      <c r="B530" s="15">
        <v>524</v>
      </c>
      <c r="C530" s="14">
        <v>43989</v>
      </c>
      <c r="D530" s="15" t="s">
        <v>9</v>
      </c>
      <c r="E530" s="15" t="s">
        <v>10</v>
      </c>
      <c r="F530" s="15" t="s">
        <v>11</v>
      </c>
      <c r="G530" s="15">
        <v>1100</v>
      </c>
      <c r="H530" s="15">
        <v>1</v>
      </c>
    </row>
    <row r="531" spans="2:8" x14ac:dyDescent="0.3">
      <c r="B531" s="15">
        <v>525</v>
      </c>
      <c r="C531" s="14">
        <v>43990</v>
      </c>
      <c r="D531" s="15" t="s">
        <v>9</v>
      </c>
      <c r="E531" s="15" t="s">
        <v>19</v>
      </c>
      <c r="F531" s="15" t="s">
        <v>20</v>
      </c>
      <c r="G531" s="15">
        <v>850</v>
      </c>
      <c r="H531" s="15">
        <v>1</v>
      </c>
    </row>
    <row r="532" spans="2:8" x14ac:dyDescent="0.3">
      <c r="B532" s="15">
        <v>526</v>
      </c>
      <c r="C532" s="14">
        <v>43991</v>
      </c>
      <c r="D532" s="15" t="s">
        <v>9</v>
      </c>
      <c r="E532" s="15" t="s">
        <v>10</v>
      </c>
      <c r="F532" s="15" t="s">
        <v>11</v>
      </c>
      <c r="G532" s="15">
        <v>1100</v>
      </c>
      <c r="H532" s="15">
        <v>1</v>
      </c>
    </row>
    <row r="533" spans="2:8" x14ac:dyDescent="0.3">
      <c r="B533" s="15">
        <v>527</v>
      </c>
      <c r="C533" s="14">
        <v>43992</v>
      </c>
      <c r="D533" s="15" t="s">
        <v>9</v>
      </c>
      <c r="E533" s="15" t="s">
        <v>10</v>
      </c>
      <c r="F533" s="15" t="s">
        <v>11</v>
      </c>
      <c r="G533" s="15">
        <v>1100</v>
      </c>
      <c r="H533" s="15">
        <v>2</v>
      </c>
    </row>
    <row r="534" spans="2:8" x14ac:dyDescent="0.3">
      <c r="B534" s="15">
        <v>528</v>
      </c>
      <c r="C534" s="14">
        <v>43993</v>
      </c>
      <c r="D534" s="15" t="s">
        <v>9</v>
      </c>
      <c r="E534" s="15" t="s">
        <v>24</v>
      </c>
      <c r="F534" s="15" t="s">
        <v>23</v>
      </c>
      <c r="G534" s="15">
        <v>300</v>
      </c>
      <c r="H534" s="15">
        <v>1</v>
      </c>
    </row>
    <row r="535" spans="2:8" x14ac:dyDescent="0.3">
      <c r="B535" s="15">
        <v>529</v>
      </c>
      <c r="C535" s="14">
        <v>43994</v>
      </c>
      <c r="D535" s="15" t="s">
        <v>9</v>
      </c>
      <c r="E535" s="15" t="s">
        <v>18</v>
      </c>
      <c r="F535" s="15" t="s">
        <v>17</v>
      </c>
      <c r="G535" s="15">
        <v>600</v>
      </c>
      <c r="H535" s="15">
        <v>1</v>
      </c>
    </row>
    <row r="536" spans="2:8" x14ac:dyDescent="0.3">
      <c r="B536" s="15">
        <v>530</v>
      </c>
      <c r="C536" s="14">
        <v>43995</v>
      </c>
      <c r="D536" s="15" t="s">
        <v>9</v>
      </c>
      <c r="E536" s="15" t="s">
        <v>18</v>
      </c>
      <c r="F536" s="15" t="s">
        <v>17</v>
      </c>
      <c r="G536" s="15">
        <v>600</v>
      </c>
      <c r="H536" s="15">
        <v>1</v>
      </c>
    </row>
    <row r="537" spans="2:8" x14ac:dyDescent="0.3">
      <c r="B537" s="15">
        <v>531</v>
      </c>
      <c r="C537" s="14">
        <v>43996</v>
      </c>
      <c r="D537" s="15" t="s">
        <v>9</v>
      </c>
      <c r="E537" s="15" t="s">
        <v>10</v>
      </c>
      <c r="F537" s="15" t="s">
        <v>11</v>
      </c>
      <c r="G537" s="15">
        <v>1100</v>
      </c>
      <c r="H537" s="15">
        <v>1</v>
      </c>
    </row>
    <row r="538" spans="2:8" x14ac:dyDescent="0.3">
      <c r="B538" s="15">
        <v>532</v>
      </c>
      <c r="C538" s="14">
        <v>43997</v>
      </c>
      <c r="D538" s="15" t="s">
        <v>9</v>
      </c>
      <c r="E538" s="15" t="s">
        <v>14</v>
      </c>
      <c r="F538" s="15" t="s">
        <v>11</v>
      </c>
      <c r="G538" s="15">
        <v>900</v>
      </c>
      <c r="H538" s="15">
        <v>1</v>
      </c>
    </row>
    <row r="539" spans="2:8" x14ac:dyDescent="0.3">
      <c r="B539" s="15">
        <v>533</v>
      </c>
      <c r="C539" s="14">
        <v>43998</v>
      </c>
      <c r="D539" s="15" t="s">
        <v>9</v>
      </c>
      <c r="E539" s="15" t="s">
        <v>12</v>
      </c>
      <c r="F539" s="15" t="s">
        <v>11</v>
      </c>
      <c r="G539" s="15">
        <v>900</v>
      </c>
      <c r="H539" s="15">
        <v>1</v>
      </c>
    </row>
    <row r="540" spans="2:8" x14ac:dyDescent="0.3">
      <c r="B540" s="15">
        <v>534</v>
      </c>
      <c r="C540" s="14">
        <v>43999</v>
      </c>
      <c r="D540" s="15" t="s">
        <v>9</v>
      </c>
      <c r="E540" s="15" t="s">
        <v>12</v>
      </c>
      <c r="F540" s="15" t="s">
        <v>11</v>
      </c>
      <c r="G540" s="15">
        <v>900</v>
      </c>
      <c r="H540" s="15">
        <v>1</v>
      </c>
    </row>
    <row r="541" spans="2:8" x14ac:dyDescent="0.3">
      <c r="B541" s="15">
        <v>535</v>
      </c>
      <c r="C541" s="14">
        <v>44000</v>
      </c>
      <c r="D541" s="15" t="s">
        <v>9</v>
      </c>
      <c r="E541" s="15" t="s">
        <v>10</v>
      </c>
      <c r="F541" s="15" t="s">
        <v>11</v>
      </c>
      <c r="G541" s="15">
        <v>1100</v>
      </c>
      <c r="H541" s="15">
        <v>1</v>
      </c>
    </row>
    <row r="542" spans="2:8" x14ac:dyDescent="0.3">
      <c r="B542" s="15">
        <v>536</v>
      </c>
      <c r="C542" s="14">
        <v>44001</v>
      </c>
      <c r="D542" s="15" t="s">
        <v>9</v>
      </c>
      <c r="E542" s="15" t="s">
        <v>24</v>
      </c>
      <c r="F542" s="15" t="s">
        <v>23</v>
      </c>
      <c r="G542" s="15">
        <v>600</v>
      </c>
      <c r="H542" s="15">
        <v>2</v>
      </c>
    </row>
    <row r="543" spans="2:8" x14ac:dyDescent="0.3">
      <c r="B543" s="15">
        <v>537</v>
      </c>
      <c r="C543" s="14">
        <v>44002</v>
      </c>
      <c r="D543" s="15" t="s">
        <v>9</v>
      </c>
      <c r="E543" s="15" t="s">
        <v>19</v>
      </c>
      <c r="F543" s="15" t="s">
        <v>20</v>
      </c>
      <c r="G543" s="15">
        <v>850</v>
      </c>
      <c r="H543" s="15">
        <v>1</v>
      </c>
    </row>
    <row r="544" spans="2:8" x14ac:dyDescent="0.3">
      <c r="B544" s="15">
        <v>538</v>
      </c>
      <c r="C544" s="14">
        <v>44003</v>
      </c>
      <c r="D544" s="15" t="s">
        <v>9</v>
      </c>
      <c r="E544" s="15" t="s">
        <v>12</v>
      </c>
      <c r="F544" s="15" t="s">
        <v>11</v>
      </c>
      <c r="G544" s="15">
        <v>900</v>
      </c>
      <c r="H544" s="15">
        <v>1</v>
      </c>
    </row>
    <row r="545" spans="2:8" x14ac:dyDescent="0.3">
      <c r="B545" s="15">
        <v>539</v>
      </c>
      <c r="C545" s="14">
        <v>44004</v>
      </c>
      <c r="D545" s="15" t="s">
        <v>9</v>
      </c>
      <c r="E545" s="15" t="s">
        <v>18</v>
      </c>
      <c r="F545" s="15" t="s">
        <v>17</v>
      </c>
      <c r="G545" s="15">
        <v>600</v>
      </c>
      <c r="H545" s="15">
        <v>1</v>
      </c>
    </row>
    <row r="546" spans="2:8" x14ac:dyDescent="0.3">
      <c r="B546" s="15">
        <v>540</v>
      </c>
      <c r="C546" s="14">
        <v>44005</v>
      </c>
      <c r="D546" s="15" t="s">
        <v>9</v>
      </c>
      <c r="E546" s="15" t="s">
        <v>18</v>
      </c>
      <c r="F546" s="15" t="s">
        <v>17</v>
      </c>
      <c r="G546" s="15">
        <v>600</v>
      </c>
      <c r="H546" s="15">
        <v>1</v>
      </c>
    </row>
    <row r="547" spans="2:8" x14ac:dyDescent="0.3">
      <c r="B547" s="15">
        <v>541</v>
      </c>
      <c r="C547" s="14">
        <v>44006</v>
      </c>
      <c r="D547" s="15" t="s">
        <v>9</v>
      </c>
      <c r="E547" s="15" t="s">
        <v>10</v>
      </c>
      <c r="F547" s="15" t="s">
        <v>11</v>
      </c>
      <c r="G547" s="15">
        <v>1100</v>
      </c>
      <c r="H547" s="15">
        <v>1</v>
      </c>
    </row>
    <row r="548" spans="2:8" x14ac:dyDescent="0.3">
      <c r="B548" s="15">
        <v>542</v>
      </c>
      <c r="C548" s="14">
        <v>44007</v>
      </c>
      <c r="D548" s="15" t="s">
        <v>9</v>
      </c>
      <c r="E548" s="15" t="s">
        <v>10</v>
      </c>
      <c r="F548" s="15" t="s">
        <v>11</v>
      </c>
      <c r="G548" s="15">
        <v>1100</v>
      </c>
      <c r="H548" s="15">
        <v>1</v>
      </c>
    </row>
    <row r="549" spans="2:8" x14ac:dyDescent="0.3">
      <c r="B549" s="15">
        <v>543</v>
      </c>
      <c r="C549" s="14">
        <v>44008</v>
      </c>
      <c r="D549" s="15" t="s">
        <v>9</v>
      </c>
      <c r="E549" s="15" t="s">
        <v>10</v>
      </c>
      <c r="F549" s="15" t="s">
        <v>11</v>
      </c>
      <c r="G549" s="15">
        <v>1100</v>
      </c>
      <c r="H549" s="15">
        <v>1</v>
      </c>
    </row>
    <row r="550" spans="2:8" x14ac:dyDescent="0.3">
      <c r="B550" s="15">
        <v>544</v>
      </c>
      <c r="C550" s="14">
        <v>44009</v>
      </c>
      <c r="D550" s="15" t="s">
        <v>9</v>
      </c>
      <c r="E550" s="15" t="s">
        <v>10</v>
      </c>
      <c r="F550" s="15" t="s">
        <v>11</v>
      </c>
      <c r="G550" s="15">
        <v>1100</v>
      </c>
      <c r="H550" s="15">
        <v>1</v>
      </c>
    </row>
    <row r="551" spans="2:8" x14ac:dyDescent="0.3">
      <c r="B551" s="15">
        <v>545</v>
      </c>
      <c r="C551" s="14">
        <v>44010</v>
      </c>
      <c r="D551" s="15" t="s">
        <v>9</v>
      </c>
      <c r="E551" s="15" t="s">
        <v>12</v>
      </c>
      <c r="F551" s="15" t="s">
        <v>11</v>
      </c>
      <c r="G551" s="15">
        <v>1100</v>
      </c>
      <c r="H551" s="15">
        <v>1</v>
      </c>
    </row>
    <row r="552" spans="2:8" x14ac:dyDescent="0.3">
      <c r="B552" s="15">
        <v>546</v>
      </c>
      <c r="C552" s="14">
        <v>44011</v>
      </c>
      <c r="D552" s="15" t="s">
        <v>9</v>
      </c>
      <c r="E552" s="15" t="s">
        <v>12</v>
      </c>
      <c r="F552" s="15" t="s">
        <v>11</v>
      </c>
      <c r="G552" s="15">
        <v>1100</v>
      </c>
      <c r="H552" s="15">
        <v>1</v>
      </c>
    </row>
    <row r="553" spans="2:8" x14ac:dyDescent="0.3">
      <c r="B553" s="15">
        <v>547</v>
      </c>
      <c r="C553" s="14">
        <v>44012</v>
      </c>
      <c r="D553" s="15" t="s">
        <v>9</v>
      </c>
      <c r="E553" s="15" t="s">
        <v>12</v>
      </c>
      <c r="F553" s="15" t="s">
        <v>11</v>
      </c>
      <c r="G553" s="15">
        <v>1100</v>
      </c>
      <c r="H553" s="15">
        <v>1</v>
      </c>
    </row>
    <row r="554" spans="2:8" x14ac:dyDescent="0.3">
      <c r="B554" s="15">
        <v>548</v>
      </c>
      <c r="C554" s="14">
        <v>44013</v>
      </c>
      <c r="D554" s="15" t="s">
        <v>9</v>
      </c>
      <c r="E554" s="15" t="s">
        <v>12</v>
      </c>
      <c r="F554" s="15" t="s">
        <v>11</v>
      </c>
      <c r="G554" s="15">
        <v>1100</v>
      </c>
      <c r="H554" s="15">
        <v>2</v>
      </c>
    </row>
    <row r="555" spans="2:8" x14ac:dyDescent="0.3">
      <c r="B555" s="15">
        <v>549</v>
      </c>
      <c r="C555" s="14">
        <v>44014</v>
      </c>
      <c r="D555" s="15" t="s">
        <v>9</v>
      </c>
      <c r="E555" s="15" t="s">
        <v>12</v>
      </c>
      <c r="F555" s="15" t="s">
        <v>11</v>
      </c>
      <c r="G555" s="15">
        <v>1100</v>
      </c>
      <c r="H555" s="15">
        <v>1</v>
      </c>
    </row>
    <row r="556" spans="2:8" x14ac:dyDescent="0.3">
      <c r="B556" s="15">
        <v>550</v>
      </c>
      <c r="C556" s="14">
        <v>44015</v>
      </c>
      <c r="D556" s="15" t="s">
        <v>9</v>
      </c>
      <c r="E556" s="15" t="s">
        <v>12</v>
      </c>
      <c r="F556" s="15" t="s">
        <v>11</v>
      </c>
      <c r="G556" s="15">
        <v>1100</v>
      </c>
      <c r="H556" s="15">
        <v>1</v>
      </c>
    </row>
    <row r="557" spans="2:8" x14ac:dyDescent="0.3">
      <c r="B557" s="15">
        <v>551</v>
      </c>
      <c r="C557" s="14">
        <v>44016</v>
      </c>
      <c r="D557" s="15" t="s">
        <v>9</v>
      </c>
      <c r="E557" s="15" t="s">
        <v>12</v>
      </c>
      <c r="F557" s="15" t="s">
        <v>11</v>
      </c>
      <c r="G557" s="15">
        <v>900</v>
      </c>
      <c r="H557" s="15">
        <v>1</v>
      </c>
    </row>
    <row r="558" spans="2:8" x14ac:dyDescent="0.3">
      <c r="B558" s="15">
        <v>552</v>
      </c>
      <c r="C558" s="14">
        <v>44017</v>
      </c>
      <c r="D558" s="15" t="s">
        <v>9</v>
      </c>
      <c r="E558" s="15" t="s">
        <v>12</v>
      </c>
      <c r="F558" s="15" t="s">
        <v>11</v>
      </c>
      <c r="G558" s="15">
        <v>900</v>
      </c>
      <c r="H558" s="15">
        <v>1</v>
      </c>
    </row>
    <row r="559" spans="2:8" x14ac:dyDescent="0.3">
      <c r="B559" s="15">
        <v>553</v>
      </c>
      <c r="C559" s="14">
        <v>44018</v>
      </c>
      <c r="D559" s="15" t="s">
        <v>9</v>
      </c>
      <c r="E559" s="15" t="s">
        <v>12</v>
      </c>
      <c r="F559" s="15" t="s">
        <v>11</v>
      </c>
      <c r="G559" s="15">
        <v>900</v>
      </c>
      <c r="H559" s="15">
        <v>1</v>
      </c>
    </row>
    <row r="560" spans="2:8" x14ac:dyDescent="0.3">
      <c r="B560" s="15">
        <v>554</v>
      </c>
      <c r="C560" s="14">
        <v>44019</v>
      </c>
      <c r="D560" s="15" t="s">
        <v>9</v>
      </c>
      <c r="E560" s="15" t="s">
        <v>12</v>
      </c>
      <c r="F560" s="15" t="s">
        <v>11</v>
      </c>
      <c r="G560" s="15">
        <v>900</v>
      </c>
      <c r="H560" s="15">
        <v>2</v>
      </c>
    </row>
    <row r="561" spans="2:8" x14ac:dyDescent="0.3">
      <c r="B561" s="15">
        <v>555</v>
      </c>
      <c r="C561" s="14">
        <v>44020</v>
      </c>
      <c r="D561" s="15" t="s">
        <v>9</v>
      </c>
      <c r="E561" s="15" t="s">
        <v>12</v>
      </c>
      <c r="F561" s="15" t="s">
        <v>11</v>
      </c>
      <c r="G561" s="15">
        <v>900</v>
      </c>
      <c r="H561" s="15">
        <v>1</v>
      </c>
    </row>
    <row r="562" spans="2:8" x14ac:dyDescent="0.3">
      <c r="B562" s="15">
        <v>556</v>
      </c>
      <c r="C562" s="14">
        <v>44021</v>
      </c>
      <c r="D562" s="15" t="s">
        <v>9</v>
      </c>
      <c r="E562" s="15" t="s">
        <v>12</v>
      </c>
      <c r="F562" s="15" t="s">
        <v>11</v>
      </c>
      <c r="G562" s="15">
        <v>900</v>
      </c>
      <c r="H562" s="15">
        <v>1</v>
      </c>
    </row>
    <row r="563" spans="2:8" x14ac:dyDescent="0.3">
      <c r="B563" s="15">
        <v>557</v>
      </c>
      <c r="C563" s="14">
        <v>44022</v>
      </c>
      <c r="D563" s="15" t="s">
        <v>9</v>
      </c>
      <c r="E563" s="15" t="s">
        <v>12</v>
      </c>
      <c r="F563" s="15" t="s">
        <v>11</v>
      </c>
      <c r="G563" s="15">
        <v>1100</v>
      </c>
      <c r="H563" s="15">
        <v>1</v>
      </c>
    </row>
    <row r="564" spans="2:8" x14ac:dyDescent="0.3">
      <c r="B564" s="15">
        <v>558</v>
      </c>
      <c r="C564" s="14">
        <v>44023</v>
      </c>
      <c r="D564" s="15" t="s">
        <v>13</v>
      </c>
      <c r="E564" s="15" t="s">
        <v>12</v>
      </c>
      <c r="F564" s="15" t="s">
        <v>11</v>
      </c>
      <c r="G564" s="15">
        <v>900</v>
      </c>
      <c r="H564" s="15">
        <v>1</v>
      </c>
    </row>
    <row r="565" spans="2:8" x14ac:dyDescent="0.3">
      <c r="B565" s="15">
        <v>559</v>
      </c>
      <c r="C565" s="14">
        <v>44024</v>
      </c>
      <c r="D565" s="15" t="s">
        <v>13</v>
      </c>
      <c r="E565" s="15" t="s">
        <v>12</v>
      </c>
      <c r="F565" s="15" t="s">
        <v>11</v>
      </c>
      <c r="G565" s="15">
        <v>1100</v>
      </c>
      <c r="H565" s="15">
        <v>2</v>
      </c>
    </row>
    <row r="566" spans="2:8" x14ac:dyDescent="0.3">
      <c r="B566" s="15">
        <v>560</v>
      </c>
      <c r="C566" s="14">
        <v>44025</v>
      </c>
      <c r="D566" s="15" t="s">
        <v>13</v>
      </c>
      <c r="E566" s="15" t="s">
        <v>12</v>
      </c>
      <c r="F566" s="15" t="s">
        <v>11</v>
      </c>
      <c r="G566" s="15">
        <v>1100</v>
      </c>
      <c r="H566" s="15">
        <v>1</v>
      </c>
    </row>
    <row r="567" spans="2:8" x14ac:dyDescent="0.3">
      <c r="B567" s="15">
        <v>561</v>
      </c>
      <c r="C567" s="14">
        <v>44026</v>
      </c>
      <c r="D567" s="15" t="s">
        <v>13</v>
      </c>
      <c r="E567" s="15" t="s">
        <v>12</v>
      </c>
      <c r="F567" s="15" t="s">
        <v>11</v>
      </c>
      <c r="G567" s="15">
        <v>900</v>
      </c>
      <c r="H567" s="15">
        <v>1</v>
      </c>
    </row>
    <row r="568" spans="2:8" x14ac:dyDescent="0.3">
      <c r="B568" s="15">
        <v>562</v>
      </c>
      <c r="C568" s="14">
        <v>44027</v>
      </c>
      <c r="D568" s="15" t="s">
        <v>13</v>
      </c>
      <c r="E568" s="15" t="s">
        <v>12</v>
      </c>
      <c r="F568" s="15" t="s">
        <v>11</v>
      </c>
      <c r="G568" s="15">
        <v>900</v>
      </c>
      <c r="H568" s="15">
        <v>1</v>
      </c>
    </row>
    <row r="569" spans="2:8" x14ac:dyDescent="0.3">
      <c r="B569" s="15">
        <v>563</v>
      </c>
      <c r="C569" s="14">
        <v>44028</v>
      </c>
      <c r="D569" s="15" t="s">
        <v>13</v>
      </c>
      <c r="E569" s="15" t="s">
        <v>14</v>
      </c>
      <c r="F569" s="15" t="s">
        <v>11</v>
      </c>
      <c r="G569" s="15">
        <v>900</v>
      </c>
      <c r="H569" s="15">
        <v>1</v>
      </c>
    </row>
    <row r="570" spans="2:8" x14ac:dyDescent="0.3">
      <c r="B570" s="15">
        <v>564</v>
      </c>
      <c r="C570" s="14">
        <v>44029</v>
      </c>
      <c r="D570" s="15" t="s">
        <v>13</v>
      </c>
      <c r="E570" s="15" t="s">
        <v>12</v>
      </c>
      <c r="F570" s="15" t="s">
        <v>11</v>
      </c>
      <c r="G570" s="15">
        <v>1100</v>
      </c>
      <c r="H570" s="15">
        <v>1</v>
      </c>
    </row>
    <row r="571" spans="2:8" x14ac:dyDescent="0.3">
      <c r="B571" s="15">
        <v>565</v>
      </c>
      <c r="C571" s="14">
        <v>44030</v>
      </c>
      <c r="D571" s="15" t="s">
        <v>13</v>
      </c>
      <c r="E571" s="15" t="s">
        <v>12</v>
      </c>
      <c r="F571" s="15" t="s">
        <v>11</v>
      </c>
      <c r="G571" s="15">
        <v>1100</v>
      </c>
      <c r="H571" s="15">
        <v>1</v>
      </c>
    </row>
    <row r="572" spans="2:8" x14ac:dyDescent="0.3">
      <c r="B572" s="15">
        <v>566</v>
      </c>
      <c r="C572" s="14">
        <v>44031</v>
      </c>
      <c r="D572" s="15" t="s">
        <v>13</v>
      </c>
      <c r="E572" s="15" t="s">
        <v>14</v>
      </c>
      <c r="F572" s="15" t="s">
        <v>11</v>
      </c>
      <c r="G572" s="15">
        <v>900</v>
      </c>
      <c r="H572" s="15">
        <v>1</v>
      </c>
    </row>
    <row r="573" spans="2:8" x14ac:dyDescent="0.3">
      <c r="B573" s="15">
        <v>567</v>
      </c>
      <c r="C573" s="14">
        <v>44032</v>
      </c>
      <c r="D573" s="15" t="s">
        <v>9</v>
      </c>
      <c r="E573" s="15" t="s">
        <v>12</v>
      </c>
      <c r="F573" s="15" t="s">
        <v>11</v>
      </c>
      <c r="G573" s="15">
        <v>900</v>
      </c>
      <c r="H573" s="15">
        <v>1</v>
      </c>
    </row>
    <row r="574" spans="2:8" x14ac:dyDescent="0.3">
      <c r="B574" s="15">
        <v>568</v>
      </c>
      <c r="C574" s="14">
        <v>44033</v>
      </c>
      <c r="D574" s="15" t="s">
        <v>9</v>
      </c>
      <c r="E574" s="15" t="s">
        <v>14</v>
      </c>
      <c r="F574" s="15" t="s">
        <v>11</v>
      </c>
      <c r="G574" s="15">
        <v>900</v>
      </c>
      <c r="H574" s="15">
        <v>1</v>
      </c>
    </row>
    <row r="575" spans="2:8" x14ac:dyDescent="0.3">
      <c r="B575" s="15">
        <v>569</v>
      </c>
      <c r="C575" s="14">
        <v>44034</v>
      </c>
      <c r="D575" s="15" t="s">
        <v>9</v>
      </c>
      <c r="E575" s="15" t="s">
        <v>12</v>
      </c>
      <c r="F575" s="15" t="s">
        <v>11</v>
      </c>
      <c r="G575" s="15">
        <v>1100</v>
      </c>
      <c r="H575" s="15">
        <v>1</v>
      </c>
    </row>
    <row r="576" spans="2:8" x14ac:dyDescent="0.3">
      <c r="B576" s="15">
        <v>570</v>
      </c>
      <c r="C576" s="14">
        <v>44035</v>
      </c>
      <c r="D576" s="15" t="s">
        <v>9</v>
      </c>
      <c r="E576" s="15" t="s">
        <v>12</v>
      </c>
      <c r="F576" s="15" t="s">
        <v>11</v>
      </c>
      <c r="G576" s="15">
        <v>1100</v>
      </c>
      <c r="H576" s="15">
        <v>1</v>
      </c>
    </row>
    <row r="577" spans="2:8" x14ac:dyDescent="0.3">
      <c r="B577" s="15">
        <v>571</v>
      </c>
      <c r="C577" s="14">
        <v>44036</v>
      </c>
      <c r="D577" s="15" t="s">
        <v>9</v>
      </c>
      <c r="E577" s="15" t="s">
        <v>14</v>
      </c>
      <c r="F577" s="15" t="s">
        <v>11</v>
      </c>
      <c r="G577" s="15">
        <v>900</v>
      </c>
      <c r="H577" s="15">
        <v>1</v>
      </c>
    </row>
    <row r="578" spans="2:8" x14ac:dyDescent="0.3">
      <c r="B578" s="15">
        <v>572</v>
      </c>
      <c r="C578" s="14">
        <v>44037</v>
      </c>
      <c r="D578" s="15" t="s">
        <v>9</v>
      </c>
      <c r="E578" s="15" t="s">
        <v>14</v>
      </c>
      <c r="F578" s="15" t="s">
        <v>11</v>
      </c>
      <c r="G578" s="15">
        <v>900</v>
      </c>
      <c r="H578" s="15">
        <v>1</v>
      </c>
    </row>
    <row r="579" spans="2:8" x14ac:dyDescent="0.3">
      <c r="B579" s="15">
        <v>573</v>
      </c>
      <c r="C579" s="14">
        <v>44038</v>
      </c>
      <c r="D579" s="15" t="s">
        <v>9</v>
      </c>
      <c r="E579" s="15" t="s">
        <v>14</v>
      </c>
      <c r="F579" s="15" t="s">
        <v>11</v>
      </c>
      <c r="G579" s="15">
        <v>900</v>
      </c>
      <c r="H579" s="15">
        <v>1</v>
      </c>
    </row>
    <row r="580" spans="2:8" x14ac:dyDescent="0.3">
      <c r="B580" s="15">
        <v>574</v>
      </c>
      <c r="C580" s="14">
        <v>44039</v>
      </c>
      <c r="D580" s="15" t="s">
        <v>9</v>
      </c>
      <c r="E580" s="15" t="s">
        <v>14</v>
      </c>
      <c r="F580" s="15" t="s">
        <v>11</v>
      </c>
      <c r="G580" s="15">
        <v>900</v>
      </c>
      <c r="H580" s="15">
        <v>1</v>
      </c>
    </row>
    <row r="581" spans="2:8" x14ac:dyDescent="0.3">
      <c r="B581" s="15">
        <v>575</v>
      </c>
      <c r="C581" s="14">
        <v>44040</v>
      </c>
      <c r="D581" s="15" t="s">
        <v>9</v>
      </c>
      <c r="E581" s="15" t="s">
        <v>14</v>
      </c>
      <c r="F581" s="15" t="s">
        <v>11</v>
      </c>
      <c r="G581" s="15">
        <v>900</v>
      </c>
      <c r="H581" s="15">
        <v>1</v>
      </c>
    </row>
    <row r="582" spans="2:8" x14ac:dyDescent="0.3">
      <c r="B582" s="15">
        <v>576</v>
      </c>
      <c r="C582" s="14">
        <v>44041</v>
      </c>
      <c r="D582" s="15" t="s">
        <v>9</v>
      </c>
      <c r="E582" s="15" t="s">
        <v>12</v>
      </c>
      <c r="F582" s="15" t="s">
        <v>11</v>
      </c>
      <c r="G582" s="15">
        <v>900</v>
      </c>
      <c r="H582" s="15">
        <v>1</v>
      </c>
    </row>
    <row r="583" spans="2:8" x14ac:dyDescent="0.3">
      <c r="B583" s="15">
        <v>577</v>
      </c>
      <c r="C583" s="14">
        <v>44042</v>
      </c>
      <c r="D583" s="15" t="s">
        <v>9</v>
      </c>
      <c r="E583" s="15" t="s">
        <v>12</v>
      </c>
      <c r="F583" s="15" t="s">
        <v>11</v>
      </c>
      <c r="G583" s="15">
        <v>900</v>
      </c>
      <c r="H583" s="15">
        <v>1</v>
      </c>
    </row>
    <row r="584" spans="2:8" x14ac:dyDescent="0.3">
      <c r="B584" s="15">
        <v>578</v>
      </c>
      <c r="C584" s="14">
        <v>44043</v>
      </c>
      <c r="D584" s="15" t="s">
        <v>9</v>
      </c>
      <c r="E584" s="15" t="s">
        <v>12</v>
      </c>
      <c r="F584" s="15" t="s">
        <v>11</v>
      </c>
      <c r="G584" s="15">
        <v>900</v>
      </c>
      <c r="H584" s="15">
        <v>1</v>
      </c>
    </row>
    <row r="585" spans="2:8" x14ac:dyDescent="0.3">
      <c r="B585" s="15">
        <v>579</v>
      </c>
      <c r="C585" s="14">
        <v>44044</v>
      </c>
      <c r="D585" s="15" t="s">
        <v>9</v>
      </c>
      <c r="E585" s="15" t="s">
        <v>12</v>
      </c>
      <c r="F585" s="15" t="s">
        <v>11</v>
      </c>
      <c r="G585" s="15">
        <v>1100</v>
      </c>
      <c r="H585" s="15">
        <v>1</v>
      </c>
    </row>
    <row r="586" spans="2:8" x14ac:dyDescent="0.3">
      <c r="B586" s="15">
        <v>580</v>
      </c>
      <c r="C586" s="14">
        <v>44045</v>
      </c>
      <c r="D586" s="15" t="s">
        <v>9</v>
      </c>
      <c r="E586" s="15" t="s">
        <v>12</v>
      </c>
      <c r="F586" s="15" t="s">
        <v>11</v>
      </c>
      <c r="G586" s="15">
        <v>1100</v>
      </c>
      <c r="H586" s="15">
        <v>1</v>
      </c>
    </row>
    <row r="587" spans="2:8" x14ac:dyDescent="0.3">
      <c r="B587" s="15">
        <v>581</v>
      </c>
      <c r="C587" s="14">
        <v>44046</v>
      </c>
      <c r="D587" s="15" t="s">
        <v>9</v>
      </c>
      <c r="E587" s="15" t="s">
        <v>15</v>
      </c>
      <c r="F587" s="15" t="s">
        <v>11</v>
      </c>
      <c r="G587" s="15">
        <v>1000</v>
      </c>
      <c r="H587" s="15">
        <v>1</v>
      </c>
    </row>
    <row r="588" spans="2:8" x14ac:dyDescent="0.3">
      <c r="B588" s="15">
        <v>582</v>
      </c>
      <c r="C588" s="14">
        <v>44047</v>
      </c>
      <c r="D588" s="15" t="s">
        <v>9</v>
      </c>
      <c r="E588" s="15" t="s">
        <v>15</v>
      </c>
      <c r="F588" s="15" t="s">
        <v>11</v>
      </c>
      <c r="G588" s="15">
        <v>1000</v>
      </c>
      <c r="H588" s="15">
        <v>1</v>
      </c>
    </row>
    <row r="589" spans="2:8" x14ac:dyDescent="0.3">
      <c r="B589" s="15">
        <v>583</v>
      </c>
      <c r="C589" s="14">
        <v>44048</v>
      </c>
      <c r="D589" s="15" t="s">
        <v>9</v>
      </c>
      <c r="E589" s="15" t="s">
        <v>12</v>
      </c>
      <c r="F589" s="15" t="s">
        <v>11</v>
      </c>
      <c r="G589" s="15">
        <v>1100</v>
      </c>
      <c r="H589" s="15">
        <v>1</v>
      </c>
    </row>
    <row r="590" spans="2:8" x14ac:dyDescent="0.3">
      <c r="B590" s="15">
        <v>584</v>
      </c>
      <c r="C590" s="14">
        <v>44049</v>
      </c>
      <c r="D590" s="15" t="s">
        <v>9</v>
      </c>
      <c r="E590" s="15" t="s">
        <v>15</v>
      </c>
      <c r="F590" s="15" t="s">
        <v>11</v>
      </c>
      <c r="G590" s="15">
        <v>1000</v>
      </c>
      <c r="H590" s="15">
        <v>1</v>
      </c>
    </row>
    <row r="591" spans="2:8" x14ac:dyDescent="0.3">
      <c r="B591" s="15">
        <v>585</v>
      </c>
      <c r="C591" s="14">
        <v>44050</v>
      </c>
      <c r="D591" s="15" t="s">
        <v>9</v>
      </c>
      <c r="E591" s="15" t="s">
        <v>12</v>
      </c>
      <c r="F591" s="15" t="s">
        <v>11</v>
      </c>
      <c r="G591" s="15">
        <v>900</v>
      </c>
      <c r="H591" s="15">
        <v>1</v>
      </c>
    </row>
    <row r="592" spans="2:8" x14ac:dyDescent="0.3">
      <c r="B592" s="15">
        <v>586</v>
      </c>
      <c r="C592" s="14">
        <v>44051</v>
      </c>
      <c r="D592" s="15" t="s">
        <v>9</v>
      </c>
      <c r="E592" s="15" t="s">
        <v>12</v>
      </c>
      <c r="F592" s="15" t="s">
        <v>11</v>
      </c>
      <c r="G592" s="15">
        <v>900</v>
      </c>
      <c r="H592" s="15">
        <v>2</v>
      </c>
    </row>
    <row r="593" spans="2:8" x14ac:dyDescent="0.3">
      <c r="B593" s="15">
        <v>587</v>
      </c>
      <c r="C593" s="14">
        <v>44052</v>
      </c>
      <c r="D593" s="15" t="s">
        <v>9</v>
      </c>
      <c r="E593" s="15" t="s">
        <v>12</v>
      </c>
      <c r="F593" s="15" t="s">
        <v>11</v>
      </c>
      <c r="G593" s="15">
        <v>1100</v>
      </c>
      <c r="H593" s="15">
        <v>1</v>
      </c>
    </row>
    <row r="594" spans="2:8" x14ac:dyDescent="0.3">
      <c r="B594" s="15">
        <v>588</v>
      </c>
      <c r="C594" s="14">
        <v>44053</v>
      </c>
      <c r="D594" s="15" t="s">
        <v>9</v>
      </c>
      <c r="E594" s="15" t="s">
        <v>12</v>
      </c>
      <c r="F594" s="15" t="s">
        <v>11</v>
      </c>
      <c r="G594" s="15">
        <v>900</v>
      </c>
      <c r="H594" s="15">
        <v>1</v>
      </c>
    </row>
    <row r="595" spans="2:8" x14ac:dyDescent="0.3">
      <c r="B595" s="15">
        <v>589</v>
      </c>
      <c r="C595" s="14">
        <v>44054</v>
      </c>
      <c r="D595" s="15" t="s">
        <v>9</v>
      </c>
      <c r="E595" s="15" t="s">
        <v>12</v>
      </c>
      <c r="F595" s="15" t="s">
        <v>11</v>
      </c>
      <c r="G595" s="15">
        <v>1100</v>
      </c>
      <c r="H595" s="15">
        <v>1</v>
      </c>
    </row>
    <row r="596" spans="2:8" x14ac:dyDescent="0.3">
      <c r="B596" s="15">
        <v>590</v>
      </c>
      <c r="C596" s="14">
        <v>44055</v>
      </c>
      <c r="D596" s="15" t="s">
        <v>9</v>
      </c>
      <c r="E596" s="15" t="s">
        <v>16</v>
      </c>
      <c r="F596" s="15" t="s">
        <v>17</v>
      </c>
      <c r="G596" s="15">
        <v>800</v>
      </c>
      <c r="H596" s="15">
        <v>1</v>
      </c>
    </row>
    <row r="597" spans="2:8" x14ac:dyDescent="0.3">
      <c r="B597" s="15">
        <v>591</v>
      </c>
      <c r="C597" s="14">
        <v>44056</v>
      </c>
      <c r="D597" s="15" t="s">
        <v>9</v>
      </c>
      <c r="E597" s="15" t="s">
        <v>16</v>
      </c>
      <c r="F597" s="15" t="s">
        <v>17</v>
      </c>
      <c r="G597" s="15">
        <v>800</v>
      </c>
      <c r="H597" s="15">
        <v>2</v>
      </c>
    </row>
    <row r="598" spans="2:8" x14ac:dyDescent="0.3">
      <c r="B598" s="15">
        <v>592</v>
      </c>
      <c r="C598" s="14">
        <v>44057</v>
      </c>
      <c r="D598" s="15" t="s">
        <v>9</v>
      </c>
      <c r="E598" s="15" t="s">
        <v>14</v>
      </c>
      <c r="F598" s="15" t="s">
        <v>11</v>
      </c>
      <c r="G598" s="15">
        <v>900</v>
      </c>
      <c r="H598" s="15">
        <v>1</v>
      </c>
    </row>
    <row r="599" spans="2:8" x14ac:dyDescent="0.3">
      <c r="B599" s="15">
        <v>593</v>
      </c>
      <c r="C599" s="14">
        <v>44058</v>
      </c>
      <c r="D599" s="15" t="s">
        <v>9</v>
      </c>
      <c r="E599" s="15" t="s">
        <v>12</v>
      </c>
      <c r="F599" s="15" t="s">
        <v>11</v>
      </c>
      <c r="G599" s="15">
        <v>1100</v>
      </c>
      <c r="H599" s="15">
        <v>1</v>
      </c>
    </row>
    <row r="600" spans="2:8" x14ac:dyDescent="0.3">
      <c r="B600" s="15">
        <v>594</v>
      </c>
      <c r="C600" s="14">
        <v>44059</v>
      </c>
      <c r="D600" s="15" t="s">
        <v>9</v>
      </c>
      <c r="E600" s="15" t="s">
        <v>16</v>
      </c>
      <c r="F600" s="15" t="s">
        <v>17</v>
      </c>
      <c r="G600" s="15">
        <v>800</v>
      </c>
      <c r="H600" s="15">
        <v>1</v>
      </c>
    </row>
    <row r="601" spans="2:8" x14ac:dyDescent="0.3">
      <c r="B601" s="15">
        <v>595</v>
      </c>
      <c r="C601" s="14">
        <v>44060</v>
      </c>
      <c r="D601" s="15" t="s">
        <v>9</v>
      </c>
      <c r="E601" s="15" t="s">
        <v>15</v>
      </c>
      <c r="F601" s="15" t="s">
        <v>11</v>
      </c>
      <c r="G601" s="15">
        <v>1000</v>
      </c>
      <c r="H601" s="15">
        <v>1</v>
      </c>
    </row>
    <row r="602" spans="2:8" x14ac:dyDescent="0.3">
      <c r="B602" s="15">
        <v>596</v>
      </c>
      <c r="C602" s="14">
        <v>44061</v>
      </c>
      <c r="D602" s="15" t="s">
        <v>9</v>
      </c>
      <c r="E602" s="15" t="s">
        <v>16</v>
      </c>
      <c r="F602" s="15" t="s">
        <v>17</v>
      </c>
      <c r="G602" s="15">
        <v>800</v>
      </c>
      <c r="H602" s="15">
        <v>1</v>
      </c>
    </row>
    <row r="603" spans="2:8" x14ac:dyDescent="0.3">
      <c r="B603" s="15">
        <v>597</v>
      </c>
      <c r="C603" s="14">
        <v>44062</v>
      </c>
      <c r="D603" s="15" t="s">
        <v>9</v>
      </c>
      <c r="E603" s="15" t="s">
        <v>18</v>
      </c>
      <c r="F603" s="15" t="s">
        <v>17</v>
      </c>
      <c r="G603" s="15">
        <v>600</v>
      </c>
      <c r="H603" s="15">
        <v>1</v>
      </c>
    </row>
    <row r="604" spans="2:8" x14ac:dyDescent="0.3">
      <c r="B604" s="15">
        <v>598</v>
      </c>
      <c r="C604" s="14">
        <v>44063</v>
      </c>
      <c r="D604" s="15" t="s">
        <v>9</v>
      </c>
      <c r="E604" s="15" t="s">
        <v>12</v>
      </c>
      <c r="F604" s="15" t="s">
        <v>11</v>
      </c>
      <c r="G604" s="15">
        <v>900</v>
      </c>
      <c r="H604" s="15">
        <v>1</v>
      </c>
    </row>
    <row r="605" spans="2:8" x14ac:dyDescent="0.3">
      <c r="B605" s="15">
        <v>599</v>
      </c>
      <c r="C605" s="14">
        <v>44064</v>
      </c>
      <c r="D605" s="15" t="s">
        <v>9</v>
      </c>
      <c r="E605" s="15" t="s">
        <v>12</v>
      </c>
      <c r="F605" s="15" t="s">
        <v>11</v>
      </c>
      <c r="G605" s="15">
        <v>1100</v>
      </c>
      <c r="H605" s="15">
        <v>1</v>
      </c>
    </row>
    <row r="606" spans="2:8" x14ac:dyDescent="0.3">
      <c r="B606" s="15">
        <v>600</v>
      </c>
      <c r="C606" s="14">
        <v>44065</v>
      </c>
      <c r="D606" s="15" t="s">
        <v>9</v>
      </c>
      <c r="E606" s="15" t="s">
        <v>15</v>
      </c>
      <c r="F606" s="15" t="s">
        <v>11</v>
      </c>
      <c r="G606" s="15">
        <v>1000</v>
      </c>
      <c r="H606" s="15">
        <v>1</v>
      </c>
    </row>
    <row r="607" spans="2:8" x14ac:dyDescent="0.3">
      <c r="B607" s="15">
        <v>601</v>
      </c>
      <c r="C607" s="14">
        <v>44066</v>
      </c>
      <c r="D607" s="15" t="s">
        <v>9</v>
      </c>
      <c r="E607" s="15" t="s">
        <v>12</v>
      </c>
      <c r="F607" s="15" t="s">
        <v>11</v>
      </c>
      <c r="G607" s="15">
        <v>900</v>
      </c>
      <c r="H607" s="15">
        <v>1</v>
      </c>
    </row>
    <row r="608" spans="2:8" x14ac:dyDescent="0.3">
      <c r="B608" s="15">
        <v>602</v>
      </c>
      <c r="C608" s="14">
        <v>44067</v>
      </c>
      <c r="D608" s="15" t="s">
        <v>9</v>
      </c>
      <c r="E608" s="15" t="s">
        <v>12</v>
      </c>
      <c r="F608" s="15" t="s">
        <v>11</v>
      </c>
      <c r="G608" s="15">
        <v>1100</v>
      </c>
      <c r="H608" s="15">
        <v>2</v>
      </c>
    </row>
    <row r="609" spans="2:8" x14ac:dyDescent="0.3">
      <c r="B609" s="15">
        <v>603</v>
      </c>
      <c r="C609" s="14">
        <v>44068</v>
      </c>
      <c r="D609" s="15" t="s">
        <v>9</v>
      </c>
      <c r="E609" s="15" t="s">
        <v>18</v>
      </c>
      <c r="F609" s="15" t="s">
        <v>17</v>
      </c>
      <c r="G609" s="15">
        <v>600</v>
      </c>
      <c r="H609" s="15">
        <v>1</v>
      </c>
    </row>
    <row r="610" spans="2:8" x14ac:dyDescent="0.3">
      <c r="B610" s="15">
        <v>604</v>
      </c>
      <c r="C610" s="14">
        <v>44069</v>
      </c>
      <c r="D610" s="15" t="s">
        <v>9</v>
      </c>
      <c r="E610" s="15" t="s">
        <v>18</v>
      </c>
      <c r="F610" s="15" t="s">
        <v>17</v>
      </c>
      <c r="G610" s="15">
        <v>600</v>
      </c>
      <c r="H610" s="15">
        <v>1</v>
      </c>
    </row>
    <row r="611" spans="2:8" x14ac:dyDescent="0.3">
      <c r="B611" s="15">
        <v>605</v>
      </c>
      <c r="C611" s="14">
        <v>44070</v>
      </c>
      <c r="D611" s="15" t="s">
        <v>9</v>
      </c>
      <c r="E611" s="15" t="s">
        <v>18</v>
      </c>
      <c r="F611" s="15" t="s">
        <v>17</v>
      </c>
      <c r="G611" s="15">
        <v>600</v>
      </c>
      <c r="H611" s="15">
        <v>1</v>
      </c>
    </row>
    <row r="612" spans="2:8" x14ac:dyDescent="0.3">
      <c r="B612" s="15">
        <v>606</v>
      </c>
      <c r="C612" s="14">
        <v>44071</v>
      </c>
      <c r="D612" s="15" t="s">
        <v>9</v>
      </c>
      <c r="E612" s="15" t="s">
        <v>12</v>
      </c>
      <c r="F612" s="15" t="s">
        <v>11</v>
      </c>
      <c r="G612" s="15">
        <v>900</v>
      </c>
      <c r="H612" s="15">
        <v>1</v>
      </c>
    </row>
    <row r="613" spans="2:8" x14ac:dyDescent="0.3">
      <c r="B613" s="15">
        <v>607</v>
      </c>
      <c r="C613" s="14">
        <v>44072</v>
      </c>
      <c r="D613" s="15" t="s">
        <v>9</v>
      </c>
      <c r="E613" s="15" t="s">
        <v>18</v>
      </c>
      <c r="F613" s="15" t="s">
        <v>17</v>
      </c>
      <c r="G613" s="15">
        <v>600</v>
      </c>
      <c r="H613" s="15">
        <v>1</v>
      </c>
    </row>
    <row r="614" spans="2:8" x14ac:dyDescent="0.3">
      <c r="B614" s="15">
        <v>608</v>
      </c>
      <c r="C614" s="14">
        <v>44073</v>
      </c>
      <c r="D614" s="15" t="s">
        <v>9</v>
      </c>
      <c r="E614" s="15" t="s">
        <v>18</v>
      </c>
      <c r="F614" s="15" t="s">
        <v>17</v>
      </c>
      <c r="G614" s="15">
        <v>600</v>
      </c>
      <c r="H614" s="15">
        <v>1</v>
      </c>
    </row>
    <row r="615" spans="2:8" x14ac:dyDescent="0.3">
      <c r="B615" s="15">
        <v>609</v>
      </c>
      <c r="C615" s="14">
        <v>44074</v>
      </c>
      <c r="D615" s="15" t="s">
        <v>9</v>
      </c>
      <c r="E615" s="15" t="s">
        <v>12</v>
      </c>
      <c r="F615" s="15" t="s">
        <v>11</v>
      </c>
      <c r="G615" s="15">
        <v>1100</v>
      </c>
      <c r="H615" s="15">
        <v>1</v>
      </c>
    </row>
    <row r="616" spans="2:8" x14ac:dyDescent="0.3">
      <c r="B616" s="15">
        <v>610</v>
      </c>
      <c r="C616" s="14">
        <v>44075</v>
      </c>
      <c r="D616" s="15" t="s">
        <v>9</v>
      </c>
      <c r="E616" s="15" t="s">
        <v>14</v>
      </c>
      <c r="F616" s="15" t="s">
        <v>11</v>
      </c>
      <c r="G616" s="15">
        <v>900</v>
      </c>
      <c r="H616" s="15">
        <v>3</v>
      </c>
    </row>
    <row r="617" spans="2:8" x14ac:dyDescent="0.3">
      <c r="B617" s="15">
        <v>611</v>
      </c>
      <c r="C617" s="14">
        <v>44076</v>
      </c>
      <c r="D617" s="15" t="s">
        <v>9</v>
      </c>
      <c r="E617" s="15" t="s">
        <v>12</v>
      </c>
      <c r="F617" s="15" t="s">
        <v>11</v>
      </c>
      <c r="G617" s="15">
        <v>1100</v>
      </c>
      <c r="H617" s="15">
        <v>2</v>
      </c>
    </row>
    <row r="618" spans="2:8" x14ac:dyDescent="0.3">
      <c r="B618" s="15">
        <v>612</v>
      </c>
      <c r="C618" s="14">
        <v>44077</v>
      </c>
      <c r="D618" s="15" t="s">
        <v>9</v>
      </c>
      <c r="E618" s="15" t="s">
        <v>12</v>
      </c>
      <c r="F618" s="15" t="s">
        <v>11</v>
      </c>
      <c r="G618" s="15">
        <v>1100</v>
      </c>
      <c r="H618" s="15">
        <v>1</v>
      </c>
    </row>
    <row r="619" spans="2:8" x14ac:dyDescent="0.3">
      <c r="B619" s="15">
        <v>613</v>
      </c>
      <c r="C619" s="14">
        <v>44078</v>
      </c>
      <c r="D619" s="15" t="s">
        <v>9</v>
      </c>
      <c r="E619" s="15" t="s">
        <v>18</v>
      </c>
      <c r="F619" s="15" t="s">
        <v>17</v>
      </c>
      <c r="G619" s="15">
        <v>600</v>
      </c>
      <c r="H619" s="15">
        <v>1</v>
      </c>
    </row>
    <row r="620" spans="2:8" x14ac:dyDescent="0.3">
      <c r="B620" s="15">
        <v>614</v>
      </c>
      <c r="C620" s="14">
        <v>44079</v>
      </c>
      <c r="D620" s="15" t="s">
        <v>9</v>
      </c>
      <c r="E620" s="15" t="s">
        <v>12</v>
      </c>
      <c r="F620" s="15" t="s">
        <v>11</v>
      </c>
      <c r="G620" s="15">
        <v>900</v>
      </c>
      <c r="H620" s="15">
        <v>1</v>
      </c>
    </row>
    <row r="621" spans="2:8" x14ac:dyDescent="0.3">
      <c r="B621" s="15">
        <v>615</v>
      </c>
      <c r="C621" s="14">
        <v>44080</v>
      </c>
      <c r="D621" s="15" t="s">
        <v>9</v>
      </c>
      <c r="E621" s="15" t="s">
        <v>18</v>
      </c>
      <c r="F621" s="15" t="s">
        <v>17</v>
      </c>
      <c r="G621" s="15">
        <v>600</v>
      </c>
      <c r="H621" s="15">
        <v>1</v>
      </c>
    </row>
    <row r="622" spans="2:8" x14ac:dyDescent="0.3">
      <c r="B622" s="15">
        <v>616</v>
      </c>
      <c r="C622" s="14">
        <v>44081</v>
      </c>
      <c r="D622" s="15" t="s">
        <v>9</v>
      </c>
      <c r="E622" s="15" t="s">
        <v>18</v>
      </c>
      <c r="F622" s="15" t="s">
        <v>17</v>
      </c>
      <c r="G622" s="15">
        <v>600</v>
      </c>
      <c r="H622" s="15">
        <v>1</v>
      </c>
    </row>
    <row r="623" spans="2:8" x14ac:dyDescent="0.3">
      <c r="B623" s="15">
        <v>617</v>
      </c>
      <c r="C623" s="14">
        <v>44082</v>
      </c>
      <c r="D623" s="15" t="s">
        <v>9</v>
      </c>
      <c r="E623" s="15" t="s">
        <v>12</v>
      </c>
      <c r="F623" s="15" t="s">
        <v>11</v>
      </c>
      <c r="G623" s="15">
        <v>900</v>
      </c>
      <c r="H623" s="15">
        <v>3</v>
      </c>
    </row>
    <row r="624" spans="2:8" x14ac:dyDescent="0.3">
      <c r="B624" s="15">
        <v>618</v>
      </c>
      <c r="C624" s="14">
        <v>44083</v>
      </c>
      <c r="D624" s="15" t="s">
        <v>9</v>
      </c>
      <c r="E624" s="15" t="s">
        <v>18</v>
      </c>
      <c r="F624" s="15" t="s">
        <v>17</v>
      </c>
      <c r="G624" s="15">
        <v>600</v>
      </c>
      <c r="H624" s="15">
        <v>1</v>
      </c>
    </row>
    <row r="625" spans="2:8" x14ac:dyDescent="0.3">
      <c r="B625" s="15">
        <v>619</v>
      </c>
      <c r="C625" s="14">
        <v>44084</v>
      </c>
      <c r="D625" s="15" t="s">
        <v>9</v>
      </c>
      <c r="E625" s="15" t="s">
        <v>16</v>
      </c>
      <c r="F625" s="15" t="s">
        <v>17</v>
      </c>
      <c r="G625" s="15">
        <v>800</v>
      </c>
      <c r="H625" s="15">
        <v>1</v>
      </c>
    </row>
    <row r="626" spans="2:8" x14ac:dyDescent="0.3">
      <c r="B626" s="15">
        <v>620</v>
      </c>
      <c r="C626" s="14">
        <v>44085</v>
      </c>
      <c r="D626" s="15" t="s">
        <v>9</v>
      </c>
      <c r="E626" s="15" t="s">
        <v>18</v>
      </c>
      <c r="F626" s="15" t="s">
        <v>17</v>
      </c>
      <c r="G626" s="15">
        <v>600</v>
      </c>
      <c r="H626" s="15">
        <v>1</v>
      </c>
    </row>
    <row r="627" spans="2:8" x14ac:dyDescent="0.3">
      <c r="B627" s="15">
        <v>621</v>
      </c>
      <c r="C627" s="14">
        <v>44086</v>
      </c>
      <c r="D627" s="15" t="s">
        <v>9</v>
      </c>
      <c r="E627" s="15" t="s">
        <v>12</v>
      </c>
      <c r="F627" s="15" t="s">
        <v>11</v>
      </c>
      <c r="G627" s="15">
        <v>1100</v>
      </c>
      <c r="H627" s="15">
        <v>1</v>
      </c>
    </row>
    <row r="628" spans="2:8" x14ac:dyDescent="0.3">
      <c r="B628" s="15">
        <v>622</v>
      </c>
      <c r="C628" s="14">
        <v>44087</v>
      </c>
      <c r="D628" s="15" t="s">
        <v>9</v>
      </c>
      <c r="E628" s="15" t="s">
        <v>14</v>
      </c>
      <c r="F628" s="15" t="s">
        <v>11</v>
      </c>
      <c r="G628" s="15">
        <v>900</v>
      </c>
      <c r="H628" s="15">
        <v>1</v>
      </c>
    </row>
    <row r="629" spans="2:8" x14ac:dyDescent="0.3">
      <c r="B629" s="15">
        <v>623</v>
      </c>
      <c r="C629" s="14">
        <v>44088</v>
      </c>
      <c r="D629" s="15" t="s">
        <v>9</v>
      </c>
      <c r="E629" s="15" t="s">
        <v>12</v>
      </c>
      <c r="F629" s="15" t="s">
        <v>11</v>
      </c>
      <c r="G629" s="15">
        <v>1100</v>
      </c>
      <c r="H629" s="15">
        <v>1</v>
      </c>
    </row>
    <row r="630" spans="2:8" x14ac:dyDescent="0.3">
      <c r="B630" s="15">
        <v>624</v>
      </c>
      <c r="C630" s="14">
        <v>44089</v>
      </c>
      <c r="D630" s="15" t="s">
        <v>9</v>
      </c>
      <c r="E630" s="15" t="s">
        <v>12</v>
      </c>
      <c r="F630" s="15" t="s">
        <v>11</v>
      </c>
      <c r="G630" s="15">
        <v>1100</v>
      </c>
      <c r="H630" s="15">
        <v>1</v>
      </c>
    </row>
    <row r="631" spans="2:8" x14ac:dyDescent="0.3">
      <c r="B631" s="15">
        <v>625</v>
      </c>
      <c r="C631" s="14">
        <v>44090</v>
      </c>
      <c r="D631" s="15" t="s">
        <v>9</v>
      </c>
      <c r="E631" s="15" t="s">
        <v>12</v>
      </c>
      <c r="F631" s="15" t="s">
        <v>11</v>
      </c>
      <c r="G631" s="15">
        <v>1100</v>
      </c>
      <c r="H631" s="15">
        <v>1</v>
      </c>
    </row>
    <row r="632" spans="2:8" x14ac:dyDescent="0.3">
      <c r="B632" s="15">
        <v>626</v>
      </c>
      <c r="C632" s="14">
        <v>44091</v>
      </c>
      <c r="D632" s="15" t="s">
        <v>9</v>
      </c>
      <c r="E632" s="15" t="s">
        <v>15</v>
      </c>
      <c r="F632" s="15" t="s">
        <v>11</v>
      </c>
      <c r="G632" s="15">
        <v>1000</v>
      </c>
      <c r="H632" s="15">
        <v>1</v>
      </c>
    </row>
    <row r="633" spans="2:8" x14ac:dyDescent="0.3">
      <c r="B633" s="15">
        <v>627</v>
      </c>
      <c r="C633" s="14">
        <v>44092</v>
      </c>
      <c r="D633" s="15" t="s">
        <v>9</v>
      </c>
      <c r="E633" s="15" t="s">
        <v>18</v>
      </c>
      <c r="F633" s="15" t="s">
        <v>17</v>
      </c>
      <c r="G633" s="15">
        <v>600</v>
      </c>
      <c r="H633" s="15">
        <v>1</v>
      </c>
    </row>
    <row r="634" spans="2:8" x14ac:dyDescent="0.3">
      <c r="B634" s="15">
        <v>628</v>
      </c>
      <c r="C634" s="14">
        <v>44093</v>
      </c>
      <c r="D634" s="15" t="s">
        <v>9</v>
      </c>
      <c r="E634" s="15" t="s">
        <v>16</v>
      </c>
      <c r="F634" s="15" t="s">
        <v>17</v>
      </c>
      <c r="G634" s="15">
        <v>800</v>
      </c>
      <c r="H634" s="15">
        <v>1</v>
      </c>
    </row>
    <row r="635" spans="2:8" x14ac:dyDescent="0.3">
      <c r="B635" s="15">
        <v>629</v>
      </c>
      <c r="C635" s="14">
        <v>44094</v>
      </c>
      <c r="D635" s="15" t="s">
        <v>9</v>
      </c>
      <c r="E635" s="15" t="s">
        <v>12</v>
      </c>
      <c r="F635" s="15" t="s">
        <v>11</v>
      </c>
      <c r="G635" s="15">
        <v>1100</v>
      </c>
      <c r="H635" s="15">
        <v>1</v>
      </c>
    </row>
    <row r="636" spans="2:8" x14ac:dyDescent="0.3">
      <c r="B636" s="15">
        <v>630</v>
      </c>
      <c r="C636" s="14">
        <v>44095</v>
      </c>
      <c r="D636" s="15" t="s">
        <v>9</v>
      </c>
      <c r="E636" s="15" t="s">
        <v>18</v>
      </c>
      <c r="F636" s="15" t="s">
        <v>17</v>
      </c>
      <c r="G636" s="15">
        <v>600</v>
      </c>
      <c r="H636" s="15">
        <v>1</v>
      </c>
    </row>
    <row r="637" spans="2:8" x14ac:dyDescent="0.3">
      <c r="B637" s="15">
        <v>631</v>
      </c>
      <c r="C637" s="14">
        <v>44096</v>
      </c>
      <c r="D637" s="15" t="s">
        <v>9</v>
      </c>
      <c r="E637" s="15" t="s">
        <v>19</v>
      </c>
      <c r="F637" s="15" t="s">
        <v>20</v>
      </c>
      <c r="G637" s="15">
        <v>850</v>
      </c>
      <c r="H637" s="15">
        <v>1</v>
      </c>
    </row>
    <row r="638" spans="2:8" x14ac:dyDescent="0.3">
      <c r="B638" s="15">
        <v>632</v>
      </c>
      <c r="C638" s="14">
        <v>44097</v>
      </c>
      <c r="D638" s="15" t="s">
        <v>9</v>
      </c>
      <c r="E638" s="15" t="s">
        <v>14</v>
      </c>
      <c r="F638" s="15" t="s">
        <v>11</v>
      </c>
      <c r="G638" s="15">
        <v>900</v>
      </c>
      <c r="H638" s="15">
        <v>1</v>
      </c>
    </row>
    <row r="639" spans="2:8" x14ac:dyDescent="0.3">
      <c r="B639" s="15">
        <v>633</v>
      </c>
      <c r="C639" s="14">
        <v>44098</v>
      </c>
      <c r="D639" s="15" t="s">
        <v>9</v>
      </c>
      <c r="E639" s="15" t="s">
        <v>15</v>
      </c>
      <c r="F639" s="15" t="s">
        <v>11</v>
      </c>
      <c r="G639" s="15">
        <v>1000</v>
      </c>
      <c r="H639" s="15">
        <v>1</v>
      </c>
    </row>
    <row r="640" spans="2:8" x14ac:dyDescent="0.3">
      <c r="B640" s="15">
        <v>634</v>
      </c>
      <c r="C640" s="14">
        <v>44099</v>
      </c>
      <c r="D640" s="15" t="s">
        <v>9</v>
      </c>
      <c r="E640" s="15" t="s">
        <v>19</v>
      </c>
      <c r="F640" s="15" t="s">
        <v>20</v>
      </c>
      <c r="G640" s="15">
        <v>850</v>
      </c>
      <c r="H640" s="15">
        <v>1</v>
      </c>
    </row>
    <row r="641" spans="2:8" x14ac:dyDescent="0.3">
      <c r="B641" s="15">
        <v>635</v>
      </c>
      <c r="C641" s="14">
        <v>44100</v>
      </c>
      <c r="D641" s="15" t="s">
        <v>9</v>
      </c>
      <c r="E641" s="15" t="s">
        <v>19</v>
      </c>
      <c r="F641" s="15" t="s">
        <v>20</v>
      </c>
      <c r="G641" s="15">
        <v>850</v>
      </c>
      <c r="H641" s="15">
        <v>1</v>
      </c>
    </row>
    <row r="642" spans="2:8" x14ac:dyDescent="0.3">
      <c r="B642" s="15">
        <v>636</v>
      </c>
      <c r="C642" s="14">
        <v>44101</v>
      </c>
      <c r="D642" s="15" t="s">
        <v>9</v>
      </c>
      <c r="E642" s="15" t="s">
        <v>15</v>
      </c>
      <c r="F642" s="15" t="s">
        <v>11</v>
      </c>
      <c r="G642" s="15">
        <v>1000</v>
      </c>
      <c r="H642" s="15">
        <v>1</v>
      </c>
    </row>
    <row r="643" spans="2:8" x14ac:dyDescent="0.3">
      <c r="B643" s="15">
        <v>637</v>
      </c>
      <c r="C643" s="14">
        <v>44102</v>
      </c>
      <c r="D643" s="15" t="s">
        <v>9</v>
      </c>
      <c r="E643" s="15" t="s">
        <v>16</v>
      </c>
      <c r="F643" s="15" t="s">
        <v>17</v>
      </c>
      <c r="G643" s="15">
        <v>800</v>
      </c>
      <c r="H643" s="15">
        <v>1</v>
      </c>
    </row>
    <row r="644" spans="2:8" x14ac:dyDescent="0.3">
      <c r="B644" s="15">
        <v>638</v>
      </c>
      <c r="C644" s="14">
        <v>44103</v>
      </c>
      <c r="D644" s="15" t="s">
        <v>9</v>
      </c>
      <c r="E644" s="15" t="s">
        <v>12</v>
      </c>
      <c r="F644" s="15" t="s">
        <v>11</v>
      </c>
      <c r="G644" s="15">
        <v>1100</v>
      </c>
      <c r="H644" s="15">
        <v>1</v>
      </c>
    </row>
    <row r="645" spans="2:8" x14ac:dyDescent="0.3">
      <c r="B645" s="15">
        <v>639</v>
      </c>
      <c r="C645" s="14">
        <v>44104</v>
      </c>
      <c r="D645" s="15" t="s">
        <v>9</v>
      </c>
      <c r="E645" s="15" t="s">
        <v>12</v>
      </c>
      <c r="F645" s="15" t="s">
        <v>11</v>
      </c>
      <c r="G645" s="15">
        <v>1100</v>
      </c>
      <c r="H645" s="15">
        <v>1</v>
      </c>
    </row>
    <row r="646" spans="2:8" x14ac:dyDescent="0.3">
      <c r="B646" s="15">
        <v>640</v>
      </c>
      <c r="C646" s="14">
        <v>44105</v>
      </c>
      <c r="D646" s="15" t="s">
        <v>9</v>
      </c>
      <c r="E646" s="15" t="s">
        <v>12</v>
      </c>
      <c r="F646" s="15" t="s">
        <v>11</v>
      </c>
      <c r="G646" s="15">
        <v>1100</v>
      </c>
      <c r="H646" s="15">
        <v>1</v>
      </c>
    </row>
    <row r="647" spans="2:8" x14ac:dyDescent="0.3">
      <c r="B647" s="15">
        <v>641</v>
      </c>
      <c r="C647" s="14">
        <v>44106</v>
      </c>
      <c r="D647" s="15" t="s">
        <v>9</v>
      </c>
      <c r="E647" s="15" t="s">
        <v>12</v>
      </c>
      <c r="F647" s="15" t="s">
        <v>11</v>
      </c>
      <c r="G647" s="15">
        <v>1100</v>
      </c>
      <c r="H647" s="15">
        <v>1</v>
      </c>
    </row>
    <row r="648" spans="2:8" x14ac:dyDescent="0.3">
      <c r="B648" s="15">
        <v>642</v>
      </c>
      <c r="C648" s="14">
        <v>44107</v>
      </c>
      <c r="D648" s="15" t="s">
        <v>9</v>
      </c>
      <c r="E648" s="15" t="s">
        <v>12</v>
      </c>
      <c r="F648" s="15" t="s">
        <v>11</v>
      </c>
      <c r="G648" s="15">
        <v>1100</v>
      </c>
      <c r="H648" s="15">
        <v>1</v>
      </c>
    </row>
    <row r="649" spans="2:8" x14ac:dyDescent="0.3">
      <c r="B649" s="15">
        <v>643</v>
      </c>
      <c r="C649" s="14">
        <v>44108</v>
      </c>
      <c r="D649" s="15" t="s">
        <v>9</v>
      </c>
      <c r="E649" s="15" t="s">
        <v>12</v>
      </c>
      <c r="F649" s="15" t="s">
        <v>11</v>
      </c>
      <c r="G649" s="15">
        <v>1100</v>
      </c>
      <c r="H649" s="15">
        <v>1</v>
      </c>
    </row>
    <row r="650" spans="2:8" x14ac:dyDescent="0.3">
      <c r="B650" s="15">
        <v>644</v>
      </c>
      <c r="C650" s="14">
        <v>44109</v>
      </c>
      <c r="D650" s="15" t="s">
        <v>9</v>
      </c>
      <c r="E650" s="15" t="s">
        <v>12</v>
      </c>
      <c r="F650" s="15" t="s">
        <v>11</v>
      </c>
      <c r="G650" s="15">
        <v>1100</v>
      </c>
      <c r="H650" s="15">
        <v>2</v>
      </c>
    </row>
    <row r="651" spans="2:8" x14ac:dyDescent="0.3">
      <c r="B651" s="15">
        <v>645</v>
      </c>
      <c r="C651" s="14">
        <v>44110</v>
      </c>
      <c r="D651" s="15" t="s">
        <v>9</v>
      </c>
      <c r="E651" s="15" t="s">
        <v>12</v>
      </c>
      <c r="F651" s="15" t="s">
        <v>11</v>
      </c>
      <c r="G651" s="15">
        <v>1100</v>
      </c>
      <c r="H651" s="15">
        <v>1</v>
      </c>
    </row>
    <row r="652" spans="2:8" x14ac:dyDescent="0.3">
      <c r="B652" s="15">
        <v>646</v>
      </c>
      <c r="C652" s="14">
        <v>44111</v>
      </c>
      <c r="D652" s="15" t="s">
        <v>9</v>
      </c>
      <c r="E652" s="15" t="s">
        <v>12</v>
      </c>
      <c r="F652" s="15" t="s">
        <v>11</v>
      </c>
      <c r="G652" s="15">
        <v>1100</v>
      </c>
      <c r="H652" s="15">
        <v>1</v>
      </c>
    </row>
    <row r="653" spans="2:8" x14ac:dyDescent="0.3">
      <c r="B653" s="15">
        <v>647</v>
      </c>
      <c r="C653" s="14">
        <v>44112</v>
      </c>
      <c r="D653" s="15" t="s">
        <v>9</v>
      </c>
      <c r="E653" s="15" t="s">
        <v>12</v>
      </c>
      <c r="F653" s="15" t="s">
        <v>11</v>
      </c>
      <c r="G653" s="15">
        <v>900</v>
      </c>
      <c r="H653" s="15">
        <v>1</v>
      </c>
    </row>
    <row r="654" spans="2:8" x14ac:dyDescent="0.3">
      <c r="B654" s="15">
        <v>648</v>
      </c>
      <c r="C654" s="14">
        <v>44113</v>
      </c>
      <c r="D654" s="15" t="s">
        <v>9</v>
      </c>
      <c r="E654" s="15" t="s">
        <v>12</v>
      </c>
      <c r="F654" s="15" t="s">
        <v>11</v>
      </c>
      <c r="G654" s="15">
        <v>900</v>
      </c>
      <c r="H654" s="15">
        <v>1</v>
      </c>
    </row>
    <row r="655" spans="2:8" x14ac:dyDescent="0.3">
      <c r="B655" s="15">
        <v>649</v>
      </c>
      <c r="C655" s="14">
        <v>44114</v>
      </c>
      <c r="D655" s="15" t="s">
        <v>9</v>
      </c>
      <c r="E655" s="15" t="s">
        <v>12</v>
      </c>
      <c r="F655" s="15" t="s">
        <v>11</v>
      </c>
      <c r="G655" s="15">
        <v>900</v>
      </c>
      <c r="H655" s="15">
        <v>1</v>
      </c>
    </row>
    <row r="656" spans="2:8" x14ac:dyDescent="0.3">
      <c r="B656" s="15">
        <v>650</v>
      </c>
      <c r="C656" s="14">
        <v>44115</v>
      </c>
      <c r="D656" s="15" t="s">
        <v>9</v>
      </c>
      <c r="E656" s="15" t="s">
        <v>12</v>
      </c>
      <c r="F656" s="15" t="s">
        <v>11</v>
      </c>
      <c r="G656" s="15">
        <v>900</v>
      </c>
      <c r="H656" s="15">
        <v>2</v>
      </c>
    </row>
    <row r="657" spans="2:8" x14ac:dyDescent="0.3">
      <c r="B657" s="15">
        <v>651</v>
      </c>
      <c r="C657" s="14">
        <v>44116</v>
      </c>
      <c r="D657" s="15" t="s">
        <v>9</v>
      </c>
      <c r="E657" s="15" t="s">
        <v>12</v>
      </c>
      <c r="F657" s="15" t="s">
        <v>11</v>
      </c>
      <c r="G657" s="15">
        <v>900</v>
      </c>
      <c r="H657" s="15">
        <v>1</v>
      </c>
    </row>
    <row r="658" spans="2:8" x14ac:dyDescent="0.3">
      <c r="B658" s="15">
        <v>652</v>
      </c>
      <c r="C658" s="14">
        <v>44117</v>
      </c>
      <c r="D658" s="15" t="s">
        <v>9</v>
      </c>
      <c r="E658" s="15" t="s">
        <v>12</v>
      </c>
      <c r="F658" s="15" t="s">
        <v>11</v>
      </c>
      <c r="G658" s="15">
        <v>900</v>
      </c>
      <c r="H658" s="15">
        <v>1</v>
      </c>
    </row>
    <row r="659" spans="2:8" x14ac:dyDescent="0.3">
      <c r="B659" s="15">
        <v>653</v>
      </c>
      <c r="C659" s="14">
        <v>44118</v>
      </c>
      <c r="D659" s="15" t="s">
        <v>9</v>
      </c>
      <c r="E659" s="15" t="s">
        <v>12</v>
      </c>
      <c r="F659" s="15" t="s">
        <v>11</v>
      </c>
      <c r="G659" s="15">
        <v>1100</v>
      </c>
      <c r="H659" s="15">
        <v>1</v>
      </c>
    </row>
    <row r="660" spans="2:8" x14ac:dyDescent="0.3">
      <c r="B660" s="15">
        <v>654</v>
      </c>
      <c r="C660" s="14">
        <v>44119</v>
      </c>
      <c r="D660" s="15" t="s">
        <v>9</v>
      </c>
      <c r="E660" s="15" t="s">
        <v>12</v>
      </c>
      <c r="F660" s="15" t="s">
        <v>11</v>
      </c>
      <c r="G660" s="15">
        <v>900</v>
      </c>
      <c r="H660" s="15">
        <v>1</v>
      </c>
    </row>
    <row r="661" spans="2:8" x14ac:dyDescent="0.3">
      <c r="B661" s="15">
        <v>655</v>
      </c>
      <c r="C661" s="14">
        <v>44120</v>
      </c>
      <c r="D661" s="15" t="s">
        <v>9</v>
      </c>
      <c r="E661" s="15" t="s">
        <v>12</v>
      </c>
      <c r="F661" s="15" t="s">
        <v>11</v>
      </c>
      <c r="G661" s="15">
        <v>1100</v>
      </c>
      <c r="H661" s="15">
        <v>2</v>
      </c>
    </row>
    <row r="662" spans="2:8" x14ac:dyDescent="0.3">
      <c r="B662" s="15">
        <v>656</v>
      </c>
      <c r="C662" s="14">
        <v>44121</v>
      </c>
      <c r="D662" s="15" t="s">
        <v>9</v>
      </c>
      <c r="E662" s="15" t="s">
        <v>12</v>
      </c>
      <c r="F662" s="15" t="s">
        <v>11</v>
      </c>
      <c r="G662" s="15">
        <v>1100</v>
      </c>
      <c r="H662" s="15">
        <v>1</v>
      </c>
    </row>
    <row r="663" spans="2:8" x14ac:dyDescent="0.3">
      <c r="B663" s="15">
        <v>657</v>
      </c>
      <c r="C663" s="14">
        <v>44122</v>
      </c>
      <c r="D663" s="15" t="s">
        <v>9</v>
      </c>
      <c r="E663" s="15" t="s">
        <v>12</v>
      </c>
      <c r="F663" s="15" t="s">
        <v>11</v>
      </c>
      <c r="G663" s="15">
        <v>900</v>
      </c>
      <c r="H663" s="15">
        <v>1</v>
      </c>
    </row>
    <row r="664" spans="2:8" x14ac:dyDescent="0.3">
      <c r="B664" s="15">
        <v>658</v>
      </c>
      <c r="C664" s="14">
        <v>44123</v>
      </c>
      <c r="D664" s="15" t="s">
        <v>9</v>
      </c>
      <c r="E664" s="15" t="s">
        <v>12</v>
      </c>
      <c r="F664" s="15" t="s">
        <v>11</v>
      </c>
      <c r="G664" s="15">
        <v>900</v>
      </c>
      <c r="H664" s="15">
        <v>1</v>
      </c>
    </row>
    <row r="665" spans="2:8" x14ac:dyDescent="0.3">
      <c r="B665" s="15">
        <v>659</v>
      </c>
      <c r="C665" s="14">
        <v>44124</v>
      </c>
      <c r="D665" s="15" t="s">
        <v>9</v>
      </c>
      <c r="E665" s="15" t="s">
        <v>14</v>
      </c>
      <c r="F665" s="15" t="s">
        <v>11</v>
      </c>
      <c r="G665" s="15">
        <v>900</v>
      </c>
      <c r="H665" s="15">
        <v>1</v>
      </c>
    </row>
    <row r="666" spans="2:8" x14ac:dyDescent="0.3">
      <c r="B666" s="15">
        <v>660</v>
      </c>
      <c r="C666" s="14">
        <v>44125</v>
      </c>
      <c r="D666" s="15" t="s">
        <v>9</v>
      </c>
      <c r="E666" s="15" t="s">
        <v>12</v>
      </c>
      <c r="F666" s="15" t="s">
        <v>11</v>
      </c>
      <c r="G666" s="15">
        <v>1100</v>
      </c>
      <c r="H666" s="15">
        <v>1</v>
      </c>
    </row>
    <row r="667" spans="2:8" x14ac:dyDescent="0.3">
      <c r="B667" s="15">
        <v>661</v>
      </c>
      <c r="C667" s="14">
        <v>44126</v>
      </c>
      <c r="D667" s="15" t="s">
        <v>9</v>
      </c>
      <c r="E667" s="15" t="s">
        <v>12</v>
      </c>
      <c r="F667" s="15" t="s">
        <v>11</v>
      </c>
      <c r="G667" s="15">
        <v>1100</v>
      </c>
      <c r="H667" s="15">
        <v>1</v>
      </c>
    </row>
    <row r="668" spans="2:8" x14ac:dyDescent="0.3">
      <c r="B668" s="15">
        <v>662</v>
      </c>
      <c r="C668" s="14">
        <v>44127</v>
      </c>
      <c r="D668" s="15" t="s">
        <v>9</v>
      </c>
      <c r="E668" s="15" t="s">
        <v>14</v>
      </c>
      <c r="F668" s="15" t="s">
        <v>11</v>
      </c>
      <c r="G668" s="15">
        <v>900</v>
      </c>
      <c r="H668" s="15">
        <v>1</v>
      </c>
    </row>
    <row r="669" spans="2:8" x14ac:dyDescent="0.3">
      <c r="B669" s="15">
        <v>663</v>
      </c>
      <c r="C669" s="14">
        <v>44128</v>
      </c>
      <c r="D669" s="15" t="s">
        <v>9</v>
      </c>
      <c r="E669" s="15" t="s">
        <v>12</v>
      </c>
      <c r="F669" s="15" t="s">
        <v>11</v>
      </c>
      <c r="G669" s="15">
        <v>900</v>
      </c>
      <c r="H669" s="15">
        <v>1</v>
      </c>
    </row>
    <row r="670" spans="2:8" x14ac:dyDescent="0.3">
      <c r="B670" s="15">
        <v>664</v>
      </c>
      <c r="C670" s="14">
        <v>44129</v>
      </c>
      <c r="D670" s="15" t="s">
        <v>9</v>
      </c>
      <c r="E670" s="15" t="s">
        <v>14</v>
      </c>
      <c r="F670" s="15" t="s">
        <v>11</v>
      </c>
      <c r="G670" s="15">
        <v>900</v>
      </c>
      <c r="H670" s="15">
        <v>1</v>
      </c>
    </row>
    <row r="671" spans="2:8" x14ac:dyDescent="0.3">
      <c r="B671" s="15">
        <v>665</v>
      </c>
      <c r="C671" s="14">
        <v>44130</v>
      </c>
      <c r="D671" s="15" t="s">
        <v>9</v>
      </c>
      <c r="E671" s="15" t="s">
        <v>12</v>
      </c>
      <c r="F671" s="15" t="s">
        <v>11</v>
      </c>
      <c r="G671" s="15">
        <v>1100</v>
      </c>
      <c r="H671" s="15">
        <v>1</v>
      </c>
    </row>
    <row r="672" spans="2:8" x14ac:dyDescent="0.3">
      <c r="B672" s="15">
        <v>666</v>
      </c>
      <c r="C672" s="14">
        <v>44131</v>
      </c>
      <c r="D672" s="15" t="s">
        <v>9</v>
      </c>
      <c r="E672" s="15" t="s">
        <v>12</v>
      </c>
      <c r="F672" s="15" t="s">
        <v>11</v>
      </c>
      <c r="G672" s="15">
        <v>1100</v>
      </c>
      <c r="H672" s="15">
        <v>1</v>
      </c>
    </row>
    <row r="673" spans="2:8" x14ac:dyDescent="0.3">
      <c r="B673" s="15">
        <v>667</v>
      </c>
      <c r="C673" s="14">
        <v>44132</v>
      </c>
      <c r="D673" s="15" t="s">
        <v>9</v>
      </c>
      <c r="E673" s="15" t="s">
        <v>14</v>
      </c>
      <c r="F673" s="15" t="s">
        <v>11</v>
      </c>
      <c r="G673" s="15">
        <v>900</v>
      </c>
      <c r="H673" s="15">
        <v>1</v>
      </c>
    </row>
    <row r="674" spans="2:8" x14ac:dyDescent="0.3">
      <c r="B674" s="15">
        <v>668</v>
      </c>
      <c r="C674" s="14">
        <v>44133</v>
      </c>
      <c r="D674" s="15" t="s">
        <v>9</v>
      </c>
      <c r="E674" s="15" t="s">
        <v>14</v>
      </c>
      <c r="F674" s="15" t="s">
        <v>11</v>
      </c>
      <c r="G674" s="15">
        <v>900</v>
      </c>
      <c r="H674" s="15">
        <v>1</v>
      </c>
    </row>
    <row r="675" spans="2:8" x14ac:dyDescent="0.3">
      <c r="B675" s="15">
        <v>669</v>
      </c>
      <c r="C675" s="14">
        <v>44134</v>
      </c>
      <c r="D675" s="15" t="s">
        <v>9</v>
      </c>
      <c r="E675" s="15" t="s">
        <v>14</v>
      </c>
      <c r="F675" s="15" t="s">
        <v>11</v>
      </c>
      <c r="G675" s="15">
        <v>900</v>
      </c>
      <c r="H675" s="15">
        <v>1</v>
      </c>
    </row>
    <row r="676" spans="2:8" x14ac:dyDescent="0.3">
      <c r="B676" s="15">
        <v>670</v>
      </c>
      <c r="C676" s="14">
        <v>44135</v>
      </c>
      <c r="D676" s="15" t="s">
        <v>9</v>
      </c>
      <c r="E676" s="15" t="s">
        <v>14</v>
      </c>
      <c r="F676" s="15" t="s">
        <v>11</v>
      </c>
      <c r="G676" s="15">
        <v>900</v>
      </c>
      <c r="H676" s="15">
        <v>1</v>
      </c>
    </row>
    <row r="677" spans="2:8" x14ac:dyDescent="0.3">
      <c r="B677" s="15">
        <v>671</v>
      </c>
      <c r="C677" s="14">
        <v>44136</v>
      </c>
      <c r="D677" s="15" t="s">
        <v>9</v>
      </c>
      <c r="E677" s="15" t="s">
        <v>14</v>
      </c>
      <c r="F677" s="15" t="s">
        <v>11</v>
      </c>
      <c r="G677" s="15">
        <v>900</v>
      </c>
      <c r="H677" s="15">
        <v>1</v>
      </c>
    </row>
    <row r="678" spans="2:8" x14ac:dyDescent="0.3">
      <c r="B678" s="15">
        <v>672</v>
      </c>
      <c r="C678" s="14">
        <v>44137</v>
      </c>
      <c r="D678" s="15" t="s">
        <v>9</v>
      </c>
      <c r="E678" s="15" t="s">
        <v>12</v>
      </c>
      <c r="F678" s="15" t="s">
        <v>11</v>
      </c>
      <c r="G678" s="15">
        <v>900</v>
      </c>
      <c r="H678" s="15">
        <v>1</v>
      </c>
    </row>
    <row r="679" spans="2:8" x14ac:dyDescent="0.3">
      <c r="B679" s="15">
        <v>673</v>
      </c>
      <c r="C679" s="14">
        <v>44138</v>
      </c>
      <c r="D679" s="15" t="s">
        <v>9</v>
      </c>
      <c r="E679" s="15" t="s">
        <v>12</v>
      </c>
      <c r="F679" s="15" t="s">
        <v>11</v>
      </c>
      <c r="G679" s="15">
        <v>900</v>
      </c>
      <c r="H679" s="15">
        <v>1</v>
      </c>
    </row>
    <row r="680" spans="2:8" x14ac:dyDescent="0.3">
      <c r="B680" s="15">
        <v>674</v>
      </c>
      <c r="C680" s="14">
        <v>44139</v>
      </c>
      <c r="D680" s="15" t="s">
        <v>9</v>
      </c>
      <c r="E680" s="15" t="s">
        <v>12</v>
      </c>
      <c r="F680" s="15" t="s">
        <v>11</v>
      </c>
      <c r="G680" s="15">
        <v>900</v>
      </c>
      <c r="H680" s="15">
        <v>1</v>
      </c>
    </row>
    <row r="681" spans="2:8" x14ac:dyDescent="0.3">
      <c r="B681" s="15">
        <v>675</v>
      </c>
      <c r="C681" s="14">
        <v>44140</v>
      </c>
      <c r="D681" s="15" t="s">
        <v>9</v>
      </c>
      <c r="E681" s="15" t="s">
        <v>12</v>
      </c>
      <c r="F681" s="15" t="s">
        <v>11</v>
      </c>
      <c r="G681" s="15">
        <v>1100</v>
      </c>
      <c r="H681" s="15">
        <v>1</v>
      </c>
    </row>
    <row r="682" spans="2:8" x14ac:dyDescent="0.3">
      <c r="B682" s="15">
        <v>676</v>
      </c>
      <c r="C682" s="14">
        <v>44141</v>
      </c>
      <c r="D682" s="15" t="s">
        <v>9</v>
      </c>
      <c r="E682" s="15" t="s">
        <v>12</v>
      </c>
      <c r="F682" s="15" t="s">
        <v>11</v>
      </c>
      <c r="G682" s="15">
        <v>1100</v>
      </c>
      <c r="H682" s="15">
        <v>1</v>
      </c>
    </row>
    <row r="683" spans="2:8" x14ac:dyDescent="0.3">
      <c r="B683" s="15">
        <v>677</v>
      </c>
      <c r="C683" s="14">
        <v>44142</v>
      </c>
      <c r="D683" s="15" t="s">
        <v>9</v>
      </c>
      <c r="E683" s="15" t="s">
        <v>15</v>
      </c>
      <c r="F683" s="15" t="s">
        <v>11</v>
      </c>
      <c r="G683" s="15">
        <v>1000</v>
      </c>
      <c r="H683" s="15">
        <v>1</v>
      </c>
    </row>
    <row r="684" spans="2:8" x14ac:dyDescent="0.3">
      <c r="B684" s="15">
        <v>678</v>
      </c>
      <c r="C684" s="14">
        <v>44143</v>
      </c>
      <c r="D684" s="15" t="s">
        <v>9</v>
      </c>
      <c r="E684" s="15" t="s">
        <v>15</v>
      </c>
      <c r="F684" s="15" t="s">
        <v>11</v>
      </c>
      <c r="G684" s="15">
        <v>1000</v>
      </c>
      <c r="H684" s="15">
        <v>1</v>
      </c>
    </row>
    <row r="685" spans="2:8" x14ac:dyDescent="0.3">
      <c r="B685" s="15">
        <v>679</v>
      </c>
      <c r="C685" s="14">
        <v>44144</v>
      </c>
      <c r="D685" s="15" t="s">
        <v>9</v>
      </c>
      <c r="E685" s="15" t="s">
        <v>12</v>
      </c>
      <c r="F685" s="15" t="s">
        <v>11</v>
      </c>
      <c r="G685" s="15">
        <v>1100</v>
      </c>
      <c r="H685" s="15">
        <v>1</v>
      </c>
    </row>
    <row r="686" spans="2:8" x14ac:dyDescent="0.3">
      <c r="B686" s="15">
        <v>680</v>
      </c>
      <c r="C686" s="14">
        <v>44145</v>
      </c>
      <c r="D686" s="15" t="s">
        <v>9</v>
      </c>
      <c r="E686" s="15" t="s">
        <v>15</v>
      </c>
      <c r="F686" s="15" t="s">
        <v>11</v>
      </c>
      <c r="G686" s="15">
        <v>1000</v>
      </c>
      <c r="H686" s="15">
        <v>1</v>
      </c>
    </row>
    <row r="687" spans="2:8" x14ac:dyDescent="0.3">
      <c r="B687" s="15">
        <v>681</v>
      </c>
      <c r="C687" s="14">
        <v>44146</v>
      </c>
      <c r="D687" s="15" t="s">
        <v>9</v>
      </c>
      <c r="E687" s="15" t="s">
        <v>12</v>
      </c>
      <c r="F687" s="15" t="s">
        <v>11</v>
      </c>
      <c r="G687" s="15">
        <v>900</v>
      </c>
      <c r="H687" s="15">
        <v>1</v>
      </c>
    </row>
    <row r="688" spans="2:8" x14ac:dyDescent="0.3">
      <c r="B688" s="15">
        <v>682</v>
      </c>
      <c r="C688" s="14">
        <v>44147</v>
      </c>
      <c r="D688" s="15" t="s">
        <v>9</v>
      </c>
      <c r="E688" s="15" t="s">
        <v>12</v>
      </c>
      <c r="F688" s="15" t="s">
        <v>11</v>
      </c>
      <c r="G688" s="15">
        <v>900</v>
      </c>
      <c r="H688" s="15">
        <v>2</v>
      </c>
    </row>
    <row r="689" spans="2:8" x14ac:dyDescent="0.3">
      <c r="B689" s="15">
        <v>683</v>
      </c>
      <c r="C689" s="14">
        <v>44148</v>
      </c>
      <c r="D689" s="15" t="s">
        <v>9</v>
      </c>
      <c r="E689" s="15" t="s">
        <v>12</v>
      </c>
      <c r="F689" s="15" t="s">
        <v>11</v>
      </c>
      <c r="G689" s="15">
        <v>1100</v>
      </c>
      <c r="H689" s="15">
        <v>1</v>
      </c>
    </row>
    <row r="690" spans="2:8" x14ac:dyDescent="0.3">
      <c r="B690" s="15">
        <v>684</v>
      </c>
      <c r="C690" s="14">
        <v>44149</v>
      </c>
      <c r="D690" s="15" t="s">
        <v>9</v>
      </c>
      <c r="E690" s="15" t="s">
        <v>12</v>
      </c>
      <c r="F690" s="15" t="s">
        <v>11</v>
      </c>
      <c r="G690" s="15">
        <v>900</v>
      </c>
      <c r="H690" s="15">
        <v>1</v>
      </c>
    </row>
    <row r="691" spans="2:8" x14ac:dyDescent="0.3">
      <c r="B691" s="15">
        <v>685</v>
      </c>
      <c r="C691" s="14">
        <v>44150</v>
      </c>
      <c r="D691" s="15" t="s">
        <v>9</v>
      </c>
      <c r="E691" s="15" t="s">
        <v>12</v>
      </c>
      <c r="F691" s="15" t="s">
        <v>11</v>
      </c>
      <c r="G691" s="15">
        <v>1100</v>
      </c>
      <c r="H691" s="15">
        <v>1</v>
      </c>
    </row>
    <row r="692" spans="2:8" x14ac:dyDescent="0.3">
      <c r="B692" s="15">
        <v>686</v>
      </c>
      <c r="C692" s="14">
        <v>44151</v>
      </c>
      <c r="D692" s="15" t="s">
        <v>9</v>
      </c>
      <c r="E692" s="15" t="s">
        <v>16</v>
      </c>
      <c r="F692" s="15" t="s">
        <v>17</v>
      </c>
      <c r="G692" s="15">
        <v>800</v>
      </c>
      <c r="H692" s="15">
        <v>1</v>
      </c>
    </row>
    <row r="693" spans="2:8" x14ac:dyDescent="0.3">
      <c r="B693" s="15">
        <v>687</v>
      </c>
      <c r="C693" s="14">
        <v>44152</v>
      </c>
      <c r="D693" s="15" t="s">
        <v>9</v>
      </c>
      <c r="E693" s="15" t="s">
        <v>16</v>
      </c>
      <c r="F693" s="15" t="s">
        <v>17</v>
      </c>
      <c r="G693" s="15">
        <v>800</v>
      </c>
      <c r="H693" s="15">
        <v>2</v>
      </c>
    </row>
    <row r="694" spans="2:8" x14ac:dyDescent="0.3">
      <c r="B694" s="15">
        <v>688</v>
      </c>
      <c r="C694" s="14">
        <v>44153</v>
      </c>
      <c r="D694" s="15" t="s">
        <v>9</v>
      </c>
      <c r="E694" s="15" t="s">
        <v>14</v>
      </c>
      <c r="F694" s="15" t="s">
        <v>11</v>
      </c>
      <c r="G694" s="15">
        <v>900</v>
      </c>
      <c r="H694" s="15">
        <v>1</v>
      </c>
    </row>
    <row r="695" spans="2:8" x14ac:dyDescent="0.3">
      <c r="B695" s="15">
        <v>689</v>
      </c>
      <c r="C695" s="14">
        <v>44154</v>
      </c>
      <c r="D695" s="15" t="s">
        <v>9</v>
      </c>
      <c r="E695" s="15" t="s">
        <v>12</v>
      </c>
      <c r="F695" s="15" t="s">
        <v>11</v>
      </c>
      <c r="G695" s="15">
        <v>1100</v>
      </c>
      <c r="H695" s="15">
        <v>1</v>
      </c>
    </row>
    <row r="696" spans="2:8" x14ac:dyDescent="0.3">
      <c r="B696" s="15">
        <v>690</v>
      </c>
      <c r="C696" s="14">
        <v>44155</v>
      </c>
      <c r="D696" s="15" t="s">
        <v>9</v>
      </c>
      <c r="E696" s="15" t="s">
        <v>16</v>
      </c>
      <c r="F696" s="15" t="s">
        <v>17</v>
      </c>
      <c r="G696" s="15">
        <v>800</v>
      </c>
      <c r="H696" s="15">
        <v>1</v>
      </c>
    </row>
    <row r="697" spans="2:8" x14ac:dyDescent="0.3">
      <c r="B697" s="15">
        <v>691</v>
      </c>
      <c r="C697" s="14">
        <v>44156</v>
      </c>
      <c r="D697" s="15" t="s">
        <v>9</v>
      </c>
      <c r="E697" s="15" t="s">
        <v>15</v>
      </c>
      <c r="F697" s="15" t="s">
        <v>11</v>
      </c>
      <c r="G697" s="15">
        <v>1000</v>
      </c>
      <c r="H697" s="15">
        <v>1</v>
      </c>
    </row>
    <row r="698" spans="2:8" x14ac:dyDescent="0.3">
      <c r="B698" s="15">
        <v>692</v>
      </c>
      <c r="C698" s="14">
        <v>44157</v>
      </c>
      <c r="D698" s="15" t="s">
        <v>9</v>
      </c>
      <c r="E698" s="15" t="s">
        <v>16</v>
      </c>
      <c r="F698" s="15" t="s">
        <v>17</v>
      </c>
      <c r="G698" s="15">
        <v>800</v>
      </c>
      <c r="H698" s="15">
        <v>1</v>
      </c>
    </row>
    <row r="699" spans="2:8" x14ac:dyDescent="0.3">
      <c r="B699" s="15">
        <v>693</v>
      </c>
      <c r="C699" s="14">
        <v>44158</v>
      </c>
      <c r="D699" s="15" t="s">
        <v>9</v>
      </c>
      <c r="E699" s="15" t="s">
        <v>18</v>
      </c>
      <c r="F699" s="15" t="s">
        <v>17</v>
      </c>
      <c r="G699" s="15">
        <v>600</v>
      </c>
      <c r="H699" s="15">
        <v>1</v>
      </c>
    </row>
    <row r="700" spans="2:8" x14ac:dyDescent="0.3">
      <c r="B700" s="15">
        <v>694</v>
      </c>
      <c r="C700" s="14">
        <v>44159</v>
      </c>
      <c r="D700" s="15" t="s">
        <v>9</v>
      </c>
      <c r="E700" s="15" t="s">
        <v>12</v>
      </c>
      <c r="F700" s="15" t="s">
        <v>11</v>
      </c>
      <c r="G700" s="15">
        <v>900</v>
      </c>
      <c r="H700" s="15">
        <v>1</v>
      </c>
    </row>
    <row r="701" spans="2:8" x14ac:dyDescent="0.3">
      <c r="B701" s="15">
        <v>695</v>
      </c>
      <c r="C701" s="14">
        <v>44160</v>
      </c>
      <c r="D701" s="15" t="s">
        <v>9</v>
      </c>
      <c r="E701" s="15" t="s">
        <v>12</v>
      </c>
      <c r="F701" s="15" t="s">
        <v>11</v>
      </c>
      <c r="G701" s="15">
        <v>1100</v>
      </c>
      <c r="H701" s="15">
        <v>1</v>
      </c>
    </row>
    <row r="702" spans="2:8" x14ac:dyDescent="0.3">
      <c r="B702" s="15">
        <v>696</v>
      </c>
      <c r="C702" s="14">
        <v>44161</v>
      </c>
      <c r="D702" s="15" t="s">
        <v>9</v>
      </c>
      <c r="E702" s="15" t="s">
        <v>15</v>
      </c>
      <c r="F702" s="15" t="s">
        <v>11</v>
      </c>
      <c r="G702" s="15">
        <v>1000</v>
      </c>
      <c r="H702" s="15">
        <v>1</v>
      </c>
    </row>
    <row r="703" spans="2:8" x14ac:dyDescent="0.3">
      <c r="B703" s="15">
        <v>697</v>
      </c>
      <c r="C703" s="14">
        <v>44162</v>
      </c>
      <c r="D703" s="15" t="s">
        <v>9</v>
      </c>
      <c r="E703" s="15" t="s">
        <v>12</v>
      </c>
      <c r="F703" s="15" t="s">
        <v>11</v>
      </c>
      <c r="G703" s="15">
        <v>900</v>
      </c>
      <c r="H703" s="15">
        <v>1</v>
      </c>
    </row>
    <row r="704" spans="2:8" x14ac:dyDescent="0.3">
      <c r="B704" s="15">
        <v>698</v>
      </c>
      <c r="C704" s="14">
        <v>44163</v>
      </c>
      <c r="D704" s="15" t="s">
        <v>9</v>
      </c>
      <c r="E704" s="15" t="s">
        <v>12</v>
      </c>
      <c r="F704" s="15" t="s">
        <v>11</v>
      </c>
      <c r="G704" s="15">
        <v>1100</v>
      </c>
      <c r="H704" s="15">
        <v>2</v>
      </c>
    </row>
    <row r="705" spans="2:8" x14ac:dyDescent="0.3">
      <c r="B705" s="15">
        <v>699</v>
      </c>
      <c r="C705" s="14">
        <v>44164</v>
      </c>
      <c r="D705" s="15" t="s">
        <v>9</v>
      </c>
      <c r="E705" s="15" t="s">
        <v>18</v>
      </c>
      <c r="F705" s="15" t="s">
        <v>17</v>
      </c>
      <c r="G705" s="15">
        <v>600</v>
      </c>
      <c r="H705" s="15">
        <v>1</v>
      </c>
    </row>
    <row r="706" spans="2:8" x14ac:dyDescent="0.3">
      <c r="B706" s="15">
        <v>700</v>
      </c>
      <c r="C706" s="14">
        <v>44165</v>
      </c>
      <c r="D706" s="15" t="s">
        <v>9</v>
      </c>
      <c r="E706" s="15" t="s">
        <v>18</v>
      </c>
      <c r="F706" s="15" t="s">
        <v>17</v>
      </c>
      <c r="G706" s="15">
        <v>600</v>
      </c>
      <c r="H706" s="15">
        <v>1</v>
      </c>
    </row>
    <row r="707" spans="2:8" x14ac:dyDescent="0.3">
      <c r="B707" s="15">
        <v>701</v>
      </c>
      <c r="C707" s="14">
        <v>44166</v>
      </c>
      <c r="D707" s="15" t="s">
        <v>9</v>
      </c>
      <c r="E707" s="15" t="s">
        <v>18</v>
      </c>
      <c r="F707" s="15" t="s">
        <v>17</v>
      </c>
      <c r="G707" s="15">
        <v>600</v>
      </c>
      <c r="H707" s="15">
        <v>1</v>
      </c>
    </row>
    <row r="708" spans="2:8" x14ac:dyDescent="0.3">
      <c r="B708" s="15">
        <v>702</v>
      </c>
      <c r="C708" s="14">
        <v>44167</v>
      </c>
      <c r="D708" s="15" t="s">
        <v>9</v>
      </c>
      <c r="E708" s="15" t="s">
        <v>12</v>
      </c>
      <c r="F708" s="15" t="s">
        <v>11</v>
      </c>
      <c r="G708" s="15">
        <v>900</v>
      </c>
      <c r="H708" s="15">
        <v>1</v>
      </c>
    </row>
    <row r="709" spans="2:8" x14ac:dyDescent="0.3">
      <c r="B709" s="15">
        <v>703</v>
      </c>
      <c r="C709" s="14">
        <v>44168</v>
      </c>
      <c r="D709" s="15" t="s">
        <v>9</v>
      </c>
      <c r="E709" s="15" t="s">
        <v>18</v>
      </c>
      <c r="F709" s="15" t="s">
        <v>17</v>
      </c>
      <c r="G709" s="15">
        <v>600</v>
      </c>
      <c r="H709" s="15">
        <v>1</v>
      </c>
    </row>
    <row r="710" spans="2:8" x14ac:dyDescent="0.3">
      <c r="B710" s="15">
        <v>704</v>
      </c>
      <c r="C710" s="14">
        <v>44169</v>
      </c>
      <c r="D710" s="15" t="s">
        <v>9</v>
      </c>
      <c r="E710" s="15" t="s">
        <v>18</v>
      </c>
      <c r="F710" s="15" t="s">
        <v>17</v>
      </c>
      <c r="G710" s="15">
        <v>600</v>
      </c>
      <c r="H710" s="15">
        <v>1</v>
      </c>
    </row>
    <row r="711" spans="2:8" x14ac:dyDescent="0.3">
      <c r="B711" s="15">
        <v>705</v>
      </c>
      <c r="C711" s="14">
        <v>44170</v>
      </c>
      <c r="D711" s="15" t="s">
        <v>9</v>
      </c>
      <c r="E711" s="15" t="s">
        <v>12</v>
      </c>
      <c r="F711" s="15" t="s">
        <v>11</v>
      </c>
      <c r="G711" s="15">
        <v>1100</v>
      </c>
      <c r="H711" s="15">
        <v>1</v>
      </c>
    </row>
    <row r="712" spans="2:8" x14ac:dyDescent="0.3">
      <c r="B712" s="15">
        <v>706</v>
      </c>
      <c r="C712" s="14">
        <v>44171</v>
      </c>
      <c r="D712" s="15" t="s">
        <v>9</v>
      </c>
      <c r="E712" s="15" t="s">
        <v>14</v>
      </c>
      <c r="F712" s="15" t="s">
        <v>11</v>
      </c>
      <c r="G712" s="15">
        <v>900</v>
      </c>
      <c r="H712" s="15">
        <v>3</v>
      </c>
    </row>
    <row r="713" spans="2:8" x14ac:dyDescent="0.3">
      <c r="B713" s="15">
        <v>707</v>
      </c>
      <c r="C713" s="14">
        <v>44172</v>
      </c>
      <c r="D713" s="15" t="s">
        <v>9</v>
      </c>
      <c r="E713" s="15" t="s">
        <v>10</v>
      </c>
      <c r="F713" s="15" t="s">
        <v>11</v>
      </c>
      <c r="G713" s="15">
        <v>1100</v>
      </c>
      <c r="H713" s="15">
        <v>2</v>
      </c>
    </row>
    <row r="714" spans="2:8" x14ac:dyDescent="0.3">
      <c r="B714" s="15">
        <v>708</v>
      </c>
      <c r="C714" s="14">
        <v>44173</v>
      </c>
      <c r="D714" s="15" t="s">
        <v>9</v>
      </c>
      <c r="E714" s="15" t="s">
        <v>10</v>
      </c>
      <c r="F714" s="15" t="s">
        <v>11</v>
      </c>
      <c r="G714" s="15">
        <v>1100</v>
      </c>
      <c r="H714" s="15">
        <v>1</v>
      </c>
    </row>
    <row r="715" spans="2:8" x14ac:dyDescent="0.3">
      <c r="B715" s="15">
        <v>709</v>
      </c>
      <c r="C715" s="14">
        <v>44174</v>
      </c>
      <c r="D715" s="15" t="s">
        <v>9</v>
      </c>
      <c r="E715" s="15" t="s">
        <v>18</v>
      </c>
      <c r="F715" s="15" t="s">
        <v>17</v>
      </c>
      <c r="G715" s="15">
        <v>600</v>
      </c>
      <c r="H715" s="15">
        <v>1</v>
      </c>
    </row>
    <row r="716" spans="2:8" x14ac:dyDescent="0.3">
      <c r="B716" s="15">
        <v>710</v>
      </c>
      <c r="C716" s="14">
        <v>44175</v>
      </c>
      <c r="D716" s="15" t="s">
        <v>9</v>
      </c>
      <c r="E716" s="15" t="s">
        <v>12</v>
      </c>
      <c r="F716" s="15" t="s">
        <v>11</v>
      </c>
      <c r="G716" s="15">
        <v>900</v>
      </c>
      <c r="H716" s="15">
        <v>1</v>
      </c>
    </row>
    <row r="717" spans="2:8" x14ac:dyDescent="0.3">
      <c r="B717" s="15">
        <v>711</v>
      </c>
      <c r="C717" s="14">
        <v>44176</v>
      </c>
      <c r="D717" s="15" t="s">
        <v>9</v>
      </c>
      <c r="E717" s="15" t="s">
        <v>18</v>
      </c>
      <c r="F717" s="15" t="s">
        <v>17</v>
      </c>
      <c r="G717" s="15">
        <v>600</v>
      </c>
      <c r="H717" s="15">
        <v>1</v>
      </c>
    </row>
    <row r="718" spans="2:8" x14ac:dyDescent="0.3">
      <c r="B718" s="15">
        <v>712</v>
      </c>
      <c r="C718" s="14">
        <v>44177</v>
      </c>
      <c r="D718" s="15" t="s">
        <v>9</v>
      </c>
      <c r="E718" s="15" t="s">
        <v>18</v>
      </c>
      <c r="F718" s="15" t="s">
        <v>17</v>
      </c>
      <c r="G718" s="15">
        <v>600</v>
      </c>
      <c r="H718" s="15">
        <v>1</v>
      </c>
    </row>
    <row r="719" spans="2:8" x14ac:dyDescent="0.3">
      <c r="B719" s="15">
        <v>713</v>
      </c>
      <c r="C719" s="14">
        <v>44178</v>
      </c>
      <c r="D719" s="15" t="s">
        <v>13</v>
      </c>
      <c r="E719" s="15" t="s">
        <v>12</v>
      </c>
      <c r="F719" s="15" t="s">
        <v>11</v>
      </c>
      <c r="G719" s="15">
        <v>900</v>
      </c>
      <c r="H719" s="15">
        <v>3</v>
      </c>
    </row>
    <row r="720" spans="2:8" x14ac:dyDescent="0.3">
      <c r="B720" s="15">
        <v>714</v>
      </c>
      <c r="C720" s="14">
        <v>44179</v>
      </c>
      <c r="D720" s="15" t="s">
        <v>13</v>
      </c>
      <c r="E720" s="15" t="s">
        <v>18</v>
      </c>
      <c r="F720" s="15" t="s">
        <v>17</v>
      </c>
      <c r="G720" s="15">
        <v>600</v>
      </c>
      <c r="H720" s="15">
        <v>1</v>
      </c>
    </row>
    <row r="721" spans="2:8" x14ac:dyDescent="0.3">
      <c r="B721" s="15">
        <v>715</v>
      </c>
      <c r="C721" s="14">
        <v>44180</v>
      </c>
      <c r="D721" s="15" t="s">
        <v>13</v>
      </c>
      <c r="E721" s="15" t="s">
        <v>16</v>
      </c>
      <c r="F721" s="15" t="s">
        <v>17</v>
      </c>
      <c r="G721" s="15">
        <v>800</v>
      </c>
      <c r="H721" s="15">
        <v>1</v>
      </c>
    </row>
    <row r="722" spans="2:8" x14ac:dyDescent="0.3">
      <c r="B722" s="15">
        <v>716</v>
      </c>
      <c r="C722" s="14">
        <v>44181</v>
      </c>
      <c r="D722" s="15" t="s">
        <v>13</v>
      </c>
      <c r="E722" s="15" t="s">
        <v>18</v>
      </c>
      <c r="F722" s="15" t="s">
        <v>17</v>
      </c>
      <c r="G722" s="15">
        <v>600</v>
      </c>
      <c r="H722" s="15">
        <v>1</v>
      </c>
    </row>
    <row r="723" spans="2:8" x14ac:dyDescent="0.3">
      <c r="B723" s="15">
        <v>717</v>
      </c>
      <c r="C723" s="14">
        <v>44182</v>
      </c>
      <c r="D723" s="15" t="s">
        <v>13</v>
      </c>
      <c r="E723" s="15" t="s">
        <v>10</v>
      </c>
      <c r="F723" s="15" t="s">
        <v>11</v>
      </c>
      <c r="G723" s="15">
        <v>1100</v>
      </c>
      <c r="H723" s="15">
        <v>1</v>
      </c>
    </row>
    <row r="724" spans="2:8" x14ac:dyDescent="0.3">
      <c r="B724" s="15">
        <v>718</v>
      </c>
      <c r="C724" s="14">
        <v>44183</v>
      </c>
      <c r="D724" s="15" t="s">
        <v>13</v>
      </c>
      <c r="E724" s="15" t="s">
        <v>14</v>
      </c>
      <c r="F724" s="15" t="s">
        <v>11</v>
      </c>
      <c r="G724" s="15">
        <v>900</v>
      </c>
      <c r="H724" s="15">
        <v>1</v>
      </c>
    </row>
    <row r="725" spans="2:8" x14ac:dyDescent="0.3">
      <c r="B725" s="15">
        <v>719</v>
      </c>
      <c r="C725" s="14">
        <v>44184</v>
      </c>
      <c r="D725" s="15" t="s">
        <v>13</v>
      </c>
      <c r="E725" s="15" t="s">
        <v>10</v>
      </c>
      <c r="F725" s="15" t="s">
        <v>11</v>
      </c>
      <c r="G725" s="15">
        <v>1100</v>
      </c>
      <c r="H725" s="15">
        <v>1</v>
      </c>
    </row>
    <row r="726" spans="2:8" x14ac:dyDescent="0.3">
      <c r="B726" s="15">
        <v>720</v>
      </c>
      <c r="C726" s="14">
        <v>44185</v>
      </c>
      <c r="D726" s="15" t="s">
        <v>13</v>
      </c>
      <c r="E726" s="15" t="s">
        <v>10</v>
      </c>
      <c r="F726" s="15" t="s">
        <v>11</v>
      </c>
      <c r="G726" s="15">
        <v>1100</v>
      </c>
      <c r="H726" s="15">
        <v>1</v>
      </c>
    </row>
    <row r="727" spans="2:8" x14ac:dyDescent="0.3">
      <c r="B727" s="15">
        <v>721</v>
      </c>
      <c r="C727" s="14">
        <v>44186</v>
      </c>
      <c r="D727" s="15" t="s">
        <v>13</v>
      </c>
      <c r="E727" s="15" t="s">
        <v>10</v>
      </c>
      <c r="F727" s="15" t="s">
        <v>11</v>
      </c>
      <c r="G727" s="15">
        <v>1100</v>
      </c>
      <c r="H727" s="15">
        <v>1</v>
      </c>
    </row>
    <row r="728" spans="2:8" x14ac:dyDescent="0.3">
      <c r="B728" s="15">
        <v>722</v>
      </c>
      <c r="C728" s="14">
        <v>44187</v>
      </c>
      <c r="D728" s="15" t="s">
        <v>9</v>
      </c>
      <c r="E728" s="15" t="s">
        <v>15</v>
      </c>
      <c r="F728" s="15" t="s">
        <v>11</v>
      </c>
      <c r="G728" s="15">
        <v>1000</v>
      </c>
      <c r="H728" s="15">
        <v>1</v>
      </c>
    </row>
    <row r="729" spans="2:8" x14ac:dyDescent="0.3">
      <c r="B729" s="15">
        <v>723</v>
      </c>
      <c r="C729" s="14">
        <v>44188</v>
      </c>
      <c r="D729" s="15" t="s">
        <v>9</v>
      </c>
      <c r="E729" s="15" t="s">
        <v>18</v>
      </c>
      <c r="F729" s="15" t="s">
        <v>17</v>
      </c>
      <c r="G729" s="15">
        <v>600</v>
      </c>
      <c r="H729" s="15">
        <v>1</v>
      </c>
    </row>
    <row r="730" spans="2:8" x14ac:dyDescent="0.3">
      <c r="B730" s="15">
        <v>724</v>
      </c>
      <c r="C730" s="14">
        <v>44189</v>
      </c>
      <c r="D730" s="15" t="s">
        <v>9</v>
      </c>
      <c r="E730" s="15" t="s">
        <v>16</v>
      </c>
      <c r="F730" s="15" t="s">
        <v>17</v>
      </c>
      <c r="G730" s="15">
        <v>800</v>
      </c>
      <c r="H730" s="15">
        <v>1</v>
      </c>
    </row>
    <row r="731" spans="2:8" x14ac:dyDescent="0.3">
      <c r="B731" s="15">
        <v>725</v>
      </c>
      <c r="C731" s="14">
        <v>44190</v>
      </c>
      <c r="D731" s="15" t="s">
        <v>9</v>
      </c>
      <c r="E731" s="15" t="s">
        <v>10</v>
      </c>
      <c r="F731" s="15" t="s">
        <v>11</v>
      </c>
      <c r="G731" s="15">
        <v>1100</v>
      </c>
      <c r="H731" s="15">
        <v>1</v>
      </c>
    </row>
    <row r="732" spans="2:8" x14ac:dyDescent="0.3">
      <c r="B732" s="15">
        <v>726</v>
      </c>
      <c r="C732" s="14">
        <v>44191</v>
      </c>
      <c r="D732" s="15" t="s">
        <v>9</v>
      </c>
      <c r="E732" s="15" t="s">
        <v>18</v>
      </c>
      <c r="F732" s="15" t="s">
        <v>17</v>
      </c>
      <c r="G732" s="15">
        <v>600</v>
      </c>
      <c r="H732" s="15">
        <v>1</v>
      </c>
    </row>
    <row r="733" spans="2:8" x14ac:dyDescent="0.3">
      <c r="B733" s="15">
        <v>727</v>
      </c>
      <c r="C733" s="14">
        <v>44192</v>
      </c>
      <c r="D733" s="15" t="s">
        <v>9</v>
      </c>
      <c r="E733" s="15" t="s">
        <v>19</v>
      </c>
      <c r="F733" s="15" t="s">
        <v>20</v>
      </c>
      <c r="G733" s="15">
        <v>850</v>
      </c>
      <c r="H733" s="15">
        <v>1</v>
      </c>
    </row>
    <row r="734" spans="2:8" x14ac:dyDescent="0.3">
      <c r="B734" s="15">
        <v>728</v>
      </c>
      <c r="C734" s="14">
        <v>44193</v>
      </c>
      <c r="D734" s="15" t="s">
        <v>9</v>
      </c>
      <c r="E734" s="15" t="s">
        <v>14</v>
      </c>
      <c r="F734" s="15" t="s">
        <v>11</v>
      </c>
      <c r="G734" s="15">
        <v>900</v>
      </c>
      <c r="H734" s="15">
        <v>1</v>
      </c>
    </row>
    <row r="735" spans="2:8" x14ac:dyDescent="0.3">
      <c r="B735" s="15">
        <v>729</v>
      </c>
      <c r="C735" s="14">
        <v>44194</v>
      </c>
      <c r="D735" s="15" t="s">
        <v>9</v>
      </c>
      <c r="E735" s="15" t="s">
        <v>15</v>
      </c>
      <c r="F735" s="15" t="s">
        <v>11</v>
      </c>
      <c r="G735" s="15">
        <v>1000</v>
      </c>
      <c r="H735" s="15">
        <v>1</v>
      </c>
    </row>
    <row r="736" spans="2:8" x14ac:dyDescent="0.3">
      <c r="B736" s="15">
        <v>730</v>
      </c>
      <c r="C736" s="14">
        <v>44195</v>
      </c>
      <c r="D736" s="15" t="s">
        <v>9</v>
      </c>
      <c r="E736" s="15" t="s">
        <v>19</v>
      </c>
      <c r="F736" s="15" t="s">
        <v>20</v>
      </c>
      <c r="G736" s="15">
        <v>850</v>
      </c>
      <c r="H736" s="15">
        <v>1</v>
      </c>
    </row>
    <row r="737" spans="2:8" x14ac:dyDescent="0.3">
      <c r="B737" s="15">
        <v>731</v>
      </c>
      <c r="C737" s="14">
        <v>44196</v>
      </c>
      <c r="D737" s="15" t="s">
        <v>9</v>
      </c>
      <c r="E737" s="15" t="s">
        <v>19</v>
      </c>
      <c r="F737" s="15" t="s">
        <v>20</v>
      </c>
      <c r="G737" s="15">
        <v>850</v>
      </c>
      <c r="H737" s="15">
        <v>1</v>
      </c>
    </row>
    <row r="738" spans="2:8" x14ac:dyDescent="0.3">
      <c r="B738" s="15">
        <v>732</v>
      </c>
      <c r="C738" s="14">
        <v>44197</v>
      </c>
      <c r="D738" s="15" t="s">
        <v>9</v>
      </c>
      <c r="E738" s="15" t="s">
        <v>15</v>
      </c>
      <c r="F738" s="15" t="s">
        <v>11</v>
      </c>
      <c r="G738" s="15">
        <v>1000</v>
      </c>
      <c r="H738" s="15">
        <v>1</v>
      </c>
    </row>
    <row r="739" spans="2:8" x14ac:dyDescent="0.3">
      <c r="B739" s="15">
        <v>733</v>
      </c>
      <c r="C739" s="14">
        <v>44198</v>
      </c>
      <c r="D739" s="15" t="s">
        <v>9</v>
      </c>
      <c r="E739" s="15" t="s">
        <v>16</v>
      </c>
      <c r="F739" s="15" t="s">
        <v>17</v>
      </c>
      <c r="G739" s="15">
        <v>800</v>
      </c>
      <c r="H739" s="15">
        <v>1</v>
      </c>
    </row>
    <row r="740" spans="2:8" x14ac:dyDescent="0.3">
      <c r="B740" s="15">
        <v>734</v>
      </c>
      <c r="C740" s="14">
        <v>44199</v>
      </c>
      <c r="D740" s="15" t="s">
        <v>9</v>
      </c>
      <c r="E740" s="15" t="s">
        <v>18</v>
      </c>
      <c r="F740" s="15" t="s">
        <v>17</v>
      </c>
      <c r="G740" s="15">
        <v>600</v>
      </c>
      <c r="H740" s="15">
        <v>1</v>
      </c>
    </row>
    <row r="741" spans="2:8" x14ac:dyDescent="0.3">
      <c r="B741" s="15">
        <v>735</v>
      </c>
      <c r="C741" s="14">
        <v>44200</v>
      </c>
      <c r="D741" s="15" t="s">
        <v>9</v>
      </c>
      <c r="E741" s="15" t="s">
        <v>16</v>
      </c>
      <c r="F741" s="15" t="s">
        <v>17</v>
      </c>
      <c r="G741" s="15">
        <v>800</v>
      </c>
      <c r="H741" s="15">
        <v>1</v>
      </c>
    </row>
    <row r="742" spans="2:8" x14ac:dyDescent="0.3">
      <c r="B742" s="15">
        <v>736</v>
      </c>
      <c r="C742" s="14">
        <v>44201</v>
      </c>
      <c r="D742" s="15" t="s">
        <v>9</v>
      </c>
      <c r="E742" s="15" t="s">
        <v>10</v>
      </c>
      <c r="F742" s="15" t="s">
        <v>11</v>
      </c>
      <c r="G742" s="15">
        <v>1100</v>
      </c>
      <c r="H742" s="15">
        <v>1</v>
      </c>
    </row>
    <row r="743" spans="2:8" x14ac:dyDescent="0.3">
      <c r="B743" s="15">
        <v>737</v>
      </c>
      <c r="C743" s="14">
        <v>44202</v>
      </c>
      <c r="D743" s="15" t="s">
        <v>9</v>
      </c>
      <c r="E743" s="15" t="s">
        <v>19</v>
      </c>
      <c r="F743" s="15" t="s">
        <v>20</v>
      </c>
      <c r="G743" s="15">
        <v>850</v>
      </c>
      <c r="H743" s="15">
        <v>1</v>
      </c>
    </row>
    <row r="744" spans="2:8" x14ac:dyDescent="0.3">
      <c r="B744" s="15">
        <v>738</v>
      </c>
      <c r="C744" s="14">
        <v>44203</v>
      </c>
      <c r="D744" s="15" t="s">
        <v>9</v>
      </c>
      <c r="E744" s="15" t="s">
        <v>19</v>
      </c>
      <c r="F744" s="15" t="s">
        <v>20</v>
      </c>
      <c r="G744" s="15">
        <v>850</v>
      </c>
      <c r="H744" s="15">
        <v>1</v>
      </c>
    </row>
    <row r="745" spans="2:8" x14ac:dyDescent="0.3">
      <c r="B745" s="15">
        <v>739</v>
      </c>
      <c r="C745" s="14">
        <v>44204</v>
      </c>
      <c r="D745" s="15" t="s">
        <v>9</v>
      </c>
      <c r="E745" s="15" t="s">
        <v>19</v>
      </c>
      <c r="F745" s="15" t="s">
        <v>20</v>
      </c>
      <c r="G745" s="15">
        <v>850</v>
      </c>
      <c r="H745" s="15">
        <v>1</v>
      </c>
    </row>
    <row r="746" spans="2:8" x14ac:dyDescent="0.3">
      <c r="B746" s="15">
        <v>740</v>
      </c>
      <c r="C746" s="14">
        <v>44205</v>
      </c>
      <c r="D746" s="15" t="s">
        <v>9</v>
      </c>
      <c r="E746" s="15" t="s">
        <v>18</v>
      </c>
      <c r="F746" s="15" t="s">
        <v>17</v>
      </c>
      <c r="G746" s="15">
        <v>600</v>
      </c>
      <c r="H746" s="15">
        <v>1</v>
      </c>
    </row>
    <row r="747" spans="2:8" x14ac:dyDescent="0.3">
      <c r="B747" s="15">
        <v>741</v>
      </c>
      <c r="C747" s="14">
        <v>44206</v>
      </c>
      <c r="D747" s="15" t="s">
        <v>9</v>
      </c>
      <c r="E747" s="15" t="s">
        <v>19</v>
      </c>
      <c r="F747" s="15" t="s">
        <v>20</v>
      </c>
      <c r="G747" s="15">
        <v>850</v>
      </c>
      <c r="H747" s="15">
        <v>1</v>
      </c>
    </row>
    <row r="748" spans="2:8" x14ac:dyDescent="0.3">
      <c r="B748" s="15">
        <v>742</v>
      </c>
      <c r="C748" s="14">
        <v>44207</v>
      </c>
      <c r="D748" s="15" t="s">
        <v>9</v>
      </c>
      <c r="E748" s="15" t="s">
        <v>19</v>
      </c>
      <c r="F748" s="15" t="s">
        <v>20</v>
      </c>
      <c r="G748" s="15">
        <v>850</v>
      </c>
      <c r="H748" s="15">
        <v>1</v>
      </c>
    </row>
    <row r="749" spans="2:8" x14ac:dyDescent="0.3">
      <c r="B749" s="15">
        <v>743</v>
      </c>
      <c r="C749" s="14">
        <v>44208</v>
      </c>
      <c r="D749" s="15" t="s">
        <v>9</v>
      </c>
      <c r="E749" s="15" t="s">
        <v>10</v>
      </c>
      <c r="F749" s="15" t="s">
        <v>11</v>
      </c>
      <c r="G749" s="15">
        <v>1100</v>
      </c>
      <c r="H749" s="15">
        <v>1</v>
      </c>
    </row>
    <row r="750" spans="2:8" x14ac:dyDescent="0.3">
      <c r="B750" s="15">
        <v>744</v>
      </c>
      <c r="C750" s="14">
        <v>44209</v>
      </c>
      <c r="D750" s="15" t="s">
        <v>9</v>
      </c>
      <c r="E750" s="15" t="s">
        <v>15</v>
      </c>
      <c r="F750" s="15" t="s">
        <v>11</v>
      </c>
      <c r="G750" s="15">
        <v>1000</v>
      </c>
      <c r="H750" s="15">
        <v>1</v>
      </c>
    </row>
    <row r="751" spans="2:8" x14ac:dyDescent="0.3">
      <c r="B751" s="15">
        <v>745</v>
      </c>
      <c r="C751" s="14">
        <v>44210</v>
      </c>
      <c r="D751" s="15" t="s">
        <v>9</v>
      </c>
      <c r="E751" s="15" t="s">
        <v>10</v>
      </c>
      <c r="F751" s="15" t="s">
        <v>11</v>
      </c>
      <c r="G751" s="15">
        <v>1100</v>
      </c>
      <c r="H751" s="15">
        <v>1</v>
      </c>
    </row>
    <row r="752" spans="2:8" x14ac:dyDescent="0.3">
      <c r="B752" s="15">
        <v>746</v>
      </c>
      <c r="C752" s="14">
        <v>44211</v>
      </c>
      <c r="D752" s="15" t="s">
        <v>9</v>
      </c>
      <c r="E752" s="15" t="s">
        <v>18</v>
      </c>
      <c r="F752" s="15" t="s">
        <v>17</v>
      </c>
      <c r="G752" s="15">
        <v>600</v>
      </c>
      <c r="H752" s="15">
        <v>1</v>
      </c>
    </row>
    <row r="753" spans="2:8" x14ac:dyDescent="0.3">
      <c r="B753" s="15">
        <v>747</v>
      </c>
      <c r="C753" s="14">
        <v>44212</v>
      </c>
      <c r="D753" s="15" t="s">
        <v>9</v>
      </c>
      <c r="E753" s="15" t="s">
        <v>18</v>
      </c>
      <c r="F753" s="15" t="s">
        <v>17</v>
      </c>
      <c r="G753" s="15">
        <v>600</v>
      </c>
      <c r="H753" s="15">
        <v>2</v>
      </c>
    </row>
    <row r="754" spans="2:8" x14ac:dyDescent="0.3">
      <c r="B754" s="15">
        <v>748</v>
      </c>
      <c r="C754" s="14">
        <v>44213</v>
      </c>
      <c r="D754" s="15" t="s">
        <v>9</v>
      </c>
      <c r="E754" s="15" t="s">
        <v>18</v>
      </c>
      <c r="F754" s="15" t="s">
        <v>17</v>
      </c>
      <c r="G754" s="15">
        <v>600</v>
      </c>
      <c r="H754" s="15">
        <v>1</v>
      </c>
    </row>
    <row r="755" spans="2:8" x14ac:dyDescent="0.3">
      <c r="B755" s="15">
        <v>749</v>
      </c>
      <c r="C755" s="14">
        <v>44214</v>
      </c>
      <c r="D755" s="15" t="s">
        <v>9</v>
      </c>
      <c r="E755" s="15" t="s">
        <v>18</v>
      </c>
      <c r="F755" s="15" t="s">
        <v>17</v>
      </c>
      <c r="G755" s="15">
        <v>600</v>
      </c>
      <c r="H755" s="15">
        <v>1</v>
      </c>
    </row>
    <row r="756" spans="2:8" x14ac:dyDescent="0.3">
      <c r="B756" s="15">
        <v>750</v>
      </c>
      <c r="C756" s="14">
        <v>44215</v>
      </c>
      <c r="D756" s="15" t="s">
        <v>9</v>
      </c>
      <c r="E756" s="15" t="s">
        <v>10</v>
      </c>
      <c r="F756" s="15" t="s">
        <v>11</v>
      </c>
      <c r="G756" s="15">
        <v>1100</v>
      </c>
      <c r="H756" s="15">
        <v>1</v>
      </c>
    </row>
    <row r="757" spans="2:8" x14ac:dyDescent="0.3">
      <c r="B757" s="15">
        <v>751</v>
      </c>
      <c r="C757" s="14">
        <v>44216</v>
      </c>
      <c r="D757" s="15" t="s">
        <v>9</v>
      </c>
      <c r="E757" s="15" t="s">
        <v>14</v>
      </c>
      <c r="F757" s="15" t="s">
        <v>11</v>
      </c>
      <c r="G757" s="15">
        <v>900</v>
      </c>
      <c r="H757" s="15">
        <v>1</v>
      </c>
    </row>
    <row r="758" spans="2:8" x14ac:dyDescent="0.3">
      <c r="B758" s="15">
        <v>752</v>
      </c>
      <c r="C758" s="14">
        <v>44217</v>
      </c>
      <c r="D758" s="15" t="s">
        <v>9</v>
      </c>
      <c r="E758" s="15" t="s">
        <v>18</v>
      </c>
      <c r="F758" s="15" t="s">
        <v>17</v>
      </c>
      <c r="G758" s="15">
        <v>600</v>
      </c>
      <c r="H758" s="15">
        <v>1</v>
      </c>
    </row>
    <row r="759" spans="2:8" x14ac:dyDescent="0.3">
      <c r="B759" s="15">
        <v>753</v>
      </c>
      <c r="C759" s="14">
        <v>44218</v>
      </c>
      <c r="D759" s="15" t="s">
        <v>9</v>
      </c>
      <c r="E759" s="15" t="s">
        <v>14</v>
      </c>
      <c r="F759" s="15" t="s">
        <v>11</v>
      </c>
      <c r="G759" s="15">
        <v>900</v>
      </c>
      <c r="H759" s="15">
        <v>1</v>
      </c>
    </row>
    <row r="760" spans="2:8" x14ac:dyDescent="0.3">
      <c r="B760" s="15">
        <v>754</v>
      </c>
      <c r="C760" s="14">
        <v>44219</v>
      </c>
      <c r="D760" s="15" t="s">
        <v>9</v>
      </c>
      <c r="E760" s="15" t="s">
        <v>12</v>
      </c>
      <c r="F760" s="15" t="s">
        <v>11</v>
      </c>
      <c r="G760" s="15">
        <v>900</v>
      </c>
      <c r="H760" s="15">
        <v>1</v>
      </c>
    </row>
    <row r="761" spans="2:8" x14ac:dyDescent="0.3">
      <c r="B761" s="15">
        <v>755</v>
      </c>
      <c r="C761" s="14">
        <v>44220</v>
      </c>
      <c r="D761" s="15" t="s">
        <v>9</v>
      </c>
      <c r="E761" s="15" t="s">
        <v>18</v>
      </c>
      <c r="F761" s="15" t="s">
        <v>17</v>
      </c>
      <c r="G761" s="15">
        <v>600</v>
      </c>
      <c r="H761" s="15">
        <v>1</v>
      </c>
    </row>
    <row r="762" spans="2:8" x14ac:dyDescent="0.3">
      <c r="B762" s="15">
        <v>756</v>
      </c>
      <c r="C762" s="14">
        <v>44221</v>
      </c>
      <c r="D762" s="15" t="s">
        <v>9</v>
      </c>
      <c r="E762" s="15" t="s">
        <v>18</v>
      </c>
      <c r="F762" s="15" t="s">
        <v>17</v>
      </c>
      <c r="G762" s="15">
        <v>600</v>
      </c>
      <c r="H762" s="15">
        <v>1</v>
      </c>
    </row>
    <row r="763" spans="2:8" x14ac:dyDescent="0.3">
      <c r="B763" s="15">
        <v>757</v>
      </c>
      <c r="C763" s="14">
        <v>44222</v>
      </c>
      <c r="D763" s="15" t="s">
        <v>9</v>
      </c>
      <c r="E763" s="15" t="s">
        <v>18</v>
      </c>
      <c r="F763" s="15" t="s">
        <v>17</v>
      </c>
      <c r="G763" s="15">
        <v>600</v>
      </c>
      <c r="H763" s="15">
        <v>1</v>
      </c>
    </row>
    <row r="764" spans="2:8" x14ac:dyDescent="0.3">
      <c r="B764" s="15">
        <v>758</v>
      </c>
      <c r="C764" s="14">
        <v>44223</v>
      </c>
      <c r="D764" s="15" t="s">
        <v>9</v>
      </c>
      <c r="E764" s="15" t="s">
        <v>10</v>
      </c>
      <c r="F764" s="15" t="s">
        <v>11</v>
      </c>
      <c r="G764" s="15">
        <v>1100</v>
      </c>
      <c r="H764" s="15">
        <v>1</v>
      </c>
    </row>
    <row r="765" spans="2:8" x14ac:dyDescent="0.3">
      <c r="B765" s="15">
        <v>759</v>
      </c>
      <c r="C765" s="14">
        <v>44224</v>
      </c>
      <c r="D765" s="15" t="s">
        <v>9</v>
      </c>
      <c r="E765" s="15" t="s">
        <v>18</v>
      </c>
      <c r="F765" s="15" t="s">
        <v>17</v>
      </c>
      <c r="G765" s="15">
        <v>600</v>
      </c>
      <c r="H765" s="15">
        <v>1</v>
      </c>
    </row>
    <row r="766" spans="2:8" x14ac:dyDescent="0.3">
      <c r="B766" s="15">
        <v>760</v>
      </c>
      <c r="C766" s="14">
        <v>44225</v>
      </c>
      <c r="D766" s="15" t="s">
        <v>9</v>
      </c>
      <c r="E766" s="15" t="s">
        <v>18</v>
      </c>
      <c r="F766" s="15" t="s">
        <v>17</v>
      </c>
      <c r="G766" s="15">
        <v>600</v>
      </c>
      <c r="H766" s="15">
        <v>1</v>
      </c>
    </row>
    <row r="767" spans="2:8" x14ac:dyDescent="0.3">
      <c r="B767" s="15">
        <v>761</v>
      </c>
      <c r="C767" s="14">
        <v>44226</v>
      </c>
      <c r="D767" s="15" t="s">
        <v>9</v>
      </c>
      <c r="E767" s="15" t="s">
        <v>18</v>
      </c>
      <c r="F767" s="15" t="s">
        <v>17</v>
      </c>
      <c r="G767" s="15">
        <v>600</v>
      </c>
      <c r="H767" s="15">
        <v>1</v>
      </c>
    </row>
    <row r="768" spans="2:8" x14ac:dyDescent="0.3">
      <c r="B768" s="15">
        <v>762</v>
      </c>
      <c r="C768" s="14">
        <v>44227</v>
      </c>
      <c r="D768" s="15" t="s">
        <v>9</v>
      </c>
      <c r="E768" s="15" t="s">
        <v>12</v>
      </c>
      <c r="F768" s="15" t="s">
        <v>11</v>
      </c>
      <c r="G768" s="15">
        <v>900</v>
      </c>
      <c r="H768" s="15">
        <v>1</v>
      </c>
    </row>
    <row r="769" spans="2:8" x14ac:dyDescent="0.3">
      <c r="B769" s="15">
        <v>763</v>
      </c>
      <c r="C769" s="14">
        <v>44228</v>
      </c>
      <c r="D769" s="15" t="s">
        <v>9</v>
      </c>
      <c r="E769" s="15" t="s">
        <v>18</v>
      </c>
      <c r="F769" s="15" t="s">
        <v>17</v>
      </c>
      <c r="G769" s="15">
        <v>600</v>
      </c>
      <c r="H769" s="15">
        <v>1</v>
      </c>
    </row>
    <row r="770" spans="2:8" x14ac:dyDescent="0.3">
      <c r="B770" s="15">
        <v>764</v>
      </c>
      <c r="C770" s="14">
        <v>44229</v>
      </c>
      <c r="D770" s="15" t="s">
        <v>9</v>
      </c>
      <c r="E770" s="15" t="s">
        <v>14</v>
      </c>
      <c r="F770" s="15" t="s">
        <v>11</v>
      </c>
      <c r="G770" s="15">
        <v>900</v>
      </c>
      <c r="H770" s="15">
        <v>1</v>
      </c>
    </row>
    <row r="771" spans="2:8" x14ac:dyDescent="0.3">
      <c r="B771" s="15">
        <v>765</v>
      </c>
      <c r="C771" s="14">
        <v>44230</v>
      </c>
      <c r="D771" s="15" t="s">
        <v>9</v>
      </c>
      <c r="E771" s="15" t="s">
        <v>21</v>
      </c>
      <c r="F771" s="15" t="s">
        <v>20</v>
      </c>
      <c r="G771" s="15">
        <v>1200</v>
      </c>
      <c r="H771" s="15">
        <v>1</v>
      </c>
    </row>
    <row r="772" spans="2:8" x14ac:dyDescent="0.3">
      <c r="B772" s="15">
        <v>766</v>
      </c>
      <c r="C772" s="14">
        <v>44231</v>
      </c>
      <c r="D772" s="15" t="s">
        <v>9</v>
      </c>
      <c r="E772" s="15" t="s">
        <v>10</v>
      </c>
      <c r="F772" s="15" t="s">
        <v>11</v>
      </c>
      <c r="G772" s="15">
        <v>1100</v>
      </c>
      <c r="H772" s="15">
        <v>1</v>
      </c>
    </row>
    <row r="773" spans="2:8" x14ac:dyDescent="0.3">
      <c r="B773" s="15">
        <v>767</v>
      </c>
      <c r="C773" s="14">
        <v>44232</v>
      </c>
      <c r="D773" s="15" t="s">
        <v>9</v>
      </c>
      <c r="E773" s="15" t="s">
        <v>10</v>
      </c>
      <c r="F773" s="15" t="s">
        <v>11</v>
      </c>
      <c r="G773" s="15">
        <v>1100</v>
      </c>
      <c r="H773" s="15">
        <v>1</v>
      </c>
    </row>
    <row r="774" spans="2:8" x14ac:dyDescent="0.3">
      <c r="B774" s="15">
        <v>768</v>
      </c>
      <c r="C774" s="14">
        <v>44233</v>
      </c>
      <c r="D774" s="15" t="s">
        <v>9</v>
      </c>
      <c r="E774" s="15" t="s">
        <v>18</v>
      </c>
      <c r="F774" s="15" t="s">
        <v>17</v>
      </c>
      <c r="G774" s="15">
        <v>600</v>
      </c>
      <c r="H774" s="15">
        <v>1</v>
      </c>
    </row>
    <row r="775" spans="2:8" x14ac:dyDescent="0.3">
      <c r="B775" s="15">
        <v>769</v>
      </c>
      <c r="C775" s="14">
        <v>44234</v>
      </c>
      <c r="D775" s="15" t="s">
        <v>9</v>
      </c>
      <c r="E775" s="15" t="s">
        <v>18</v>
      </c>
      <c r="F775" s="15" t="s">
        <v>17</v>
      </c>
      <c r="G775" s="15">
        <v>600</v>
      </c>
      <c r="H775" s="15">
        <v>2</v>
      </c>
    </row>
    <row r="776" spans="2:8" x14ac:dyDescent="0.3">
      <c r="B776" s="15">
        <v>770</v>
      </c>
      <c r="C776" s="14">
        <v>44235</v>
      </c>
      <c r="D776" s="15" t="s">
        <v>9</v>
      </c>
      <c r="E776" s="15" t="s">
        <v>21</v>
      </c>
      <c r="F776" s="15" t="s">
        <v>20</v>
      </c>
      <c r="G776" s="15">
        <v>1200</v>
      </c>
      <c r="H776" s="15">
        <v>1</v>
      </c>
    </row>
    <row r="777" spans="2:8" x14ac:dyDescent="0.3">
      <c r="B777" s="15">
        <v>771</v>
      </c>
      <c r="C777" s="14">
        <v>44236</v>
      </c>
      <c r="D777" s="15" t="s">
        <v>9</v>
      </c>
      <c r="E777" s="15" t="s">
        <v>21</v>
      </c>
      <c r="F777" s="15" t="s">
        <v>20</v>
      </c>
      <c r="G777" s="15">
        <v>1200</v>
      </c>
      <c r="H777" s="15">
        <v>1</v>
      </c>
    </row>
    <row r="778" spans="2:8" x14ac:dyDescent="0.3">
      <c r="B778" s="15">
        <v>772</v>
      </c>
      <c r="C778" s="14">
        <v>44237</v>
      </c>
      <c r="D778" s="15" t="s">
        <v>9</v>
      </c>
      <c r="E778" s="15" t="s">
        <v>15</v>
      </c>
      <c r="F778" s="15" t="s">
        <v>11</v>
      </c>
      <c r="G778" s="15">
        <v>1000</v>
      </c>
      <c r="H778" s="15">
        <v>1</v>
      </c>
    </row>
    <row r="779" spans="2:8" x14ac:dyDescent="0.3">
      <c r="B779" s="15">
        <v>773</v>
      </c>
      <c r="C779" s="14">
        <v>44238</v>
      </c>
      <c r="D779" s="15" t="s">
        <v>9</v>
      </c>
      <c r="E779" s="15" t="s">
        <v>16</v>
      </c>
      <c r="F779" s="15" t="s">
        <v>17</v>
      </c>
      <c r="G779" s="15">
        <v>800</v>
      </c>
      <c r="H779" s="15">
        <v>2</v>
      </c>
    </row>
    <row r="780" spans="2:8" x14ac:dyDescent="0.3">
      <c r="B780" s="15">
        <v>774</v>
      </c>
      <c r="C780" s="14">
        <v>44239</v>
      </c>
      <c r="D780" s="15" t="s">
        <v>9</v>
      </c>
      <c r="E780" s="15" t="s">
        <v>21</v>
      </c>
      <c r="F780" s="15" t="s">
        <v>20</v>
      </c>
      <c r="G780" s="15">
        <v>1200</v>
      </c>
      <c r="H780" s="15">
        <v>1</v>
      </c>
    </row>
    <row r="781" spans="2:8" x14ac:dyDescent="0.3">
      <c r="B781" s="15">
        <v>775</v>
      </c>
      <c r="C781" s="14">
        <v>44240</v>
      </c>
      <c r="D781" s="15" t="s">
        <v>9</v>
      </c>
      <c r="E781" s="15" t="s">
        <v>14</v>
      </c>
      <c r="F781" s="15" t="s">
        <v>11</v>
      </c>
      <c r="G781" s="15">
        <v>900</v>
      </c>
      <c r="H781" s="15">
        <v>1</v>
      </c>
    </row>
    <row r="782" spans="2:8" x14ac:dyDescent="0.3">
      <c r="B782" s="15">
        <v>776</v>
      </c>
      <c r="C782" s="14">
        <v>44241</v>
      </c>
      <c r="D782" s="15" t="s">
        <v>9</v>
      </c>
      <c r="E782" s="15" t="s">
        <v>15</v>
      </c>
      <c r="F782" s="15" t="s">
        <v>11</v>
      </c>
      <c r="G782" s="15">
        <v>1000</v>
      </c>
      <c r="H782" s="15">
        <v>1</v>
      </c>
    </row>
    <row r="783" spans="2:8" x14ac:dyDescent="0.3">
      <c r="B783" s="15">
        <v>777</v>
      </c>
      <c r="C783" s="14">
        <v>44242</v>
      </c>
      <c r="D783" s="15" t="s">
        <v>9</v>
      </c>
      <c r="E783" s="15" t="s">
        <v>16</v>
      </c>
      <c r="F783" s="15" t="s">
        <v>17</v>
      </c>
      <c r="G783" s="15">
        <v>800</v>
      </c>
      <c r="H783" s="15">
        <v>1</v>
      </c>
    </row>
    <row r="784" spans="2:8" x14ac:dyDescent="0.3">
      <c r="B784" s="15">
        <v>778</v>
      </c>
      <c r="C784" s="14">
        <v>44243</v>
      </c>
      <c r="D784" s="15" t="s">
        <v>9</v>
      </c>
      <c r="E784" s="15" t="s">
        <v>21</v>
      </c>
      <c r="F784" s="15" t="s">
        <v>20</v>
      </c>
      <c r="G784" s="15">
        <v>1200</v>
      </c>
      <c r="H784" s="15">
        <v>1</v>
      </c>
    </row>
    <row r="785" spans="2:8" x14ac:dyDescent="0.3">
      <c r="B785" s="15">
        <v>779</v>
      </c>
      <c r="C785" s="14">
        <v>44244</v>
      </c>
      <c r="D785" s="15" t="s">
        <v>9</v>
      </c>
      <c r="E785" s="15" t="s">
        <v>21</v>
      </c>
      <c r="F785" s="15" t="s">
        <v>20</v>
      </c>
      <c r="G785" s="15">
        <v>1200</v>
      </c>
      <c r="H785" s="15">
        <v>1</v>
      </c>
    </row>
    <row r="786" spans="2:8" x14ac:dyDescent="0.3">
      <c r="B786" s="15">
        <v>780</v>
      </c>
      <c r="C786" s="14">
        <v>44245</v>
      </c>
      <c r="D786" s="15" t="s">
        <v>9</v>
      </c>
      <c r="E786" s="15" t="s">
        <v>16</v>
      </c>
      <c r="F786" s="15" t="s">
        <v>17</v>
      </c>
      <c r="G786" s="15">
        <v>800</v>
      </c>
      <c r="H786" s="15">
        <v>2</v>
      </c>
    </row>
    <row r="787" spans="2:8" x14ac:dyDescent="0.3">
      <c r="B787" s="15">
        <v>781</v>
      </c>
      <c r="C787" s="14">
        <v>44246</v>
      </c>
      <c r="D787" s="15" t="s">
        <v>9</v>
      </c>
      <c r="E787" s="15" t="s">
        <v>12</v>
      </c>
      <c r="F787" s="15" t="s">
        <v>11</v>
      </c>
      <c r="G787" s="15">
        <v>900</v>
      </c>
      <c r="H787" s="15">
        <v>1</v>
      </c>
    </row>
    <row r="788" spans="2:8" x14ac:dyDescent="0.3">
      <c r="B788" s="15">
        <v>782</v>
      </c>
      <c r="C788" s="14">
        <v>44247</v>
      </c>
      <c r="D788" s="15" t="s">
        <v>9</v>
      </c>
      <c r="E788" s="15" t="s">
        <v>15</v>
      </c>
      <c r="F788" s="15" t="s">
        <v>11</v>
      </c>
      <c r="G788" s="15">
        <v>1000</v>
      </c>
      <c r="H788" s="15">
        <v>1</v>
      </c>
    </row>
    <row r="789" spans="2:8" x14ac:dyDescent="0.3">
      <c r="B789" s="15">
        <v>783</v>
      </c>
      <c r="C789" s="14">
        <v>44248</v>
      </c>
      <c r="D789" s="15" t="s">
        <v>9</v>
      </c>
      <c r="E789" s="15" t="s">
        <v>15</v>
      </c>
      <c r="F789" s="15" t="s">
        <v>11</v>
      </c>
      <c r="G789" s="15">
        <v>1000</v>
      </c>
      <c r="H789" s="15">
        <v>1</v>
      </c>
    </row>
    <row r="790" spans="2:8" x14ac:dyDescent="0.3">
      <c r="B790" s="15">
        <v>784</v>
      </c>
      <c r="C790" s="14">
        <v>44249</v>
      </c>
      <c r="D790" s="15" t="s">
        <v>9</v>
      </c>
      <c r="E790" s="15" t="s">
        <v>18</v>
      </c>
      <c r="F790" s="15" t="s">
        <v>17</v>
      </c>
      <c r="G790" s="15">
        <v>600</v>
      </c>
      <c r="H790" s="15">
        <v>1</v>
      </c>
    </row>
    <row r="791" spans="2:8" x14ac:dyDescent="0.3">
      <c r="B791" s="15">
        <v>785</v>
      </c>
      <c r="C791" s="14">
        <v>44250</v>
      </c>
      <c r="D791" s="15" t="s">
        <v>9</v>
      </c>
      <c r="E791" s="15" t="s">
        <v>19</v>
      </c>
      <c r="F791" s="15" t="s">
        <v>20</v>
      </c>
      <c r="G791" s="15">
        <v>850</v>
      </c>
      <c r="H791" s="15">
        <v>1</v>
      </c>
    </row>
    <row r="792" spans="2:8" x14ac:dyDescent="0.3">
      <c r="B792" s="15">
        <v>786</v>
      </c>
      <c r="C792" s="14">
        <v>44251</v>
      </c>
      <c r="D792" s="15" t="s">
        <v>9</v>
      </c>
      <c r="E792" s="15" t="s">
        <v>18</v>
      </c>
      <c r="F792" s="15" t="s">
        <v>17</v>
      </c>
      <c r="G792" s="15">
        <v>600</v>
      </c>
      <c r="H792" s="15">
        <v>1</v>
      </c>
    </row>
    <row r="793" spans="2:8" x14ac:dyDescent="0.3">
      <c r="B793" s="15">
        <v>787</v>
      </c>
      <c r="C793" s="14">
        <v>44252</v>
      </c>
      <c r="D793" s="15" t="s">
        <v>9</v>
      </c>
      <c r="E793" s="15" t="s">
        <v>19</v>
      </c>
      <c r="F793" s="15" t="s">
        <v>20</v>
      </c>
      <c r="G793" s="15">
        <v>850</v>
      </c>
      <c r="H793" s="15">
        <v>1</v>
      </c>
    </row>
    <row r="794" spans="2:8" x14ac:dyDescent="0.3">
      <c r="B794" s="15">
        <v>788</v>
      </c>
      <c r="C794" s="14">
        <v>44253</v>
      </c>
      <c r="D794" s="15" t="s">
        <v>9</v>
      </c>
      <c r="E794" s="15" t="s">
        <v>19</v>
      </c>
      <c r="F794" s="15" t="s">
        <v>20</v>
      </c>
      <c r="G794" s="15">
        <v>850</v>
      </c>
      <c r="H794" s="15">
        <v>1</v>
      </c>
    </row>
    <row r="795" spans="2:8" x14ac:dyDescent="0.3">
      <c r="B795" s="15">
        <v>789</v>
      </c>
      <c r="C795" s="14">
        <v>44254</v>
      </c>
      <c r="D795" s="15" t="s">
        <v>9</v>
      </c>
      <c r="E795" s="15" t="s">
        <v>12</v>
      </c>
      <c r="F795" s="15" t="s">
        <v>11</v>
      </c>
      <c r="G795" s="15">
        <v>900</v>
      </c>
      <c r="H795" s="15">
        <v>1</v>
      </c>
    </row>
    <row r="796" spans="2:8" x14ac:dyDescent="0.3">
      <c r="B796" s="15">
        <v>790</v>
      </c>
      <c r="C796" s="14">
        <v>44255</v>
      </c>
      <c r="D796" s="15" t="s">
        <v>9</v>
      </c>
      <c r="E796" s="15" t="s">
        <v>21</v>
      </c>
      <c r="F796" s="15" t="s">
        <v>20</v>
      </c>
      <c r="G796" s="15">
        <v>1200</v>
      </c>
      <c r="H796" s="15">
        <v>2</v>
      </c>
    </row>
    <row r="797" spans="2:8" x14ac:dyDescent="0.3">
      <c r="B797" s="15">
        <v>791</v>
      </c>
      <c r="C797" s="14">
        <v>44256</v>
      </c>
      <c r="D797" s="15" t="s">
        <v>9</v>
      </c>
      <c r="E797" s="15" t="s">
        <v>16</v>
      </c>
      <c r="F797" s="15" t="s">
        <v>17</v>
      </c>
      <c r="G797" s="15">
        <v>800</v>
      </c>
      <c r="H797" s="15">
        <v>1</v>
      </c>
    </row>
    <row r="798" spans="2:8" x14ac:dyDescent="0.3">
      <c r="B798" s="15">
        <v>792</v>
      </c>
      <c r="C798" s="14">
        <v>44257</v>
      </c>
      <c r="D798" s="15" t="s">
        <v>9</v>
      </c>
      <c r="E798" s="15" t="s">
        <v>16</v>
      </c>
      <c r="F798" s="15" t="s">
        <v>17</v>
      </c>
      <c r="G798" s="15">
        <v>800</v>
      </c>
      <c r="H798" s="15">
        <v>1</v>
      </c>
    </row>
    <row r="799" spans="2:8" x14ac:dyDescent="0.3">
      <c r="B799" s="15">
        <v>793</v>
      </c>
      <c r="C799" s="14">
        <v>44258</v>
      </c>
      <c r="D799" s="15" t="s">
        <v>9</v>
      </c>
      <c r="E799" s="15" t="s">
        <v>14</v>
      </c>
      <c r="F799" s="15" t="s">
        <v>11</v>
      </c>
      <c r="G799" s="15">
        <v>900</v>
      </c>
      <c r="H799" s="15">
        <v>1</v>
      </c>
    </row>
    <row r="800" spans="2:8" x14ac:dyDescent="0.3">
      <c r="B800" s="15">
        <v>794</v>
      </c>
      <c r="C800" s="14">
        <v>44259</v>
      </c>
      <c r="D800" s="15" t="s">
        <v>9</v>
      </c>
      <c r="E800" s="15" t="s">
        <v>16</v>
      </c>
      <c r="F800" s="15" t="s">
        <v>17</v>
      </c>
      <c r="G800" s="15">
        <v>800</v>
      </c>
      <c r="H800" s="15">
        <v>1</v>
      </c>
    </row>
    <row r="801" spans="2:8" x14ac:dyDescent="0.3">
      <c r="B801" s="15">
        <v>795</v>
      </c>
      <c r="C801" s="14">
        <v>44260</v>
      </c>
      <c r="D801" s="15" t="s">
        <v>9</v>
      </c>
      <c r="E801" s="15" t="s">
        <v>18</v>
      </c>
      <c r="F801" s="15" t="s">
        <v>17</v>
      </c>
      <c r="G801" s="15">
        <v>600</v>
      </c>
      <c r="H801" s="15">
        <v>1</v>
      </c>
    </row>
    <row r="802" spans="2:8" x14ac:dyDescent="0.3">
      <c r="B802" s="15">
        <v>796</v>
      </c>
      <c r="C802" s="14">
        <v>44261</v>
      </c>
      <c r="D802" s="15" t="s">
        <v>9</v>
      </c>
      <c r="E802" s="15" t="s">
        <v>12</v>
      </c>
      <c r="F802" s="15" t="s">
        <v>11</v>
      </c>
      <c r="G802" s="15">
        <v>900</v>
      </c>
      <c r="H802" s="15">
        <v>3</v>
      </c>
    </row>
    <row r="803" spans="2:8" x14ac:dyDescent="0.3">
      <c r="B803" s="15">
        <v>797</v>
      </c>
      <c r="C803" s="14">
        <v>44262</v>
      </c>
      <c r="D803" s="15" t="s">
        <v>9</v>
      </c>
      <c r="E803" s="15" t="s">
        <v>18</v>
      </c>
      <c r="F803" s="15" t="s">
        <v>17</v>
      </c>
      <c r="G803" s="15">
        <v>600</v>
      </c>
      <c r="H803" s="15">
        <v>1</v>
      </c>
    </row>
    <row r="804" spans="2:8" x14ac:dyDescent="0.3">
      <c r="B804" s="15">
        <v>798</v>
      </c>
      <c r="C804" s="14">
        <v>44263</v>
      </c>
      <c r="D804" s="15" t="s">
        <v>9</v>
      </c>
      <c r="E804" s="15" t="s">
        <v>16</v>
      </c>
      <c r="F804" s="15" t="s">
        <v>17</v>
      </c>
      <c r="G804" s="15">
        <v>800</v>
      </c>
      <c r="H804" s="15">
        <v>1</v>
      </c>
    </row>
    <row r="805" spans="2:8" x14ac:dyDescent="0.3">
      <c r="B805" s="15">
        <v>799</v>
      </c>
      <c r="C805" s="14">
        <v>44264</v>
      </c>
      <c r="D805" s="15" t="s">
        <v>9</v>
      </c>
      <c r="E805" s="15" t="s">
        <v>18</v>
      </c>
      <c r="F805" s="15" t="s">
        <v>17</v>
      </c>
      <c r="G805" s="15">
        <v>600</v>
      </c>
      <c r="H805" s="15">
        <v>1</v>
      </c>
    </row>
    <row r="806" spans="2:8" x14ac:dyDescent="0.3">
      <c r="B806" s="15">
        <v>800</v>
      </c>
      <c r="C806" s="14">
        <v>44265</v>
      </c>
      <c r="D806" s="15" t="s">
        <v>9</v>
      </c>
      <c r="E806" s="15" t="s">
        <v>10</v>
      </c>
      <c r="F806" s="15" t="s">
        <v>11</v>
      </c>
      <c r="G806" s="15">
        <v>1100</v>
      </c>
      <c r="H806" s="15">
        <v>1</v>
      </c>
    </row>
    <row r="807" spans="2:8" x14ac:dyDescent="0.3">
      <c r="B807" s="15">
        <v>801</v>
      </c>
      <c r="C807" s="14">
        <v>44266</v>
      </c>
      <c r="D807" s="15" t="s">
        <v>9</v>
      </c>
      <c r="E807" s="15" t="s">
        <v>14</v>
      </c>
      <c r="F807" s="15" t="s">
        <v>11</v>
      </c>
      <c r="G807" s="15">
        <v>900</v>
      </c>
      <c r="H807" s="15">
        <v>1</v>
      </c>
    </row>
    <row r="808" spans="2:8" x14ac:dyDescent="0.3">
      <c r="B808" s="15">
        <v>802</v>
      </c>
      <c r="C808" s="14">
        <v>44267</v>
      </c>
      <c r="D808" s="15" t="s">
        <v>9</v>
      </c>
      <c r="E808" s="15" t="s">
        <v>10</v>
      </c>
      <c r="F808" s="15" t="s">
        <v>11</v>
      </c>
      <c r="G808" s="15">
        <v>1100</v>
      </c>
      <c r="H808" s="15">
        <v>1</v>
      </c>
    </row>
    <row r="809" spans="2:8" x14ac:dyDescent="0.3">
      <c r="B809" s="15">
        <v>803</v>
      </c>
      <c r="C809" s="14">
        <v>44268</v>
      </c>
      <c r="D809" s="15" t="s">
        <v>9</v>
      </c>
      <c r="E809" s="15" t="s">
        <v>10</v>
      </c>
      <c r="F809" s="15" t="s">
        <v>11</v>
      </c>
      <c r="G809" s="15">
        <v>1100</v>
      </c>
      <c r="H809" s="15">
        <v>1</v>
      </c>
    </row>
    <row r="810" spans="2:8" x14ac:dyDescent="0.3">
      <c r="B810" s="15">
        <v>804</v>
      </c>
      <c r="C810" s="14">
        <v>44269</v>
      </c>
      <c r="D810" s="15" t="s">
        <v>9</v>
      </c>
      <c r="E810" s="15" t="s">
        <v>21</v>
      </c>
      <c r="F810" s="15" t="s">
        <v>20</v>
      </c>
      <c r="G810" s="15">
        <v>1200</v>
      </c>
      <c r="H810" s="15">
        <v>1</v>
      </c>
    </row>
    <row r="811" spans="2:8" x14ac:dyDescent="0.3">
      <c r="B811" s="15">
        <v>805</v>
      </c>
      <c r="C811" s="14">
        <v>44270</v>
      </c>
      <c r="D811" s="15" t="s">
        <v>9</v>
      </c>
      <c r="E811" s="15" t="s">
        <v>21</v>
      </c>
      <c r="F811" s="15" t="s">
        <v>20</v>
      </c>
      <c r="G811" s="15">
        <v>1200</v>
      </c>
      <c r="H811" s="15">
        <v>1</v>
      </c>
    </row>
    <row r="812" spans="2:8" x14ac:dyDescent="0.3">
      <c r="B812" s="15">
        <v>806</v>
      </c>
      <c r="C812" s="14">
        <v>44271</v>
      </c>
      <c r="D812" s="15" t="s">
        <v>9</v>
      </c>
      <c r="E812" s="15" t="s">
        <v>10</v>
      </c>
      <c r="F812" s="15" t="s">
        <v>11</v>
      </c>
      <c r="G812" s="15">
        <v>1100</v>
      </c>
      <c r="H812" s="15">
        <v>1</v>
      </c>
    </row>
    <row r="813" spans="2:8" x14ac:dyDescent="0.3">
      <c r="B813" s="15">
        <v>807</v>
      </c>
      <c r="C813" s="14">
        <v>44272</v>
      </c>
      <c r="D813" s="15" t="s">
        <v>9</v>
      </c>
      <c r="E813" s="15" t="s">
        <v>10</v>
      </c>
      <c r="F813" s="15" t="s">
        <v>11</v>
      </c>
      <c r="G813" s="15">
        <v>1100</v>
      </c>
      <c r="H813" s="15">
        <v>1</v>
      </c>
    </row>
    <row r="814" spans="2:8" x14ac:dyDescent="0.3">
      <c r="B814" s="15">
        <v>808</v>
      </c>
      <c r="C814" s="14">
        <v>44273</v>
      </c>
      <c r="D814" s="15" t="s">
        <v>9</v>
      </c>
      <c r="E814" s="15" t="s">
        <v>22</v>
      </c>
      <c r="F814" s="15" t="s">
        <v>23</v>
      </c>
      <c r="G814" s="15">
        <v>900</v>
      </c>
      <c r="H814" s="15">
        <v>1</v>
      </c>
    </row>
    <row r="815" spans="2:8" x14ac:dyDescent="0.3">
      <c r="B815" s="15">
        <v>809</v>
      </c>
      <c r="C815" s="14">
        <v>44274</v>
      </c>
      <c r="D815" s="15" t="s">
        <v>9</v>
      </c>
      <c r="E815" s="15" t="s">
        <v>14</v>
      </c>
      <c r="F815" s="15" t="s">
        <v>11</v>
      </c>
      <c r="G815" s="15">
        <v>900</v>
      </c>
      <c r="H815" s="15">
        <v>1</v>
      </c>
    </row>
    <row r="816" spans="2:8" x14ac:dyDescent="0.3">
      <c r="B816" s="15">
        <v>810</v>
      </c>
      <c r="C816" s="14">
        <v>44275</v>
      </c>
      <c r="D816" s="15" t="s">
        <v>9</v>
      </c>
      <c r="E816" s="15" t="s">
        <v>22</v>
      </c>
      <c r="F816" s="15" t="s">
        <v>23</v>
      </c>
      <c r="G816" s="15">
        <v>800</v>
      </c>
      <c r="H816" s="15">
        <v>1</v>
      </c>
    </row>
    <row r="817" spans="2:8" x14ac:dyDescent="0.3">
      <c r="B817" s="15">
        <v>811</v>
      </c>
      <c r="C817" s="14">
        <v>44276</v>
      </c>
      <c r="D817" s="15" t="s">
        <v>9</v>
      </c>
      <c r="E817" s="15" t="s">
        <v>18</v>
      </c>
      <c r="F817" s="15" t="s">
        <v>17</v>
      </c>
      <c r="G817" s="15">
        <v>600</v>
      </c>
      <c r="H817" s="15">
        <v>1</v>
      </c>
    </row>
    <row r="818" spans="2:8" x14ac:dyDescent="0.3">
      <c r="B818" s="15">
        <v>812</v>
      </c>
      <c r="C818" s="14">
        <v>44277</v>
      </c>
      <c r="D818" s="15" t="s">
        <v>9</v>
      </c>
      <c r="E818" s="15" t="s">
        <v>22</v>
      </c>
      <c r="F818" s="15" t="s">
        <v>23</v>
      </c>
      <c r="G818" s="15">
        <v>800</v>
      </c>
      <c r="H818" s="15">
        <v>1</v>
      </c>
    </row>
    <row r="819" spans="2:8" x14ac:dyDescent="0.3">
      <c r="B819" s="15">
        <v>813</v>
      </c>
      <c r="C819" s="14">
        <v>44278</v>
      </c>
      <c r="D819" s="15" t="s">
        <v>9</v>
      </c>
      <c r="E819" s="15" t="s">
        <v>14</v>
      </c>
      <c r="F819" s="15" t="s">
        <v>11</v>
      </c>
      <c r="G819" s="15">
        <v>900</v>
      </c>
      <c r="H819" s="15">
        <v>1</v>
      </c>
    </row>
    <row r="820" spans="2:8" x14ac:dyDescent="0.3">
      <c r="B820" s="15">
        <v>814</v>
      </c>
      <c r="C820" s="14">
        <v>44279</v>
      </c>
      <c r="D820" s="15" t="s">
        <v>9</v>
      </c>
      <c r="E820" s="15" t="s">
        <v>21</v>
      </c>
      <c r="F820" s="15" t="s">
        <v>20</v>
      </c>
      <c r="G820" s="15">
        <v>1200</v>
      </c>
      <c r="H820" s="15">
        <v>1</v>
      </c>
    </row>
    <row r="821" spans="2:8" x14ac:dyDescent="0.3">
      <c r="B821" s="15">
        <v>815</v>
      </c>
      <c r="C821" s="14">
        <v>44280</v>
      </c>
      <c r="D821" s="15" t="s">
        <v>9</v>
      </c>
      <c r="E821" s="15" t="s">
        <v>22</v>
      </c>
      <c r="F821" s="15" t="s">
        <v>23</v>
      </c>
      <c r="G821" s="15">
        <v>800</v>
      </c>
      <c r="H821" s="15">
        <v>1</v>
      </c>
    </row>
    <row r="822" spans="2:8" x14ac:dyDescent="0.3">
      <c r="B822" s="15">
        <v>816</v>
      </c>
      <c r="C822" s="14">
        <v>44281</v>
      </c>
      <c r="D822" s="15" t="s">
        <v>9</v>
      </c>
      <c r="E822" s="15" t="s">
        <v>12</v>
      </c>
      <c r="F822" s="15" t="s">
        <v>11</v>
      </c>
      <c r="G822" s="15">
        <v>900</v>
      </c>
      <c r="H822" s="15">
        <v>1</v>
      </c>
    </row>
    <row r="823" spans="2:8" x14ac:dyDescent="0.3">
      <c r="B823" s="15">
        <v>817</v>
      </c>
      <c r="C823" s="14">
        <v>44282</v>
      </c>
      <c r="D823" s="15" t="s">
        <v>9</v>
      </c>
      <c r="E823" s="15" t="s">
        <v>21</v>
      </c>
      <c r="F823" s="15" t="s">
        <v>20</v>
      </c>
      <c r="G823" s="15">
        <v>1200</v>
      </c>
      <c r="H823" s="15">
        <v>1</v>
      </c>
    </row>
    <row r="824" spans="2:8" x14ac:dyDescent="0.3">
      <c r="B824" s="15">
        <v>818</v>
      </c>
      <c r="C824" s="14">
        <v>44283</v>
      </c>
      <c r="D824" s="15" t="s">
        <v>9</v>
      </c>
      <c r="E824" s="15" t="s">
        <v>10</v>
      </c>
      <c r="F824" s="15" t="s">
        <v>11</v>
      </c>
      <c r="G824" s="15">
        <v>1100</v>
      </c>
      <c r="H824" s="15">
        <v>1</v>
      </c>
    </row>
    <row r="825" spans="2:8" x14ac:dyDescent="0.3">
      <c r="B825" s="15">
        <v>819</v>
      </c>
      <c r="C825" s="14">
        <v>44284</v>
      </c>
      <c r="D825" s="15" t="s">
        <v>9</v>
      </c>
      <c r="E825" s="15" t="s">
        <v>21</v>
      </c>
      <c r="F825" s="15" t="s">
        <v>20</v>
      </c>
      <c r="G825" s="15">
        <v>1200</v>
      </c>
      <c r="H825" s="15">
        <v>1</v>
      </c>
    </row>
    <row r="826" spans="2:8" x14ac:dyDescent="0.3">
      <c r="B826" s="15">
        <v>820</v>
      </c>
      <c r="C826" s="14">
        <v>44285</v>
      </c>
      <c r="D826" s="15" t="s">
        <v>9</v>
      </c>
      <c r="E826" s="15" t="s">
        <v>14</v>
      </c>
      <c r="F826" s="15" t="s">
        <v>11</v>
      </c>
      <c r="G826" s="15">
        <v>900</v>
      </c>
      <c r="H826" s="15">
        <v>1</v>
      </c>
    </row>
    <row r="827" spans="2:8" x14ac:dyDescent="0.3">
      <c r="B827" s="15">
        <v>821</v>
      </c>
      <c r="C827" s="14">
        <v>44286</v>
      </c>
      <c r="D827" s="15" t="s">
        <v>9</v>
      </c>
      <c r="E827" s="15" t="s">
        <v>10</v>
      </c>
      <c r="F827" s="15" t="s">
        <v>11</v>
      </c>
      <c r="G827" s="15">
        <v>1100</v>
      </c>
      <c r="H827" s="15">
        <v>2</v>
      </c>
    </row>
    <row r="828" spans="2:8" x14ac:dyDescent="0.3">
      <c r="B828" s="15">
        <v>822</v>
      </c>
      <c r="C828" s="14">
        <v>44287</v>
      </c>
      <c r="D828" s="15" t="s">
        <v>9</v>
      </c>
      <c r="E828" s="15" t="s">
        <v>21</v>
      </c>
      <c r="F828" s="15" t="s">
        <v>20</v>
      </c>
      <c r="G828" s="15">
        <v>1200</v>
      </c>
      <c r="H828" s="15">
        <v>1</v>
      </c>
    </row>
    <row r="829" spans="2:8" x14ac:dyDescent="0.3">
      <c r="B829" s="15">
        <v>823</v>
      </c>
      <c r="C829" s="14">
        <v>44288</v>
      </c>
      <c r="D829" s="15" t="s">
        <v>9</v>
      </c>
      <c r="E829" s="15" t="s">
        <v>10</v>
      </c>
      <c r="F829" s="15" t="s">
        <v>11</v>
      </c>
      <c r="G829" s="15">
        <v>1100</v>
      </c>
      <c r="H829" s="15">
        <v>1</v>
      </c>
    </row>
    <row r="830" spans="2:8" x14ac:dyDescent="0.3">
      <c r="B830" s="15">
        <v>824</v>
      </c>
      <c r="C830" s="14">
        <v>44289</v>
      </c>
      <c r="D830" s="15" t="s">
        <v>9</v>
      </c>
      <c r="E830" s="15" t="s">
        <v>12</v>
      </c>
      <c r="F830" s="15" t="s">
        <v>11</v>
      </c>
      <c r="G830" s="15">
        <v>900</v>
      </c>
      <c r="H830" s="15">
        <v>1</v>
      </c>
    </row>
    <row r="831" spans="2:8" x14ac:dyDescent="0.3">
      <c r="B831" s="15">
        <v>825</v>
      </c>
      <c r="C831" s="14">
        <v>44290</v>
      </c>
      <c r="D831" s="15" t="s">
        <v>9</v>
      </c>
      <c r="E831" s="15" t="s">
        <v>18</v>
      </c>
      <c r="F831" s="15" t="s">
        <v>17</v>
      </c>
      <c r="G831" s="15">
        <v>600</v>
      </c>
      <c r="H831" s="15">
        <v>1</v>
      </c>
    </row>
    <row r="832" spans="2:8" x14ac:dyDescent="0.3">
      <c r="B832" s="15">
        <v>826</v>
      </c>
      <c r="C832" s="14">
        <v>44291</v>
      </c>
      <c r="D832" s="15" t="s">
        <v>9</v>
      </c>
      <c r="E832" s="15" t="s">
        <v>22</v>
      </c>
      <c r="F832" s="15" t="s">
        <v>23</v>
      </c>
      <c r="G832" s="15">
        <v>900</v>
      </c>
      <c r="H832" s="15">
        <v>1</v>
      </c>
    </row>
    <row r="833" spans="2:8" x14ac:dyDescent="0.3">
      <c r="B833" s="15">
        <v>827</v>
      </c>
      <c r="C833" s="14">
        <v>44292</v>
      </c>
      <c r="D833" s="15" t="s">
        <v>9</v>
      </c>
      <c r="E833" s="15" t="s">
        <v>16</v>
      </c>
      <c r="F833" s="15" t="s">
        <v>17</v>
      </c>
      <c r="G833" s="15">
        <v>800</v>
      </c>
      <c r="H833" s="15">
        <v>1</v>
      </c>
    </row>
    <row r="834" spans="2:8" x14ac:dyDescent="0.3">
      <c r="B834" s="15">
        <v>828</v>
      </c>
      <c r="C834" s="14">
        <v>44293</v>
      </c>
      <c r="D834" s="15" t="s">
        <v>9</v>
      </c>
      <c r="E834" s="15" t="s">
        <v>10</v>
      </c>
      <c r="F834" s="15" t="s">
        <v>11</v>
      </c>
      <c r="G834" s="15">
        <v>1100</v>
      </c>
      <c r="H834" s="15">
        <v>1</v>
      </c>
    </row>
    <row r="835" spans="2:8" x14ac:dyDescent="0.3">
      <c r="B835" s="15">
        <v>829</v>
      </c>
      <c r="C835" s="14">
        <v>44294</v>
      </c>
      <c r="D835" s="15" t="s">
        <v>9</v>
      </c>
      <c r="E835" s="15" t="s">
        <v>14</v>
      </c>
      <c r="F835" s="15" t="s">
        <v>11</v>
      </c>
      <c r="G835" s="15">
        <v>900</v>
      </c>
      <c r="H835" s="15">
        <v>1</v>
      </c>
    </row>
    <row r="836" spans="2:8" x14ac:dyDescent="0.3">
      <c r="B836" s="15">
        <v>830</v>
      </c>
      <c r="C836" s="14">
        <v>44295</v>
      </c>
      <c r="D836" s="15" t="s">
        <v>9</v>
      </c>
      <c r="E836" s="15" t="s">
        <v>15</v>
      </c>
      <c r="F836" s="15" t="s">
        <v>11</v>
      </c>
      <c r="G836" s="15">
        <v>1000</v>
      </c>
      <c r="H836" s="15">
        <v>1</v>
      </c>
    </row>
    <row r="837" spans="2:8" x14ac:dyDescent="0.3">
      <c r="B837" s="15">
        <v>831</v>
      </c>
      <c r="C837" s="14">
        <v>44296</v>
      </c>
      <c r="D837" s="15" t="s">
        <v>9</v>
      </c>
      <c r="E837" s="15" t="s">
        <v>19</v>
      </c>
      <c r="F837" s="15" t="s">
        <v>20</v>
      </c>
      <c r="G837" s="15">
        <v>850</v>
      </c>
      <c r="H837" s="15">
        <v>1</v>
      </c>
    </row>
    <row r="838" spans="2:8" x14ac:dyDescent="0.3">
      <c r="B838" s="15">
        <v>832</v>
      </c>
      <c r="C838" s="14">
        <v>44297</v>
      </c>
      <c r="D838" s="15" t="s">
        <v>9</v>
      </c>
      <c r="E838" s="15" t="s">
        <v>18</v>
      </c>
      <c r="F838" s="15" t="s">
        <v>17</v>
      </c>
      <c r="G838" s="15">
        <v>600</v>
      </c>
      <c r="H838" s="15">
        <v>1</v>
      </c>
    </row>
    <row r="839" spans="2:8" x14ac:dyDescent="0.3">
      <c r="B839" s="15">
        <v>833</v>
      </c>
      <c r="C839" s="14">
        <v>44298</v>
      </c>
      <c r="D839" s="15" t="s">
        <v>9</v>
      </c>
      <c r="E839" s="15" t="s">
        <v>14</v>
      </c>
      <c r="F839" s="15" t="s">
        <v>11</v>
      </c>
      <c r="G839" s="15">
        <v>900</v>
      </c>
      <c r="H839" s="15">
        <v>1</v>
      </c>
    </row>
    <row r="840" spans="2:8" x14ac:dyDescent="0.3">
      <c r="B840" s="15">
        <v>834</v>
      </c>
      <c r="C840" s="14">
        <v>44299</v>
      </c>
      <c r="D840" s="15" t="s">
        <v>9</v>
      </c>
      <c r="E840" s="15" t="s">
        <v>15</v>
      </c>
      <c r="F840" s="15" t="s">
        <v>11</v>
      </c>
      <c r="G840" s="15">
        <v>1000</v>
      </c>
      <c r="H840" s="15">
        <v>1</v>
      </c>
    </row>
    <row r="841" spans="2:8" x14ac:dyDescent="0.3">
      <c r="B841" s="15">
        <v>835</v>
      </c>
      <c r="C841" s="14">
        <v>44300</v>
      </c>
      <c r="D841" s="15" t="s">
        <v>9</v>
      </c>
      <c r="E841" s="15" t="s">
        <v>14</v>
      </c>
      <c r="F841" s="15" t="s">
        <v>11</v>
      </c>
      <c r="G841" s="15">
        <v>900</v>
      </c>
      <c r="H841" s="15">
        <v>1</v>
      </c>
    </row>
    <row r="842" spans="2:8" x14ac:dyDescent="0.3">
      <c r="B842" s="15">
        <v>836</v>
      </c>
      <c r="C842" s="14">
        <v>44301</v>
      </c>
      <c r="D842" s="15" t="s">
        <v>9</v>
      </c>
      <c r="E842" s="15" t="s">
        <v>12</v>
      </c>
      <c r="F842" s="15" t="s">
        <v>11</v>
      </c>
      <c r="G842" s="15">
        <v>900</v>
      </c>
      <c r="H842" s="15">
        <v>1</v>
      </c>
    </row>
    <row r="843" spans="2:8" x14ac:dyDescent="0.3">
      <c r="B843" s="15">
        <v>837</v>
      </c>
      <c r="C843" s="14">
        <v>44302</v>
      </c>
      <c r="D843" s="15" t="s">
        <v>9</v>
      </c>
      <c r="E843" s="15" t="s">
        <v>18</v>
      </c>
      <c r="F843" s="15" t="s">
        <v>17</v>
      </c>
      <c r="G843" s="15">
        <v>600</v>
      </c>
      <c r="H843" s="15">
        <v>1</v>
      </c>
    </row>
    <row r="844" spans="2:8" x14ac:dyDescent="0.3">
      <c r="B844" s="15">
        <v>838</v>
      </c>
      <c r="C844" s="14">
        <v>44303</v>
      </c>
      <c r="D844" s="15" t="s">
        <v>9</v>
      </c>
      <c r="E844" s="15" t="s">
        <v>22</v>
      </c>
      <c r="F844" s="15" t="s">
        <v>23</v>
      </c>
      <c r="G844" s="15">
        <v>900</v>
      </c>
      <c r="H844" s="15">
        <v>1</v>
      </c>
    </row>
    <row r="845" spans="2:8" x14ac:dyDescent="0.3">
      <c r="B845" s="15">
        <v>839</v>
      </c>
      <c r="C845" s="14">
        <v>44304</v>
      </c>
      <c r="D845" s="15" t="s">
        <v>9</v>
      </c>
      <c r="E845" s="15" t="s">
        <v>22</v>
      </c>
      <c r="F845" s="15" t="s">
        <v>23</v>
      </c>
      <c r="G845" s="15">
        <v>800</v>
      </c>
      <c r="H845" s="15">
        <v>1</v>
      </c>
    </row>
    <row r="846" spans="2:8" x14ac:dyDescent="0.3">
      <c r="B846" s="15">
        <v>840</v>
      </c>
      <c r="C846" s="14">
        <v>44305</v>
      </c>
      <c r="D846" s="15" t="s">
        <v>9</v>
      </c>
      <c r="E846" s="15" t="s">
        <v>16</v>
      </c>
      <c r="F846" s="15" t="s">
        <v>17</v>
      </c>
      <c r="G846" s="15">
        <v>800</v>
      </c>
      <c r="H846" s="15">
        <v>1</v>
      </c>
    </row>
    <row r="847" spans="2:8" x14ac:dyDescent="0.3">
      <c r="B847" s="15">
        <v>841</v>
      </c>
      <c r="C847" s="14">
        <v>44306</v>
      </c>
      <c r="D847" s="15" t="s">
        <v>9</v>
      </c>
      <c r="E847" s="15" t="s">
        <v>18</v>
      </c>
      <c r="F847" s="15" t="s">
        <v>17</v>
      </c>
      <c r="G847" s="15">
        <v>600</v>
      </c>
      <c r="H847" s="15">
        <v>1</v>
      </c>
    </row>
    <row r="848" spans="2:8" x14ac:dyDescent="0.3">
      <c r="B848" s="15">
        <v>842</v>
      </c>
      <c r="C848" s="14">
        <v>44307</v>
      </c>
      <c r="D848" s="15" t="s">
        <v>9</v>
      </c>
      <c r="E848" s="15" t="s">
        <v>22</v>
      </c>
      <c r="F848" s="15" t="s">
        <v>23</v>
      </c>
      <c r="G848" s="15">
        <v>500</v>
      </c>
      <c r="H848" s="15">
        <v>1</v>
      </c>
    </row>
    <row r="849" spans="2:8" x14ac:dyDescent="0.3">
      <c r="B849" s="15">
        <v>843</v>
      </c>
      <c r="C849" s="14">
        <v>44308</v>
      </c>
      <c r="D849" s="15" t="s">
        <v>9</v>
      </c>
      <c r="E849" s="15" t="s">
        <v>14</v>
      </c>
      <c r="F849" s="15" t="s">
        <v>11</v>
      </c>
      <c r="G849" s="15">
        <v>900</v>
      </c>
      <c r="H849" s="15">
        <v>1</v>
      </c>
    </row>
    <row r="850" spans="2:8" x14ac:dyDescent="0.3">
      <c r="B850" s="15">
        <v>844</v>
      </c>
      <c r="C850" s="14">
        <v>44309</v>
      </c>
      <c r="D850" s="15" t="s">
        <v>9</v>
      </c>
      <c r="E850" s="15" t="s">
        <v>10</v>
      </c>
      <c r="F850" s="15" t="s">
        <v>11</v>
      </c>
      <c r="G850" s="15">
        <v>1100</v>
      </c>
      <c r="H850" s="15">
        <v>1</v>
      </c>
    </row>
    <row r="851" spans="2:8" x14ac:dyDescent="0.3">
      <c r="B851" s="15">
        <v>845</v>
      </c>
      <c r="C851" s="14">
        <v>44310</v>
      </c>
      <c r="D851" s="15" t="s">
        <v>9</v>
      </c>
      <c r="E851" s="15" t="s">
        <v>22</v>
      </c>
      <c r="F851" s="15" t="s">
        <v>23</v>
      </c>
      <c r="G851" s="15">
        <v>500</v>
      </c>
      <c r="H851" s="15">
        <v>1</v>
      </c>
    </row>
    <row r="852" spans="2:8" x14ac:dyDescent="0.3">
      <c r="B852" s="15">
        <v>846</v>
      </c>
      <c r="C852" s="14">
        <v>44311</v>
      </c>
      <c r="D852" s="15" t="s">
        <v>9</v>
      </c>
      <c r="E852" s="15" t="s">
        <v>18</v>
      </c>
      <c r="F852" s="15" t="s">
        <v>17</v>
      </c>
      <c r="G852" s="15">
        <v>600</v>
      </c>
      <c r="H852" s="15">
        <v>1</v>
      </c>
    </row>
    <row r="853" spans="2:8" x14ac:dyDescent="0.3">
      <c r="B853" s="15">
        <v>847</v>
      </c>
      <c r="C853" s="14">
        <v>44312</v>
      </c>
      <c r="D853" s="15" t="s">
        <v>9</v>
      </c>
      <c r="E853" s="15" t="s">
        <v>14</v>
      </c>
      <c r="F853" s="15" t="s">
        <v>11</v>
      </c>
      <c r="G853" s="15">
        <v>900</v>
      </c>
      <c r="H853" s="15">
        <v>1</v>
      </c>
    </row>
    <row r="854" spans="2:8" x14ac:dyDescent="0.3">
      <c r="B854" s="15">
        <v>848</v>
      </c>
      <c r="C854" s="14">
        <v>44313</v>
      </c>
      <c r="D854" s="15" t="s">
        <v>9</v>
      </c>
      <c r="E854" s="15" t="s">
        <v>22</v>
      </c>
      <c r="F854" s="15" t="s">
        <v>23</v>
      </c>
      <c r="G854" s="15">
        <v>500</v>
      </c>
      <c r="H854" s="15">
        <v>1</v>
      </c>
    </row>
    <row r="855" spans="2:8" x14ac:dyDescent="0.3">
      <c r="B855" s="15">
        <v>849</v>
      </c>
      <c r="C855" s="14">
        <v>44314</v>
      </c>
      <c r="D855" s="15" t="s">
        <v>9</v>
      </c>
      <c r="E855" s="15" t="s">
        <v>22</v>
      </c>
      <c r="F855" s="15" t="s">
        <v>23</v>
      </c>
      <c r="G855" s="15">
        <v>500</v>
      </c>
      <c r="H855" s="15">
        <v>1</v>
      </c>
    </row>
    <row r="856" spans="2:8" x14ac:dyDescent="0.3">
      <c r="B856" s="15">
        <v>850</v>
      </c>
      <c r="C856" s="14">
        <v>44315</v>
      </c>
      <c r="D856" s="15" t="s">
        <v>9</v>
      </c>
      <c r="E856" s="15" t="s">
        <v>18</v>
      </c>
      <c r="F856" s="15" t="s">
        <v>17</v>
      </c>
      <c r="G856" s="15">
        <v>600</v>
      </c>
      <c r="H856" s="15">
        <v>1</v>
      </c>
    </row>
    <row r="857" spans="2:8" x14ac:dyDescent="0.3">
      <c r="B857" s="15">
        <v>851</v>
      </c>
      <c r="C857" s="14">
        <v>44316</v>
      </c>
      <c r="D857" s="15" t="s">
        <v>9</v>
      </c>
      <c r="E857" s="15" t="s">
        <v>18</v>
      </c>
      <c r="F857" s="15" t="s">
        <v>17</v>
      </c>
      <c r="G857" s="15">
        <v>600</v>
      </c>
      <c r="H857" s="15">
        <v>1</v>
      </c>
    </row>
    <row r="858" spans="2:8" x14ac:dyDescent="0.3">
      <c r="B858" s="15">
        <v>852</v>
      </c>
      <c r="C858" s="14">
        <v>44317</v>
      </c>
      <c r="D858" s="15" t="s">
        <v>9</v>
      </c>
      <c r="E858" s="15" t="s">
        <v>16</v>
      </c>
      <c r="F858" s="15" t="s">
        <v>17</v>
      </c>
      <c r="G858" s="15">
        <v>800</v>
      </c>
      <c r="H858" s="15">
        <v>1</v>
      </c>
    </row>
    <row r="859" spans="2:8" x14ac:dyDescent="0.3">
      <c r="B859" s="15">
        <v>853</v>
      </c>
      <c r="C859" s="14">
        <v>44318</v>
      </c>
      <c r="D859" s="15" t="s">
        <v>9</v>
      </c>
      <c r="E859" s="15" t="s">
        <v>19</v>
      </c>
      <c r="F859" s="15" t="s">
        <v>20</v>
      </c>
      <c r="G859" s="15">
        <v>850</v>
      </c>
      <c r="H859" s="15">
        <v>1</v>
      </c>
    </row>
    <row r="860" spans="2:8" x14ac:dyDescent="0.3">
      <c r="B860" s="15">
        <v>854</v>
      </c>
      <c r="C860" s="14">
        <v>44319</v>
      </c>
      <c r="D860" s="15" t="s">
        <v>9</v>
      </c>
      <c r="E860" s="15" t="s">
        <v>22</v>
      </c>
      <c r="F860" s="15" t="s">
        <v>23</v>
      </c>
      <c r="G860" s="15">
        <v>500</v>
      </c>
      <c r="H860" s="15">
        <v>1</v>
      </c>
    </row>
    <row r="861" spans="2:8" x14ac:dyDescent="0.3">
      <c r="B861" s="15">
        <v>855</v>
      </c>
      <c r="C861" s="14">
        <v>44320</v>
      </c>
      <c r="D861" s="15" t="s">
        <v>9</v>
      </c>
      <c r="E861" s="15" t="s">
        <v>22</v>
      </c>
      <c r="F861" s="15" t="s">
        <v>23</v>
      </c>
      <c r="G861" s="15">
        <v>500</v>
      </c>
      <c r="H861" s="15">
        <v>1</v>
      </c>
    </row>
    <row r="862" spans="2:8" x14ac:dyDescent="0.3">
      <c r="B862" s="15">
        <v>856</v>
      </c>
      <c r="C862" s="14">
        <v>44321</v>
      </c>
      <c r="D862" s="15" t="s">
        <v>9</v>
      </c>
      <c r="E862" s="15" t="s">
        <v>10</v>
      </c>
      <c r="F862" s="15" t="s">
        <v>11</v>
      </c>
      <c r="G862" s="15">
        <v>1100</v>
      </c>
      <c r="H862" s="15">
        <v>1</v>
      </c>
    </row>
    <row r="863" spans="2:8" x14ac:dyDescent="0.3">
      <c r="B863" s="15">
        <v>857</v>
      </c>
      <c r="C863" s="14">
        <v>44322</v>
      </c>
      <c r="D863" s="15" t="s">
        <v>9</v>
      </c>
      <c r="E863" s="15" t="s">
        <v>22</v>
      </c>
      <c r="F863" s="15" t="s">
        <v>23</v>
      </c>
      <c r="G863" s="15">
        <v>500</v>
      </c>
      <c r="H863" s="15">
        <v>1</v>
      </c>
    </row>
    <row r="864" spans="2:8" x14ac:dyDescent="0.3">
      <c r="B864" s="15">
        <v>858</v>
      </c>
      <c r="C864" s="14">
        <v>44323</v>
      </c>
      <c r="D864" s="15" t="s">
        <v>9</v>
      </c>
      <c r="E864" s="15" t="s">
        <v>15</v>
      </c>
      <c r="F864" s="15" t="s">
        <v>11</v>
      </c>
      <c r="G864" s="15">
        <v>1000</v>
      </c>
      <c r="H864" s="15">
        <v>1</v>
      </c>
    </row>
    <row r="865" spans="2:8" x14ac:dyDescent="0.3">
      <c r="B865" s="15">
        <v>859</v>
      </c>
      <c r="C865" s="14">
        <v>44324</v>
      </c>
      <c r="D865" s="15" t="s">
        <v>9</v>
      </c>
      <c r="E865" s="15" t="s">
        <v>16</v>
      </c>
      <c r="F865" s="15" t="s">
        <v>17</v>
      </c>
      <c r="G865" s="15">
        <v>800</v>
      </c>
      <c r="H865" s="15">
        <v>1</v>
      </c>
    </row>
    <row r="866" spans="2:8" x14ac:dyDescent="0.3">
      <c r="B866" s="15">
        <v>860</v>
      </c>
      <c r="C866" s="14">
        <v>44325</v>
      </c>
      <c r="D866" s="15" t="s">
        <v>9</v>
      </c>
      <c r="E866" s="15" t="s">
        <v>24</v>
      </c>
      <c r="F866" s="15" t="s">
        <v>23</v>
      </c>
      <c r="G866" s="15">
        <v>600</v>
      </c>
      <c r="H866" s="15">
        <v>1</v>
      </c>
    </row>
    <row r="867" spans="2:8" x14ac:dyDescent="0.3">
      <c r="B867" s="15">
        <v>861</v>
      </c>
      <c r="C867" s="14">
        <v>44326</v>
      </c>
      <c r="D867" s="15" t="s">
        <v>9</v>
      </c>
      <c r="E867" s="15" t="s">
        <v>24</v>
      </c>
      <c r="F867" s="15" t="s">
        <v>23</v>
      </c>
      <c r="G867" s="15">
        <v>600</v>
      </c>
      <c r="H867" s="15">
        <v>1</v>
      </c>
    </row>
    <row r="868" spans="2:8" x14ac:dyDescent="0.3">
      <c r="B868" s="15">
        <v>862</v>
      </c>
      <c r="C868" s="14">
        <v>44327</v>
      </c>
      <c r="D868" s="15" t="s">
        <v>9</v>
      </c>
      <c r="E868" s="15" t="s">
        <v>19</v>
      </c>
      <c r="F868" s="15" t="s">
        <v>20</v>
      </c>
      <c r="G868" s="15">
        <v>850</v>
      </c>
      <c r="H868" s="15">
        <v>1</v>
      </c>
    </row>
    <row r="869" spans="2:8" x14ac:dyDescent="0.3">
      <c r="B869" s="15">
        <v>863</v>
      </c>
      <c r="C869" s="14">
        <v>44328</v>
      </c>
      <c r="D869" s="15" t="s">
        <v>9</v>
      </c>
      <c r="E869" s="15" t="s">
        <v>24</v>
      </c>
      <c r="F869" s="15" t="s">
        <v>23</v>
      </c>
      <c r="G869" s="15">
        <v>600</v>
      </c>
      <c r="H869" s="15">
        <v>1</v>
      </c>
    </row>
    <row r="870" spans="2:8" x14ac:dyDescent="0.3">
      <c r="B870" s="15">
        <v>864</v>
      </c>
      <c r="C870" s="14">
        <v>44329</v>
      </c>
      <c r="D870" s="15" t="s">
        <v>9</v>
      </c>
      <c r="E870" s="15" t="s">
        <v>18</v>
      </c>
      <c r="F870" s="15" t="s">
        <v>17</v>
      </c>
      <c r="G870" s="15">
        <v>600</v>
      </c>
      <c r="H870" s="15">
        <v>1</v>
      </c>
    </row>
    <row r="871" spans="2:8" x14ac:dyDescent="0.3">
      <c r="B871" s="15">
        <v>865</v>
      </c>
      <c r="C871" s="14">
        <v>44330</v>
      </c>
      <c r="D871" s="15" t="s">
        <v>9</v>
      </c>
      <c r="E871" s="15" t="s">
        <v>24</v>
      </c>
      <c r="F871" s="15" t="s">
        <v>23</v>
      </c>
      <c r="G871" s="15">
        <v>600</v>
      </c>
      <c r="H871" s="15">
        <v>1</v>
      </c>
    </row>
    <row r="872" spans="2:8" x14ac:dyDescent="0.3">
      <c r="B872" s="15">
        <v>866</v>
      </c>
      <c r="C872" s="14">
        <v>44331</v>
      </c>
      <c r="D872" s="15" t="s">
        <v>9</v>
      </c>
      <c r="E872" s="15" t="s">
        <v>10</v>
      </c>
      <c r="F872" s="15" t="s">
        <v>11</v>
      </c>
      <c r="G872" s="15">
        <v>1100</v>
      </c>
      <c r="H872" s="15">
        <v>1</v>
      </c>
    </row>
    <row r="873" spans="2:8" x14ac:dyDescent="0.3">
      <c r="B873" s="15">
        <v>867</v>
      </c>
      <c r="C873" s="14">
        <v>44332</v>
      </c>
      <c r="D873" s="15" t="s">
        <v>9</v>
      </c>
      <c r="E873" s="15" t="s">
        <v>18</v>
      </c>
      <c r="F873" s="15" t="s">
        <v>17</v>
      </c>
      <c r="G873" s="15">
        <v>600</v>
      </c>
      <c r="H873" s="15">
        <v>1</v>
      </c>
    </row>
    <row r="874" spans="2:8" x14ac:dyDescent="0.3">
      <c r="B874" s="15">
        <v>868</v>
      </c>
      <c r="C874" s="14">
        <v>44333</v>
      </c>
      <c r="D874" s="15" t="s">
        <v>9</v>
      </c>
      <c r="E874" s="15" t="s">
        <v>10</v>
      </c>
      <c r="F874" s="15" t="s">
        <v>11</v>
      </c>
      <c r="G874" s="15">
        <v>1100</v>
      </c>
      <c r="H874" s="15">
        <v>1</v>
      </c>
    </row>
    <row r="875" spans="2:8" x14ac:dyDescent="0.3">
      <c r="B875" s="15">
        <v>869</v>
      </c>
      <c r="C875" s="14">
        <v>44334</v>
      </c>
      <c r="D875" s="15" t="s">
        <v>9</v>
      </c>
      <c r="E875" s="15" t="s">
        <v>10</v>
      </c>
      <c r="F875" s="15" t="s">
        <v>11</v>
      </c>
      <c r="G875" s="15">
        <v>1100</v>
      </c>
      <c r="H875" s="15">
        <v>1</v>
      </c>
    </row>
    <row r="876" spans="2:8" x14ac:dyDescent="0.3">
      <c r="B876" s="15">
        <v>870</v>
      </c>
      <c r="C876" s="14">
        <v>44335</v>
      </c>
      <c r="D876" s="15" t="s">
        <v>9</v>
      </c>
      <c r="E876" s="15" t="s">
        <v>10</v>
      </c>
      <c r="F876" s="15" t="s">
        <v>11</v>
      </c>
      <c r="G876" s="15">
        <v>1100</v>
      </c>
      <c r="H876" s="15">
        <v>1</v>
      </c>
    </row>
    <row r="877" spans="2:8" x14ac:dyDescent="0.3">
      <c r="B877" s="15">
        <v>871</v>
      </c>
      <c r="C877" s="14">
        <v>44336</v>
      </c>
      <c r="D877" s="15" t="s">
        <v>9</v>
      </c>
      <c r="E877" s="15" t="s">
        <v>19</v>
      </c>
      <c r="F877" s="15" t="s">
        <v>20</v>
      </c>
      <c r="G877" s="15">
        <v>850</v>
      </c>
      <c r="H877" s="15">
        <v>1</v>
      </c>
    </row>
    <row r="878" spans="2:8" x14ac:dyDescent="0.3">
      <c r="B878" s="15">
        <v>872</v>
      </c>
      <c r="C878" s="14">
        <v>44337</v>
      </c>
      <c r="D878" s="15" t="s">
        <v>9</v>
      </c>
      <c r="E878" s="15" t="s">
        <v>18</v>
      </c>
      <c r="F878" s="15" t="s">
        <v>17</v>
      </c>
      <c r="G878" s="15">
        <v>600</v>
      </c>
      <c r="H878" s="15">
        <v>1</v>
      </c>
    </row>
    <row r="879" spans="2:8" x14ac:dyDescent="0.3">
      <c r="B879" s="15">
        <v>873</v>
      </c>
      <c r="C879" s="14">
        <v>44338</v>
      </c>
      <c r="D879" s="15" t="s">
        <v>9</v>
      </c>
      <c r="E879" s="15" t="s">
        <v>18</v>
      </c>
      <c r="F879" s="15" t="s">
        <v>17</v>
      </c>
      <c r="G879" s="15">
        <v>600</v>
      </c>
      <c r="H879" s="15">
        <v>1</v>
      </c>
    </row>
    <row r="880" spans="2:8" x14ac:dyDescent="0.3">
      <c r="B880" s="15">
        <v>874</v>
      </c>
      <c r="C880" s="14">
        <v>44339</v>
      </c>
      <c r="D880" s="15" t="s">
        <v>9</v>
      </c>
      <c r="E880" s="15" t="s">
        <v>16</v>
      </c>
      <c r="F880" s="15" t="s">
        <v>17</v>
      </c>
      <c r="G880" s="15">
        <v>800</v>
      </c>
      <c r="H880" s="15">
        <v>1</v>
      </c>
    </row>
    <row r="881" spans="2:8" x14ac:dyDescent="0.3">
      <c r="B881" s="15">
        <v>875</v>
      </c>
      <c r="C881" s="14">
        <v>44340</v>
      </c>
      <c r="D881" s="15" t="s">
        <v>9</v>
      </c>
      <c r="E881" s="15" t="s">
        <v>21</v>
      </c>
      <c r="F881" s="15" t="s">
        <v>20</v>
      </c>
      <c r="G881" s="15">
        <v>1200</v>
      </c>
      <c r="H881" s="15">
        <v>1</v>
      </c>
    </row>
    <row r="882" spans="2:8" x14ac:dyDescent="0.3">
      <c r="B882" s="15">
        <v>876</v>
      </c>
      <c r="C882" s="14">
        <v>44341</v>
      </c>
      <c r="D882" s="15" t="s">
        <v>9</v>
      </c>
      <c r="E882" s="15" t="s">
        <v>15</v>
      </c>
      <c r="F882" s="15" t="s">
        <v>11</v>
      </c>
      <c r="G882" s="15">
        <v>1000</v>
      </c>
      <c r="H882" s="15">
        <v>1</v>
      </c>
    </row>
    <row r="883" spans="2:8" x14ac:dyDescent="0.3">
      <c r="B883" s="15">
        <v>877</v>
      </c>
      <c r="C883" s="14">
        <v>44342</v>
      </c>
      <c r="D883" s="15" t="s">
        <v>9</v>
      </c>
      <c r="E883" s="15" t="s">
        <v>24</v>
      </c>
      <c r="F883" s="15" t="s">
        <v>23</v>
      </c>
      <c r="G883" s="15">
        <v>600</v>
      </c>
      <c r="H883" s="15">
        <v>1</v>
      </c>
    </row>
    <row r="884" spans="2:8" x14ac:dyDescent="0.3">
      <c r="B884" s="15">
        <v>878</v>
      </c>
      <c r="C884" s="14">
        <v>44343</v>
      </c>
      <c r="D884" s="15" t="s">
        <v>9</v>
      </c>
      <c r="E884" s="15" t="s">
        <v>14</v>
      </c>
      <c r="F884" s="15" t="s">
        <v>11</v>
      </c>
      <c r="G884" s="15">
        <v>900</v>
      </c>
      <c r="H884" s="15">
        <v>1</v>
      </c>
    </row>
    <row r="885" spans="2:8" x14ac:dyDescent="0.3">
      <c r="B885" s="15">
        <v>879</v>
      </c>
      <c r="C885" s="14">
        <v>44344</v>
      </c>
      <c r="D885" s="15" t="s">
        <v>9</v>
      </c>
      <c r="E885" s="15" t="s">
        <v>18</v>
      </c>
      <c r="F885" s="15" t="s">
        <v>17</v>
      </c>
      <c r="G885" s="15">
        <v>600</v>
      </c>
      <c r="H885" s="15">
        <v>1</v>
      </c>
    </row>
    <row r="886" spans="2:8" x14ac:dyDescent="0.3">
      <c r="B886" s="15">
        <v>880</v>
      </c>
      <c r="C886" s="14">
        <v>44345</v>
      </c>
      <c r="D886" s="15" t="s">
        <v>9</v>
      </c>
      <c r="E886" s="15" t="s">
        <v>12</v>
      </c>
      <c r="F886" s="15" t="s">
        <v>11</v>
      </c>
      <c r="G886" s="15">
        <v>900</v>
      </c>
      <c r="H886" s="15">
        <v>1</v>
      </c>
    </row>
    <row r="887" spans="2:8" x14ac:dyDescent="0.3">
      <c r="B887" s="15">
        <v>881</v>
      </c>
      <c r="C887" s="14">
        <v>44346</v>
      </c>
      <c r="D887" s="15" t="s">
        <v>9</v>
      </c>
      <c r="E887" s="15" t="s">
        <v>24</v>
      </c>
      <c r="F887" s="15" t="s">
        <v>23</v>
      </c>
      <c r="G887" s="15">
        <v>600</v>
      </c>
      <c r="H887" s="15">
        <v>1</v>
      </c>
    </row>
    <row r="888" spans="2:8" x14ac:dyDescent="0.3">
      <c r="B888" s="15">
        <v>882</v>
      </c>
      <c r="C888" s="14">
        <v>44347</v>
      </c>
      <c r="D888" s="15" t="s">
        <v>9</v>
      </c>
      <c r="E888" s="15" t="s">
        <v>19</v>
      </c>
      <c r="F888" s="15" t="s">
        <v>20</v>
      </c>
      <c r="G888" s="15">
        <v>850</v>
      </c>
      <c r="H888" s="15">
        <v>1</v>
      </c>
    </row>
    <row r="889" spans="2:8" x14ac:dyDescent="0.3">
      <c r="B889" s="15">
        <v>883</v>
      </c>
      <c r="C889" s="14">
        <v>44348</v>
      </c>
      <c r="D889" s="15" t="s">
        <v>9</v>
      </c>
      <c r="E889" s="15" t="s">
        <v>14</v>
      </c>
      <c r="F889" s="15" t="s">
        <v>11</v>
      </c>
      <c r="G889" s="15">
        <v>900</v>
      </c>
      <c r="H889" s="15">
        <v>1</v>
      </c>
    </row>
    <row r="890" spans="2:8" x14ac:dyDescent="0.3">
      <c r="B890" s="15">
        <v>884</v>
      </c>
      <c r="C890" s="14">
        <v>44349</v>
      </c>
      <c r="D890" s="15" t="s">
        <v>9</v>
      </c>
      <c r="E890" s="15" t="s">
        <v>10</v>
      </c>
      <c r="F890" s="15" t="s">
        <v>11</v>
      </c>
      <c r="G890" s="15">
        <v>1100</v>
      </c>
      <c r="H890" s="15">
        <v>1</v>
      </c>
    </row>
    <row r="891" spans="2:8" x14ac:dyDescent="0.3">
      <c r="B891" s="15">
        <v>885</v>
      </c>
      <c r="C891" s="14">
        <v>44350</v>
      </c>
      <c r="D891" s="15" t="s">
        <v>9</v>
      </c>
      <c r="E891" s="15" t="s">
        <v>14</v>
      </c>
      <c r="F891" s="15" t="s">
        <v>11</v>
      </c>
      <c r="G891" s="15">
        <v>900</v>
      </c>
      <c r="H891" s="15">
        <v>1</v>
      </c>
    </row>
    <row r="892" spans="2:8" x14ac:dyDescent="0.3">
      <c r="B892" s="15">
        <v>886</v>
      </c>
      <c r="C892" s="14">
        <v>44351</v>
      </c>
      <c r="D892" s="15" t="s">
        <v>9</v>
      </c>
      <c r="E892" s="15" t="s">
        <v>15</v>
      </c>
      <c r="F892" s="15" t="s">
        <v>11</v>
      </c>
      <c r="G892" s="15">
        <v>1000</v>
      </c>
      <c r="H892" s="15">
        <v>1</v>
      </c>
    </row>
    <row r="893" spans="2:8" x14ac:dyDescent="0.3">
      <c r="B893" s="15">
        <v>887</v>
      </c>
      <c r="C893" s="14">
        <v>44352</v>
      </c>
      <c r="D893" s="15" t="s">
        <v>9</v>
      </c>
      <c r="E893" s="15" t="s">
        <v>10</v>
      </c>
      <c r="F893" s="15" t="s">
        <v>11</v>
      </c>
      <c r="G893" s="15">
        <v>1100</v>
      </c>
      <c r="H893" s="15">
        <v>1</v>
      </c>
    </row>
    <row r="894" spans="2:8" x14ac:dyDescent="0.3">
      <c r="B894" s="15">
        <v>888</v>
      </c>
      <c r="C894" s="14">
        <v>44353</v>
      </c>
      <c r="D894" s="15" t="s">
        <v>9</v>
      </c>
      <c r="E894" s="15" t="s">
        <v>15</v>
      </c>
      <c r="F894" s="15" t="s">
        <v>11</v>
      </c>
      <c r="G894" s="15">
        <v>1000</v>
      </c>
      <c r="H894" s="15">
        <v>1</v>
      </c>
    </row>
    <row r="895" spans="2:8" x14ac:dyDescent="0.3">
      <c r="B895" s="15">
        <v>889</v>
      </c>
      <c r="C895" s="14">
        <v>44354</v>
      </c>
      <c r="D895" s="15" t="s">
        <v>9</v>
      </c>
      <c r="E895" s="15" t="s">
        <v>10</v>
      </c>
      <c r="F895" s="15" t="s">
        <v>11</v>
      </c>
      <c r="G895" s="15">
        <v>1100</v>
      </c>
      <c r="H895" s="15">
        <v>1</v>
      </c>
    </row>
    <row r="896" spans="2:8" x14ac:dyDescent="0.3">
      <c r="B896" s="15">
        <v>890</v>
      </c>
      <c r="C896" s="14">
        <v>44355</v>
      </c>
      <c r="D896" s="15" t="s">
        <v>9</v>
      </c>
      <c r="E896" s="15" t="s">
        <v>14</v>
      </c>
      <c r="F896" s="15" t="s">
        <v>11</v>
      </c>
      <c r="G896" s="15">
        <v>900</v>
      </c>
      <c r="H896" s="15">
        <v>1</v>
      </c>
    </row>
    <row r="897" spans="2:8" x14ac:dyDescent="0.3">
      <c r="B897" s="15">
        <v>891</v>
      </c>
      <c r="C897" s="14">
        <v>44356</v>
      </c>
      <c r="D897" s="15" t="s">
        <v>9</v>
      </c>
      <c r="E897" s="15" t="s">
        <v>12</v>
      </c>
      <c r="F897" s="15" t="s">
        <v>11</v>
      </c>
      <c r="G897" s="15">
        <v>900</v>
      </c>
      <c r="H897" s="15">
        <v>1</v>
      </c>
    </row>
    <row r="898" spans="2:8" x14ac:dyDescent="0.3">
      <c r="B898" s="15">
        <v>892</v>
      </c>
      <c r="C898" s="14">
        <v>44357</v>
      </c>
      <c r="D898" s="15" t="s">
        <v>9</v>
      </c>
      <c r="E898" s="15" t="s">
        <v>10</v>
      </c>
      <c r="F898" s="15" t="s">
        <v>11</v>
      </c>
      <c r="G898" s="15">
        <v>1100</v>
      </c>
      <c r="H898" s="15">
        <v>1</v>
      </c>
    </row>
    <row r="899" spans="2:8" x14ac:dyDescent="0.3">
      <c r="B899" s="15">
        <v>893</v>
      </c>
      <c r="C899" s="14">
        <v>44358</v>
      </c>
      <c r="D899" s="15" t="s">
        <v>9</v>
      </c>
      <c r="E899" s="15" t="s">
        <v>10</v>
      </c>
      <c r="F899" s="15" t="s">
        <v>11</v>
      </c>
      <c r="G899" s="15">
        <v>1100</v>
      </c>
      <c r="H899" s="15">
        <v>1</v>
      </c>
    </row>
    <row r="900" spans="2:8" x14ac:dyDescent="0.3">
      <c r="B900" s="15">
        <v>894</v>
      </c>
      <c r="C900" s="14">
        <v>44359</v>
      </c>
      <c r="D900" s="15" t="s">
        <v>9</v>
      </c>
      <c r="E900" s="15" t="s">
        <v>15</v>
      </c>
      <c r="F900" s="15" t="s">
        <v>11</v>
      </c>
      <c r="G900" s="15">
        <v>1000</v>
      </c>
      <c r="H900" s="15">
        <v>1</v>
      </c>
    </row>
    <row r="901" spans="2:8" x14ac:dyDescent="0.3">
      <c r="B901" s="15">
        <v>895</v>
      </c>
      <c r="C901" s="14">
        <v>44360</v>
      </c>
      <c r="D901" s="15" t="s">
        <v>9</v>
      </c>
      <c r="E901" s="15" t="s">
        <v>12</v>
      </c>
      <c r="F901" s="15" t="s">
        <v>11</v>
      </c>
      <c r="G901" s="15">
        <v>900</v>
      </c>
      <c r="H901" s="15">
        <v>1</v>
      </c>
    </row>
    <row r="902" spans="2:8" x14ac:dyDescent="0.3">
      <c r="B902" s="15">
        <v>896</v>
      </c>
      <c r="C902" s="14">
        <v>44361</v>
      </c>
      <c r="D902" s="15" t="s">
        <v>9</v>
      </c>
      <c r="E902" s="15" t="s">
        <v>18</v>
      </c>
      <c r="F902" s="15" t="s">
        <v>17</v>
      </c>
      <c r="G902" s="15">
        <v>600</v>
      </c>
      <c r="H902" s="15">
        <v>1</v>
      </c>
    </row>
    <row r="903" spans="2:8" x14ac:dyDescent="0.3">
      <c r="B903" s="15">
        <v>897</v>
      </c>
      <c r="C903" s="14">
        <v>44362</v>
      </c>
      <c r="D903" s="15" t="s">
        <v>9</v>
      </c>
      <c r="E903" s="15" t="s">
        <v>12</v>
      </c>
      <c r="F903" s="15" t="s">
        <v>11</v>
      </c>
      <c r="G903" s="15">
        <v>900</v>
      </c>
      <c r="H903" s="15">
        <v>1</v>
      </c>
    </row>
    <row r="904" spans="2:8" x14ac:dyDescent="0.3">
      <c r="B904" s="15">
        <v>898</v>
      </c>
      <c r="C904" s="14">
        <v>44363</v>
      </c>
      <c r="D904" s="15" t="s">
        <v>9</v>
      </c>
      <c r="E904" s="15" t="s">
        <v>18</v>
      </c>
      <c r="F904" s="15" t="s">
        <v>17</v>
      </c>
      <c r="G904" s="15">
        <v>600</v>
      </c>
      <c r="H904" s="15">
        <v>1</v>
      </c>
    </row>
    <row r="905" spans="2:8" x14ac:dyDescent="0.3">
      <c r="B905" s="15">
        <v>899</v>
      </c>
      <c r="C905" s="14">
        <v>44364</v>
      </c>
      <c r="D905" s="15" t="s">
        <v>9</v>
      </c>
      <c r="E905" s="15" t="s">
        <v>14</v>
      </c>
      <c r="F905" s="15" t="s">
        <v>11</v>
      </c>
      <c r="G905" s="15">
        <v>900</v>
      </c>
      <c r="H905" s="15">
        <v>1</v>
      </c>
    </row>
    <row r="906" spans="2:8" x14ac:dyDescent="0.3">
      <c r="B906" s="15">
        <v>900</v>
      </c>
      <c r="C906" s="14">
        <v>44365</v>
      </c>
      <c r="D906" s="15" t="s">
        <v>9</v>
      </c>
      <c r="E906" s="15" t="s">
        <v>10</v>
      </c>
      <c r="F906" s="15" t="s">
        <v>11</v>
      </c>
      <c r="G906" s="15">
        <v>1100</v>
      </c>
      <c r="H906" s="15">
        <v>2</v>
      </c>
    </row>
    <row r="907" spans="2:8" x14ac:dyDescent="0.3">
      <c r="B907" s="15">
        <v>901</v>
      </c>
      <c r="C907" s="14">
        <v>44366</v>
      </c>
      <c r="D907" s="15" t="s">
        <v>9</v>
      </c>
      <c r="E907" s="15" t="s">
        <v>18</v>
      </c>
      <c r="F907" s="15" t="s">
        <v>17</v>
      </c>
      <c r="G907" s="15">
        <v>600</v>
      </c>
      <c r="H907" s="15">
        <v>1</v>
      </c>
    </row>
    <row r="908" spans="2:8" x14ac:dyDescent="0.3">
      <c r="B908" s="15">
        <v>902</v>
      </c>
      <c r="C908" s="14">
        <v>44367</v>
      </c>
      <c r="D908" s="15" t="s">
        <v>9</v>
      </c>
      <c r="E908" s="15" t="s">
        <v>18</v>
      </c>
      <c r="F908" s="15" t="s">
        <v>17</v>
      </c>
      <c r="G908" s="15">
        <v>600</v>
      </c>
      <c r="H908" s="15">
        <v>1</v>
      </c>
    </row>
    <row r="909" spans="2:8" x14ac:dyDescent="0.3">
      <c r="B909" s="15">
        <v>903</v>
      </c>
      <c r="C909" s="14">
        <v>44368</v>
      </c>
      <c r="D909" s="15" t="s">
        <v>9</v>
      </c>
      <c r="E909" s="15" t="s">
        <v>14</v>
      </c>
      <c r="F909" s="15" t="s">
        <v>11</v>
      </c>
      <c r="G909" s="15">
        <v>900</v>
      </c>
      <c r="H909" s="15">
        <v>1</v>
      </c>
    </row>
    <row r="910" spans="2:8" x14ac:dyDescent="0.3">
      <c r="B910" s="15">
        <v>904</v>
      </c>
      <c r="C910" s="14">
        <v>44369</v>
      </c>
      <c r="D910" s="15" t="s">
        <v>9</v>
      </c>
      <c r="E910" s="15" t="s">
        <v>10</v>
      </c>
      <c r="F910" s="15" t="s">
        <v>11</v>
      </c>
      <c r="G910" s="15">
        <v>1100</v>
      </c>
      <c r="H910" s="15">
        <v>1</v>
      </c>
    </row>
    <row r="911" spans="2:8" x14ac:dyDescent="0.3">
      <c r="B911" s="15">
        <v>905</v>
      </c>
      <c r="C911" s="14">
        <v>44370</v>
      </c>
      <c r="D911" s="15" t="s">
        <v>9</v>
      </c>
      <c r="E911" s="15" t="s">
        <v>18</v>
      </c>
      <c r="F911" s="15" t="s">
        <v>17</v>
      </c>
      <c r="G911" s="15">
        <v>600</v>
      </c>
      <c r="H911" s="15">
        <v>1</v>
      </c>
    </row>
    <row r="912" spans="2:8" x14ac:dyDescent="0.3">
      <c r="B912" s="15">
        <v>906</v>
      </c>
      <c r="C912" s="14">
        <v>44371</v>
      </c>
      <c r="D912" s="15" t="s">
        <v>9</v>
      </c>
      <c r="E912" s="15" t="s">
        <v>24</v>
      </c>
      <c r="F912" s="15" t="s">
        <v>23</v>
      </c>
      <c r="G912" s="15">
        <v>600</v>
      </c>
      <c r="H912" s="15">
        <v>1</v>
      </c>
    </row>
    <row r="913" spans="2:8" x14ac:dyDescent="0.3">
      <c r="B913" s="15">
        <v>907</v>
      </c>
      <c r="C913" s="14">
        <v>44372</v>
      </c>
      <c r="D913" s="15" t="s">
        <v>9</v>
      </c>
      <c r="E913" s="15" t="s">
        <v>18</v>
      </c>
      <c r="F913" s="15" t="s">
        <v>17</v>
      </c>
      <c r="G913" s="15">
        <v>600</v>
      </c>
      <c r="H913" s="15">
        <v>1</v>
      </c>
    </row>
    <row r="914" spans="2:8" x14ac:dyDescent="0.3">
      <c r="B914" s="15">
        <v>908</v>
      </c>
      <c r="C914" s="14">
        <v>44373</v>
      </c>
      <c r="D914" s="15" t="s">
        <v>9</v>
      </c>
      <c r="E914" s="15" t="s">
        <v>24</v>
      </c>
      <c r="F914" s="15" t="s">
        <v>23</v>
      </c>
      <c r="G914" s="15">
        <v>600</v>
      </c>
      <c r="H914" s="15">
        <v>1</v>
      </c>
    </row>
    <row r="915" spans="2:8" x14ac:dyDescent="0.3">
      <c r="B915" s="15">
        <v>909</v>
      </c>
      <c r="C915" s="14">
        <v>44374</v>
      </c>
      <c r="D915" s="15" t="s">
        <v>9</v>
      </c>
      <c r="E915" s="15" t="s">
        <v>24</v>
      </c>
      <c r="F915" s="15" t="s">
        <v>23</v>
      </c>
      <c r="G915" s="15">
        <v>600</v>
      </c>
      <c r="H915" s="15">
        <v>2</v>
      </c>
    </row>
    <row r="916" spans="2:8" x14ac:dyDescent="0.3">
      <c r="B916" s="15">
        <v>910</v>
      </c>
      <c r="C916" s="14">
        <v>44375</v>
      </c>
      <c r="D916" s="15" t="s">
        <v>9</v>
      </c>
      <c r="E916" s="15" t="s">
        <v>18</v>
      </c>
      <c r="F916" s="15" t="s">
        <v>17</v>
      </c>
      <c r="G916" s="15">
        <v>600</v>
      </c>
      <c r="H916" s="15">
        <v>1</v>
      </c>
    </row>
    <row r="917" spans="2:8" x14ac:dyDescent="0.3">
      <c r="B917" s="15">
        <v>911</v>
      </c>
      <c r="C917" s="14">
        <v>44376</v>
      </c>
      <c r="D917" s="15" t="s">
        <v>9</v>
      </c>
      <c r="E917" s="15" t="s">
        <v>10</v>
      </c>
      <c r="F917" s="15" t="s">
        <v>11</v>
      </c>
      <c r="G917" s="15">
        <v>1100</v>
      </c>
      <c r="H917" s="15">
        <v>3</v>
      </c>
    </row>
    <row r="918" spans="2:8" x14ac:dyDescent="0.3">
      <c r="B918" s="15">
        <v>912</v>
      </c>
      <c r="C918" s="14">
        <v>44377</v>
      </c>
      <c r="D918" s="15" t="s">
        <v>9</v>
      </c>
      <c r="E918" s="15" t="s">
        <v>10</v>
      </c>
      <c r="F918" s="15" t="s">
        <v>11</v>
      </c>
      <c r="G918" s="15">
        <v>1100</v>
      </c>
      <c r="H918" s="15">
        <v>1</v>
      </c>
    </row>
    <row r="919" spans="2:8" x14ac:dyDescent="0.3">
      <c r="B919" s="15">
        <v>913</v>
      </c>
      <c r="C919" s="14">
        <v>44378</v>
      </c>
      <c r="D919" s="15" t="s">
        <v>9</v>
      </c>
      <c r="E919" s="15" t="s">
        <v>19</v>
      </c>
      <c r="F919" s="15" t="s">
        <v>20</v>
      </c>
      <c r="G919" s="15">
        <v>850</v>
      </c>
      <c r="H919" s="15">
        <v>1</v>
      </c>
    </row>
    <row r="920" spans="2:8" x14ac:dyDescent="0.3">
      <c r="B920" s="15">
        <v>914</v>
      </c>
      <c r="C920" s="14">
        <v>44379</v>
      </c>
      <c r="D920" s="15" t="s">
        <v>9</v>
      </c>
      <c r="E920" s="15" t="s">
        <v>21</v>
      </c>
      <c r="F920" s="15" t="s">
        <v>20</v>
      </c>
      <c r="G920" s="15">
        <v>1200</v>
      </c>
      <c r="H920" s="15">
        <v>1</v>
      </c>
    </row>
    <row r="921" spans="2:8" x14ac:dyDescent="0.3">
      <c r="B921" s="15">
        <v>915</v>
      </c>
      <c r="C921" s="14">
        <v>44380</v>
      </c>
      <c r="D921" s="15" t="s">
        <v>9</v>
      </c>
      <c r="E921" s="15" t="s">
        <v>16</v>
      </c>
      <c r="F921" s="15" t="s">
        <v>17</v>
      </c>
      <c r="G921" s="15">
        <v>800</v>
      </c>
      <c r="H921" s="15">
        <v>1</v>
      </c>
    </row>
    <row r="922" spans="2:8" x14ac:dyDescent="0.3">
      <c r="B922" s="15">
        <v>916</v>
      </c>
      <c r="C922" s="14">
        <v>44381</v>
      </c>
      <c r="D922" s="15" t="s">
        <v>9</v>
      </c>
      <c r="E922" s="15" t="s">
        <v>14</v>
      </c>
      <c r="F922" s="15" t="s">
        <v>11</v>
      </c>
      <c r="G922" s="15">
        <v>900</v>
      </c>
      <c r="H922" s="15">
        <v>1</v>
      </c>
    </row>
    <row r="923" spans="2:8" x14ac:dyDescent="0.3">
      <c r="B923" s="15">
        <v>917</v>
      </c>
      <c r="C923" s="14">
        <v>44382</v>
      </c>
      <c r="D923" s="15" t="s">
        <v>9</v>
      </c>
      <c r="E923" s="15" t="s">
        <v>10</v>
      </c>
      <c r="F923" s="15" t="s">
        <v>11</v>
      </c>
      <c r="G923" s="15">
        <v>1100</v>
      </c>
      <c r="H923" s="15">
        <v>1</v>
      </c>
    </row>
    <row r="924" spans="2:8" x14ac:dyDescent="0.3">
      <c r="B924" s="15">
        <v>918</v>
      </c>
      <c r="C924" s="14">
        <v>44383</v>
      </c>
      <c r="D924" s="15" t="s">
        <v>9</v>
      </c>
      <c r="E924" s="15" t="s">
        <v>12</v>
      </c>
      <c r="F924" s="15" t="s">
        <v>11</v>
      </c>
      <c r="G924" s="15">
        <v>900</v>
      </c>
      <c r="H924" s="15">
        <v>1</v>
      </c>
    </row>
    <row r="925" spans="2:8" x14ac:dyDescent="0.3">
      <c r="B925" s="15">
        <v>919</v>
      </c>
      <c r="C925" s="14">
        <v>44384</v>
      </c>
      <c r="D925" s="15" t="s">
        <v>9</v>
      </c>
      <c r="E925" s="15" t="s">
        <v>10</v>
      </c>
      <c r="F925" s="15" t="s">
        <v>11</v>
      </c>
      <c r="G925" s="15">
        <v>1100</v>
      </c>
      <c r="H925" s="15">
        <v>1</v>
      </c>
    </row>
    <row r="926" spans="2:8" x14ac:dyDescent="0.3">
      <c r="B926" s="15">
        <v>920</v>
      </c>
      <c r="C926" s="14">
        <v>44385</v>
      </c>
      <c r="D926" s="15" t="s">
        <v>9</v>
      </c>
      <c r="E926" s="15" t="s">
        <v>22</v>
      </c>
      <c r="F926" s="15" t="s">
        <v>23</v>
      </c>
      <c r="G926" s="15">
        <v>900</v>
      </c>
      <c r="H926" s="15">
        <v>1</v>
      </c>
    </row>
    <row r="927" spans="2:8" x14ac:dyDescent="0.3">
      <c r="B927" s="15">
        <v>921</v>
      </c>
      <c r="C927" s="14">
        <v>44386</v>
      </c>
      <c r="D927" s="15" t="s">
        <v>9</v>
      </c>
      <c r="E927" s="15" t="s">
        <v>22</v>
      </c>
      <c r="F927" s="15" t="s">
        <v>23</v>
      </c>
      <c r="G927" s="15">
        <v>500</v>
      </c>
      <c r="H927" s="15">
        <v>1</v>
      </c>
    </row>
    <row r="928" spans="2:8" x14ac:dyDescent="0.3">
      <c r="B928" s="15">
        <v>922</v>
      </c>
      <c r="C928" s="14">
        <v>44387</v>
      </c>
      <c r="D928" s="15" t="s">
        <v>9</v>
      </c>
      <c r="E928" s="15" t="s">
        <v>15</v>
      </c>
      <c r="F928" s="15" t="s">
        <v>11</v>
      </c>
      <c r="G928" s="15">
        <v>1000</v>
      </c>
      <c r="H928" s="15">
        <v>1</v>
      </c>
    </row>
    <row r="929" spans="2:8" x14ac:dyDescent="0.3">
      <c r="B929" s="15">
        <v>923</v>
      </c>
      <c r="C929" s="14">
        <v>44388</v>
      </c>
      <c r="D929" s="15" t="s">
        <v>9</v>
      </c>
      <c r="E929" s="15" t="s">
        <v>24</v>
      </c>
      <c r="F929" s="15" t="s">
        <v>23</v>
      </c>
      <c r="G929" s="15">
        <v>600</v>
      </c>
      <c r="H929" s="15">
        <v>1</v>
      </c>
    </row>
    <row r="930" spans="2:8" x14ac:dyDescent="0.3">
      <c r="B930" s="15">
        <v>924</v>
      </c>
      <c r="C930" s="14">
        <v>44389</v>
      </c>
      <c r="D930" s="15" t="s">
        <v>9</v>
      </c>
      <c r="E930" s="15" t="s">
        <v>12</v>
      </c>
      <c r="F930" s="15" t="s">
        <v>11</v>
      </c>
      <c r="G930" s="15">
        <v>900</v>
      </c>
      <c r="H930" s="15">
        <v>2</v>
      </c>
    </row>
    <row r="931" spans="2:8" x14ac:dyDescent="0.3">
      <c r="B931" s="15">
        <v>925</v>
      </c>
      <c r="C931" s="14">
        <v>44390</v>
      </c>
      <c r="D931" s="15" t="s">
        <v>9</v>
      </c>
      <c r="E931" s="15" t="s">
        <v>19</v>
      </c>
      <c r="F931" s="15" t="s">
        <v>20</v>
      </c>
      <c r="G931" s="15">
        <v>850</v>
      </c>
      <c r="H931" s="15">
        <v>1</v>
      </c>
    </row>
    <row r="932" spans="2:8" x14ac:dyDescent="0.3">
      <c r="B932" s="15">
        <v>926</v>
      </c>
      <c r="C932" s="14">
        <v>44391</v>
      </c>
      <c r="D932" s="15" t="s">
        <v>9</v>
      </c>
      <c r="E932" s="15" t="s">
        <v>16</v>
      </c>
      <c r="F932" s="15" t="s">
        <v>17</v>
      </c>
      <c r="G932" s="15">
        <v>800</v>
      </c>
      <c r="H932" s="15">
        <v>1</v>
      </c>
    </row>
    <row r="933" spans="2:8" x14ac:dyDescent="0.3">
      <c r="B933" s="15">
        <v>927</v>
      </c>
      <c r="C933" s="14">
        <v>44392</v>
      </c>
      <c r="D933" s="15" t="s">
        <v>9</v>
      </c>
      <c r="E933" s="15" t="s">
        <v>12</v>
      </c>
      <c r="F933" s="15" t="s">
        <v>11</v>
      </c>
      <c r="G933" s="15">
        <v>900</v>
      </c>
      <c r="H933" s="15">
        <v>1</v>
      </c>
    </row>
    <row r="934" spans="2:8" x14ac:dyDescent="0.3">
      <c r="B934" s="15">
        <v>928</v>
      </c>
      <c r="C934" s="14">
        <v>44393</v>
      </c>
      <c r="D934" s="15" t="s">
        <v>9</v>
      </c>
      <c r="E934" s="15" t="s">
        <v>12</v>
      </c>
      <c r="F934" s="15" t="s">
        <v>11</v>
      </c>
      <c r="G934" s="15">
        <v>900</v>
      </c>
      <c r="H934" s="15">
        <v>1</v>
      </c>
    </row>
    <row r="935" spans="2:8" x14ac:dyDescent="0.3">
      <c r="B935" s="15">
        <v>929</v>
      </c>
      <c r="C935" s="14">
        <v>44394</v>
      </c>
      <c r="D935" s="15" t="s">
        <v>9</v>
      </c>
      <c r="E935" s="15" t="s">
        <v>10</v>
      </c>
      <c r="F935" s="15" t="s">
        <v>11</v>
      </c>
      <c r="G935" s="15">
        <v>1100</v>
      </c>
      <c r="H935" s="15">
        <v>1</v>
      </c>
    </row>
    <row r="936" spans="2:8" x14ac:dyDescent="0.3">
      <c r="B936" s="15">
        <v>930</v>
      </c>
      <c r="C936" s="14">
        <v>44395</v>
      </c>
      <c r="D936" s="15" t="s">
        <v>9</v>
      </c>
      <c r="E936" s="15" t="s">
        <v>14</v>
      </c>
      <c r="F936" s="15" t="s">
        <v>11</v>
      </c>
      <c r="G936" s="15">
        <v>900</v>
      </c>
      <c r="H936" s="15">
        <v>1</v>
      </c>
    </row>
    <row r="937" spans="2:8" x14ac:dyDescent="0.3">
      <c r="B937" s="15">
        <v>931</v>
      </c>
      <c r="C937" s="14">
        <v>44396</v>
      </c>
      <c r="D937" s="15" t="s">
        <v>9</v>
      </c>
      <c r="E937" s="15" t="s">
        <v>18</v>
      </c>
      <c r="F937" s="15" t="s">
        <v>17</v>
      </c>
      <c r="G937" s="15">
        <v>600</v>
      </c>
      <c r="H937" s="15">
        <v>1</v>
      </c>
    </row>
    <row r="938" spans="2:8" x14ac:dyDescent="0.3">
      <c r="B938" s="15">
        <v>932</v>
      </c>
      <c r="C938" s="14">
        <v>44397</v>
      </c>
      <c r="D938" s="15" t="s">
        <v>9</v>
      </c>
      <c r="E938" s="15" t="s">
        <v>18</v>
      </c>
      <c r="F938" s="15" t="s">
        <v>17</v>
      </c>
      <c r="G938" s="15">
        <v>600</v>
      </c>
      <c r="H938" s="15">
        <v>1</v>
      </c>
    </row>
    <row r="939" spans="2:8" x14ac:dyDescent="0.3">
      <c r="B939" s="15">
        <v>933</v>
      </c>
      <c r="C939" s="14">
        <v>44398</v>
      </c>
      <c r="D939" s="15" t="s">
        <v>9</v>
      </c>
      <c r="E939" s="15" t="s">
        <v>14</v>
      </c>
      <c r="F939" s="15" t="s">
        <v>11</v>
      </c>
      <c r="G939" s="15">
        <v>900</v>
      </c>
      <c r="H939" s="15">
        <v>1</v>
      </c>
    </row>
    <row r="940" spans="2:8" x14ac:dyDescent="0.3">
      <c r="B940" s="15">
        <v>934</v>
      </c>
      <c r="C940" s="14">
        <v>44399</v>
      </c>
      <c r="D940" s="15" t="s">
        <v>9</v>
      </c>
      <c r="E940" s="15" t="s">
        <v>19</v>
      </c>
      <c r="F940" s="15" t="s">
        <v>20</v>
      </c>
      <c r="G940" s="15">
        <v>850</v>
      </c>
      <c r="H940" s="15">
        <v>1</v>
      </c>
    </row>
    <row r="941" spans="2:8" x14ac:dyDescent="0.3">
      <c r="B941" s="15">
        <v>935</v>
      </c>
      <c r="C941" s="14">
        <v>44400</v>
      </c>
      <c r="D941" s="15" t="s">
        <v>9</v>
      </c>
      <c r="E941" s="15" t="s">
        <v>14</v>
      </c>
      <c r="F941" s="15" t="s">
        <v>11</v>
      </c>
      <c r="G941" s="15">
        <v>900</v>
      </c>
      <c r="H941" s="15">
        <v>1</v>
      </c>
    </row>
    <row r="942" spans="2:8" x14ac:dyDescent="0.3">
      <c r="B942" s="15">
        <v>936</v>
      </c>
      <c r="C942" s="14">
        <v>44401</v>
      </c>
      <c r="D942" s="15" t="s">
        <v>9</v>
      </c>
      <c r="E942" s="15" t="s">
        <v>18</v>
      </c>
      <c r="F942" s="15" t="s">
        <v>17</v>
      </c>
      <c r="G942" s="15">
        <v>600</v>
      </c>
      <c r="H942" s="15">
        <v>1</v>
      </c>
    </row>
    <row r="943" spans="2:8" x14ac:dyDescent="0.3">
      <c r="B943" s="15">
        <v>937</v>
      </c>
      <c r="C943" s="14">
        <v>44402</v>
      </c>
      <c r="D943" s="15" t="s">
        <v>9</v>
      </c>
      <c r="E943" s="15" t="s">
        <v>18</v>
      </c>
      <c r="F943" s="15" t="s">
        <v>17</v>
      </c>
      <c r="G943" s="15">
        <v>600</v>
      </c>
      <c r="H943" s="15">
        <v>1</v>
      </c>
    </row>
    <row r="944" spans="2:8" x14ac:dyDescent="0.3">
      <c r="B944" s="15">
        <v>938</v>
      </c>
      <c r="C944" s="14">
        <v>44403</v>
      </c>
      <c r="D944" s="15" t="s">
        <v>9</v>
      </c>
      <c r="E944" s="15" t="s">
        <v>10</v>
      </c>
      <c r="F944" s="15" t="s">
        <v>11</v>
      </c>
      <c r="G944" s="15">
        <v>1100</v>
      </c>
      <c r="H944" s="15">
        <v>1</v>
      </c>
    </row>
    <row r="945" spans="2:8" x14ac:dyDescent="0.3">
      <c r="B945" s="15">
        <v>939</v>
      </c>
      <c r="C945" s="14">
        <v>44404</v>
      </c>
      <c r="D945" s="15" t="s">
        <v>9</v>
      </c>
      <c r="E945" s="15" t="s">
        <v>12</v>
      </c>
      <c r="F945" s="15" t="s">
        <v>11</v>
      </c>
      <c r="G945" s="15">
        <v>900</v>
      </c>
      <c r="H945" s="15">
        <v>1</v>
      </c>
    </row>
    <row r="946" spans="2:8" x14ac:dyDescent="0.3">
      <c r="B946" s="15">
        <v>940</v>
      </c>
      <c r="C946" s="14">
        <v>44405</v>
      </c>
      <c r="D946" s="15" t="s">
        <v>9</v>
      </c>
      <c r="E946" s="15" t="s">
        <v>10</v>
      </c>
      <c r="F946" s="15" t="s">
        <v>11</v>
      </c>
      <c r="G946" s="15">
        <v>1100</v>
      </c>
      <c r="H946" s="15">
        <v>1</v>
      </c>
    </row>
    <row r="947" spans="2:8" x14ac:dyDescent="0.3">
      <c r="B947" s="15">
        <v>941</v>
      </c>
      <c r="C947" s="14">
        <v>44406</v>
      </c>
      <c r="D947" s="15" t="s">
        <v>9</v>
      </c>
      <c r="E947" s="15" t="s">
        <v>18</v>
      </c>
      <c r="F947" s="15" t="s">
        <v>17</v>
      </c>
      <c r="G947" s="15">
        <v>600</v>
      </c>
      <c r="H947" s="15">
        <v>1</v>
      </c>
    </row>
    <row r="948" spans="2:8" x14ac:dyDescent="0.3">
      <c r="B948" s="15">
        <v>942</v>
      </c>
      <c r="C948" s="14">
        <v>44407</v>
      </c>
      <c r="D948" s="15" t="s">
        <v>9</v>
      </c>
      <c r="E948" s="15" t="s">
        <v>21</v>
      </c>
      <c r="F948" s="15" t="s">
        <v>20</v>
      </c>
      <c r="G948" s="15">
        <v>1200</v>
      </c>
      <c r="H948" s="15">
        <v>1</v>
      </c>
    </row>
    <row r="949" spans="2:8" x14ac:dyDescent="0.3">
      <c r="B949" s="15">
        <v>943</v>
      </c>
      <c r="C949" s="14">
        <v>44408</v>
      </c>
      <c r="D949" s="15" t="s">
        <v>9</v>
      </c>
      <c r="E949" s="15" t="s">
        <v>24</v>
      </c>
      <c r="F949" s="15" t="s">
        <v>23</v>
      </c>
      <c r="G949" s="15">
        <v>600</v>
      </c>
      <c r="H949" s="15">
        <v>1</v>
      </c>
    </row>
    <row r="950" spans="2:8" x14ac:dyDescent="0.3">
      <c r="B950" s="15">
        <v>944</v>
      </c>
      <c r="C950" s="14">
        <v>44409</v>
      </c>
      <c r="D950" s="15" t="s">
        <v>9</v>
      </c>
      <c r="E950" s="15" t="s">
        <v>10</v>
      </c>
      <c r="F950" s="15" t="s">
        <v>11</v>
      </c>
      <c r="G950" s="15">
        <v>1100</v>
      </c>
      <c r="H950" s="15">
        <v>1</v>
      </c>
    </row>
    <row r="951" spans="2:8" x14ac:dyDescent="0.3">
      <c r="B951" s="15">
        <v>945</v>
      </c>
      <c r="C951" s="14">
        <v>44410</v>
      </c>
      <c r="D951" s="15" t="s">
        <v>9</v>
      </c>
      <c r="E951" s="15" t="s">
        <v>22</v>
      </c>
      <c r="F951" s="15" t="s">
        <v>23</v>
      </c>
      <c r="G951" s="15">
        <v>500</v>
      </c>
      <c r="H951" s="15">
        <v>1</v>
      </c>
    </row>
    <row r="952" spans="2:8" x14ac:dyDescent="0.3">
      <c r="B952" s="15">
        <v>946</v>
      </c>
      <c r="C952" s="14">
        <v>44411</v>
      </c>
      <c r="D952" s="15" t="s">
        <v>9</v>
      </c>
      <c r="E952" s="15" t="s">
        <v>12</v>
      </c>
      <c r="F952" s="15" t="s">
        <v>11</v>
      </c>
      <c r="G952" s="15">
        <v>900</v>
      </c>
      <c r="H952" s="15">
        <v>1</v>
      </c>
    </row>
    <row r="953" spans="2:8" x14ac:dyDescent="0.3">
      <c r="B953" s="15">
        <v>947</v>
      </c>
      <c r="C953" s="14">
        <v>44412</v>
      </c>
      <c r="D953" s="15" t="s">
        <v>9</v>
      </c>
      <c r="E953" s="15" t="s">
        <v>19</v>
      </c>
      <c r="F953" s="15" t="s">
        <v>20</v>
      </c>
      <c r="G953" s="15">
        <v>850</v>
      </c>
      <c r="H953" s="15">
        <v>1</v>
      </c>
    </row>
    <row r="954" spans="2:8" x14ac:dyDescent="0.3">
      <c r="B954" s="15">
        <v>948</v>
      </c>
      <c r="C954" s="14">
        <v>44413</v>
      </c>
      <c r="D954" s="15" t="s">
        <v>9</v>
      </c>
      <c r="E954" s="15" t="s">
        <v>18</v>
      </c>
      <c r="F954" s="15" t="s">
        <v>17</v>
      </c>
      <c r="G954" s="15">
        <v>600</v>
      </c>
      <c r="H954" s="15">
        <v>1</v>
      </c>
    </row>
    <row r="955" spans="2:8" x14ac:dyDescent="0.3">
      <c r="B955" s="15">
        <v>949</v>
      </c>
      <c r="C955" s="14">
        <v>44414</v>
      </c>
      <c r="D955" s="15" t="s">
        <v>9</v>
      </c>
      <c r="E955" s="15" t="s">
        <v>10</v>
      </c>
      <c r="F955" s="15" t="s">
        <v>11</v>
      </c>
      <c r="G955" s="15">
        <v>1100</v>
      </c>
      <c r="H955" s="15">
        <v>1</v>
      </c>
    </row>
    <row r="956" spans="2:8" x14ac:dyDescent="0.3">
      <c r="B956" s="15">
        <v>950</v>
      </c>
      <c r="C956" s="14">
        <v>44415</v>
      </c>
      <c r="D956" s="15" t="s">
        <v>9</v>
      </c>
      <c r="E956" s="15" t="s">
        <v>22</v>
      </c>
      <c r="F956" s="15" t="s">
        <v>23</v>
      </c>
      <c r="G956" s="15">
        <v>500</v>
      </c>
      <c r="H956" s="15">
        <v>1</v>
      </c>
    </row>
    <row r="957" spans="2:8" x14ac:dyDescent="0.3">
      <c r="B957" s="15">
        <v>951</v>
      </c>
      <c r="C957" s="14">
        <v>44416</v>
      </c>
      <c r="D957" s="15" t="s">
        <v>9</v>
      </c>
      <c r="E957" s="15" t="s">
        <v>18</v>
      </c>
      <c r="F957" s="15" t="s">
        <v>17</v>
      </c>
      <c r="G957" s="15">
        <v>600</v>
      </c>
      <c r="H957" s="15">
        <v>1</v>
      </c>
    </row>
    <row r="958" spans="2:8" x14ac:dyDescent="0.3">
      <c r="B958" s="15">
        <v>952</v>
      </c>
      <c r="C958" s="14">
        <v>44417</v>
      </c>
      <c r="D958" s="15" t="s">
        <v>9</v>
      </c>
      <c r="E958" s="15" t="s">
        <v>15</v>
      </c>
      <c r="F958" s="15" t="s">
        <v>11</v>
      </c>
      <c r="G958" s="15">
        <v>1000</v>
      </c>
      <c r="H958" s="15">
        <v>1</v>
      </c>
    </row>
    <row r="959" spans="2:8" x14ac:dyDescent="0.3">
      <c r="B959" s="15">
        <v>953</v>
      </c>
      <c r="C959" s="14">
        <v>44418</v>
      </c>
      <c r="D959" s="15" t="s">
        <v>9</v>
      </c>
      <c r="E959" s="15" t="s">
        <v>18</v>
      </c>
      <c r="F959" s="15" t="s">
        <v>17</v>
      </c>
      <c r="G959" s="15">
        <v>600</v>
      </c>
      <c r="H959" s="15">
        <v>1</v>
      </c>
    </row>
    <row r="960" spans="2:8" x14ac:dyDescent="0.3">
      <c r="B960" s="15">
        <v>954</v>
      </c>
      <c r="C960" s="14">
        <v>44419</v>
      </c>
      <c r="D960" s="15" t="s">
        <v>9</v>
      </c>
      <c r="E960" s="15" t="s">
        <v>10</v>
      </c>
      <c r="F960" s="15" t="s">
        <v>11</v>
      </c>
      <c r="G960" s="15">
        <v>1100</v>
      </c>
      <c r="H960" s="15">
        <v>1</v>
      </c>
    </row>
    <row r="961" spans="2:8" x14ac:dyDescent="0.3">
      <c r="B961" s="15">
        <v>955</v>
      </c>
      <c r="C961" s="14">
        <v>44420</v>
      </c>
      <c r="D961" s="15" t="s">
        <v>9</v>
      </c>
      <c r="E961" s="15" t="s">
        <v>22</v>
      </c>
      <c r="F961" s="15" t="s">
        <v>23</v>
      </c>
      <c r="G961" s="15">
        <v>500</v>
      </c>
      <c r="H961" s="15">
        <v>1</v>
      </c>
    </row>
    <row r="962" spans="2:8" x14ac:dyDescent="0.3">
      <c r="B962" s="15">
        <v>956</v>
      </c>
      <c r="C962" s="14">
        <v>44421</v>
      </c>
      <c r="D962" s="15" t="s">
        <v>9</v>
      </c>
      <c r="E962" s="15" t="s">
        <v>10</v>
      </c>
      <c r="F962" s="15" t="s">
        <v>11</v>
      </c>
      <c r="G962" s="15">
        <v>1100</v>
      </c>
      <c r="H962" s="15">
        <v>2</v>
      </c>
    </row>
    <row r="963" spans="2:8" x14ac:dyDescent="0.3">
      <c r="B963" s="15">
        <v>957</v>
      </c>
      <c r="C963" s="14">
        <v>44422</v>
      </c>
      <c r="D963" s="15" t="s">
        <v>9</v>
      </c>
      <c r="E963" s="15" t="s">
        <v>18</v>
      </c>
      <c r="F963" s="15" t="s">
        <v>17</v>
      </c>
      <c r="G963" s="15">
        <v>600</v>
      </c>
      <c r="H963" s="15">
        <v>1</v>
      </c>
    </row>
    <row r="964" spans="2:8" x14ac:dyDescent="0.3">
      <c r="B964" s="15">
        <v>958</v>
      </c>
      <c r="C964" s="14">
        <v>44423</v>
      </c>
      <c r="D964" s="15" t="s">
        <v>9</v>
      </c>
      <c r="E964" s="15" t="s">
        <v>16</v>
      </c>
      <c r="F964" s="15" t="s">
        <v>17</v>
      </c>
      <c r="G964" s="15">
        <v>800</v>
      </c>
      <c r="H964" s="15">
        <v>1</v>
      </c>
    </row>
    <row r="965" spans="2:8" x14ac:dyDescent="0.3">
      <c r="B965" s="15">
        <v>959</v>
      </c>
      <c r="C965" s="14">
        <v>44424</v>
      </c>
      <c r="D965" s="15" t="s">
        <v>9</v>
      </c>
      <c r="E965" s="15" t="s">
        <v>14</v>
      </c>
      <c r="F965" s="15" t="s">
        <v>11</v>
      </c>
      <c r="G965" s="15">
        <v>900</v>
      </c>
      <c r="H965" s="15">
        <v>1</v>
      </c>
    </row>
    <row r="966" spans="2:8" x14ac:dyDescent="0.3">
      <c r="B966" s="15">
        <v>960</v>
      </c>
      <c r="C966" s="14">
        <v>44425</v>
      </c>
      <c r="D966" s="15" t="s">
        <v>9</v>
      </c>
      <c r="E966" s="15" t="s">
        <v>24</v>
      </c>
      <c r="F966" s="15" t="s">
        <v>23</v>
      </c>
      <c r="G966" s="15">
        <v>600</v>
      </c>
      <c r="H966" s="15">
        <v>1</v>
      </c>
    </row>
    <row r="967" spans="2:8" x14ac:dyDescent="0.3">
      <c r="B967" s="15">
        <v>961</v>
      </c>
      <c r="C967" s="14">
        <v>44426</v>
      </c>
      <c r="D967" s="15" t="s">
        <v>9</v>
      </c>
      <c r="E967" s="15" t="s">
        <v>10</v>
      </c>
      <c r="F967" s="15" t="s">
        <v>11</v>
      </c>
      <c r="G967" s="15">
        <v>1100</v>
      </c>
      <c r="H967" s="15">
        <v>2</v>
      </c>
    </row>
    <row r="968" spans="2:8" x14ac:dyDescent="0.3">
      <c r="B968" s="15">
        <v>962</v>
      </c>
      <c r="C968" s="14">
        <v>44427</v>
      </c>
      <c r="D968" s="15" t="s">
        <v>9</v>
      </c>
      <c r="E968" s="15" t="s">
        <v>24</v>
      </c>
      <c r="F968" s="15" t="s">
        <v>23</v>
      </c>
      <c r="G968" s="15">
        <v>600</v>
      </c>
      <c r="H968" s="15">
        <v>1</v>
      </c>
    </row>
    <row r="969" spans="2:8" x14ac:dyDescent="0.3">
      <c r="B969" s="15">
        <v>963</v>
      </c>
      <c r="C969" s="14">
        <v>44428</v>
      </c>
      <c r="D969" s="15" t="s">
        <v>9</v>
      </c>
      <c r="E969" s="15" t="s">
        <v>14</v>
      </c>
      <c r="F969" s="15" t="s">
        <v>11</v>
      </c>
      <c r="G969" s="15">
        <v>900</v>
      </c>
      <c r="H969" s="15">
        <v>1</v>
      </c>
    </row>
    <row r="970" spans="2:8" x14ac:dyDescent="0.3">
      <c r="B970" s="15">
        <v>964</v>
      </c>
      <c r="C970" s="14">
        <v>44429</v>
      </c>
      <c r="D970" s="15" t="s">
        <v>9</v>
      </c>
      <c r="E970" s="15" t="s">
        <v>18</v>
      </c>
      <c r="F970" s="15" t="s">
        <v>17</v>
      </c>
      <c r="G970" s="15">
        <v>600</v>
      </c>
      <c r="H970" s="15">
        <v>1</v>
      </c>
    </row>
    <row r="971" spans="2:8" x14ac:dyDescent="0.3">
      <c r="B971" s="15">
        <v>965</v>
      </c>
      <c r="C971" s="14">
        <v>44430</v>
      </c>
      <c r="D971" s="15" t="s">
        <v>9</v>
      </c>
      <c r="E971" s="15" t="s">
        <v>12</v>
      </c>
      <c r="F971" s="15" t="s">
        <v>11</v>
      </c>
      <c r="G971" s="15">
        <v>900</v>
      </c>
      <c r="H971" s="15">
        <v>1</v>
      </c>
    </row>
    <row r="972" spans="2:8" x14ac:dyDescent="0.3">
      <c r="B972" s="15">
        <v>966</v>
      </c>
      <c r="C972" s="14">
        <v>44431</v>
      </c>
      <c r="D972" s="15" t="s">
        <v>9</v>
      </c>
      <c r="E972" s="15" t="s">
        <v>24</v>
      </c>
      <c r="F972" s="15" t="s">
        <v>23</v>
      </c>
      <c r="G972" s="15">
        <v>600</v>
      </c>
      <c r="H972" s="15">
        <v>1</v>
      </c>
    </row>
    <row r="973" spans="2:8" x14ac:dyDescent="0.3">
      <c r="B973" s="15">
        <v>967</v>
      </c>
      <c r="C973" s="14">
        <v>44432</v>
      </c>
      <c r="D973" s="15" t="s">
        <v>9</v>
      </c>
      <c r="E973" s="15" t="s">
        <v>19</v>
      </c>
      <c r="F973" s="15" t="s">
        <v>20</v>
      </c>
      <c r="G973" s="15">
        <v>850</v>
      </c>
      <c r="H973" s="15">
        <v>1</v>
      </c>
    </row>
    <row r="974" spans="2:8" x14ac:dyDescent="0.3">
      <c r="B974" s="15">
        <v>968</v>
      </c>
      <c r="C974" s="14">
        <v>44433</v>
      </c>
      <c r="D974" s="15" t="s">
        <v>9</v>
      </c>
      <c r="E974" s="15" t="s">
        <v>14</v>
      </c>
      <c r="F974" s="15" t="s">
        <v>11</v>
      </c>
      <c r="G974" s="15">
        <v>900</v>
      </c>
      <c r="H974" s="15">
        <v>1</v>
      </c>
    </row>
    <row r="975" spans="2:8" x14ac:dyDescent="0.3">
      <c r="B975" s="15">
        <v>969</v>
      </c>
      <c r="C975" s="14">
        <v>44434</v>
      </c>
      <c r="D975" s="15" t="s">
        <v>9</v>
      </c>
      <c r="E975" s="15" t="s">
        <v>10</v>
      </c>
      <c r="F975" s="15" t="s">
        <v>11</v>
      </c>
      <c r="G975" s="15">
        <v>1100</v>
      </c>
      <c r="H975" s="15">
        <v>1</v>
      </c>
    </row>
    <row r="976" spans="2:8" x14ac:dyDescent="0.3">
      <c r="B976" s="15">
        <v>970</v>
      </c>
      <c r="C976" s="14">
        <v>44435</v>
      </c>
      <c r="D976" s="15" t="s">
        <v>9</v>
      </c>
      <c r="E976" s="15" t="s">
        <v>14</v>
      </c>
      <c r="F976" s="15" t="s">
        <v>11</v>
      </c>
      <c r="G976" s="15">
        <v>900</v>
      </c>
      <c r="H976" s="15">
        <v>1</v>
      </c>
    </row>
    <row r="977" spans="2:8" x14ac:dyDescent="0.3">
      <c r="B977" s="15">
        <v>971</v>
      </c>
      <c r="C977" s="14">
        <v>44436</v>
      </c>
      <c r="D977" s="15" t="s">
        <v>9</v>
      </c>
      <c r="E977" s="15" t="s">
        <v>15</v>
      </c>
      <c r="F977" s="15" t="s">
        <v>11</v>
      </c>
      <c r="G977" s="15">
        <v>1000</v>
      </c>
      <c r="H977" s="15">
        <v>1</v>
      </c>
    </row>
    <row r="978" spans="2:8" x14ac:dyDescent="0.3">
      <c r="B978" s="15">
        <v>972</v>
      </c>
      <c r="C978" s="14">
        <v>44437</v>
      </c>
      <c r="D978" s="15" t="s">
        <v>9</v>
      </c>
      <c r="E978" s="15" t="s">
        <v>10</v>
      </c>
      <c r="F978" s="15" t="s">
        <v>11</v>
      </c>
      <c r="G978" s="15">
        <v>1100</v>
      </c>
      <c r="H978" s="15">
        <v>1</v>
      </c>
    </row>
    <row r="979" spans="2:8" x14ac:dyDescent="0.3">
      <c r="B979" s="15">
        <v>973</v>
      </c>
      <c r="C979" s="14">
        <v>44438</v>
      </c>
      <c r="D979" s="15" t="s">
        <v>9</v>
      </c>
      <c r="E979" s="15" t="s">
        <v>15</v>
      </c>
      <c r="F979" s="15" t="s">
        <v>11</v>
      </c>
      <c r="G979" s="15">
        <v>1000</v>
      </c>
      <c r="H979" s="15">
        <v>1</v>
      </c>
    </row>
    <row r="980" spans="2:8" x14ac:dyDescent="0.3">
      <c r="B980" s="15">
        <v>974</v>
      </c>
      <c r="C980" s="14">
        <v>44439</v>
      </c>
      <c r="D980" s="15" t="s">
        <v>9</v>
      </c>
      <c r="E980" s="15" t="s">
        <v>10</v>
      </c>
      <c r="F980" s="15" t="s">
        <v>11</v>
      </c>
      <c r="G980" s="15">
        <v>1100</v>
      </c>
      <c r="H980" s="15">
        <v>1</v>
      </c>
    </row>
    <row r="981" spans="2:8" x14ac:dyDescent="0.3">
      <c r="B981" s="15">
        <v>975</v>
      </c>
      <c r="C981" s="14">
        <v>44440</v>
      </c>
      <c r="D981" s="15" t="s">
        <v>9</v>
      </c>
      <c r="E981" s="15" t="s">
        <v>14</v>
      </c>
      <c r="F981" s="15" t="s">
        <v>11</v>
      </c>
      <c r="G981" s="15">
        <v>900</v>
      </c>
      <c r="H981" s="15">
        <v>1</v>
      </c>
    </row>
    <row r="982" spans="2:8" x14ac:dyDescent="0.3">
      <c r="B982" s="15">
        <v>976</v>
      </c>
      <c r="C982" s="14">
        <v>44441</v>
      </c>
      <c r="D982" s="15" t="s">
        <v>9</v>
      </c>
      <c r="E982" s="15" t="s">
        <v>12</v>
      </c>
      <c r="F982" s="15" t="s">
        <v>11</v>
      </c>
      <c r="G982" s="15">
        <v>900</v>
      </c>
      <c r="H982" s="15">
        <v>1</v>
      </c>
    </row>
    <row r="983" spans="2:8" x14ac:dyDescent="0.3">
      <c r="B983" s="15">
        <v>977</v>
      </c>
      <c r="C983" s="14">
        <v>44442</v>
      </c>
      <c r="D983" s="15" t="s">
        <v>9</v>
      </c>
      <c r="E983" s="15" t="s">
        <v>10</v>
      </c>
      <c r="F983" s="15" t="s">
        <v>11</v>
      </c>
      <c r="G983" s="15">
        <v>1100</v>
      </c>
      <c r="H983" s="15">
        <v>1</v>
      </c>
    </row>
    <row r="984" spans="2:8" x14ac:dyDescent="0.3">
      <c r="B984" s="15">
        <v>978</v>
      </c>
      <c r="C984" s="14">
        <v>44443</v>
      </c>
      <c r="D984" s="15" t="s">
        <v>9</v>
      </c>
      <c r="E984" s="15" t="s">
        <v>10</v>
      </c>
      <c r="F984" s="15" t="s">
        <v>11</v>
      </c>
      <c r="G984" s="15">
        <v>1100</v>
      </c>
      <c r="H984" s="15">
        <v>1</v>
      </c>
    </row>
    <row r="985" spans="2:8" x14ac:dyDescent="0.3">
      <c r="B985" s="15">
        <v>979</v>
      </c>
      <c r="C985" s="14">
        <v>44444</v>
      </c>
      <c r="D985" s="15" t="s">
        <v>9</v>
      </c>
      <c r="E985" s="15" t="s">
        <v>15</v>
      </c>
      <c r="F985" s="15" t="s">
        <v>11</v>
      </c>
      <c r="G985" s="15">
        <v>1000</v>
      </c>
      <c r="H985" s="15">
        <v>1</v>
      </c>
    </row>
    <row r="986" spans="2:8" x14ac:dyDescent="0.3">
      <c r="B986" s="15">
        <v>980</v>
      </c>
      <c r="C986" s="14">
        <v>44445</v>
      </c>
      <c r="D986" s="15" t="s">
        <v>9</v>
      </c>
      <c r="E986" s="15" t="s">
        <v>12</v>
      </c>
      <c r="F986" s="15" t="s">
        <v>11</v>
      </c>
      <c r="G986" s="15">
        <v>900</v>
      </c>
      <c r="H986" s="15">
        <v>1</v>
      </c>
    </row>
    <row r="987" spans="2:8" x14ac:dyDescent="0.3">
      <c r="B987" s="15">
        <v>981</v>
      </c>
      <c r="C987" s="14">
        <v>44446</v>
      </c>
      <c r="D987" s="15" t="s">
        <v>9</v>
      </c>
      <c r="E987" s="15" t="s">
        <v>18</v>
      </c>
      <c r="F987" s="15" t="s">
        <v>17</v>
      </c>
      <c r="G987" s="15">
        <v>600</v>
      </c>
      <c r="H987" s="15">
        <v>1</v>
      </c>
    </row>
    <row r="988" spans="2:8" x14ac:dyDescent="0.3">
      <c r="B988" s="15">
        <v>982</v>
      </c>
      <c r="C988" s="14">
        <v>44447</v>
      </c>
      <c r="D988" s="15" t="s">
        <v>9</v>
      </c>
      <c r="E988" s="15" t="s">
        <v>12</v>
      </c>
      <c r="F988" s="15" t="s">
        <v>11</v>
      </c>
      <c r="G988" s="15">
        <v>900</v>
      </c>
      <c r="H988" s="15">
        <v>1</v>
      </c>
    </row>
    <row r="989" spans="2:8" x14ac:dyDescent="0.3">
      <c r="B989" s="15">
        <v>983</v>
      </c>
      <c r="C989" s="14">
        <v>44448</v>
      </c>
      <c r="D989" s="15" t="s">
        <v>9</v>
      </c>
      <c r="E989" s="15" t="s">
        <v>18</v>
      </c>
      <c r="F989" s="15" t="s">
        <v>17</v>
      </c>
      <c r="G989" s="15">
        <v>600</v>
      </c>
      <c r="H989" s="15">
        <v>1</v>
      </c>
    </row>
    <row r="990" spans="2:8" x14ac:dyDescent="0.3">
      <c r="B990" s="15">
        <v>984</v>
      </c>
      <c r="C990" s="14">
        <v>44449</v>
      </c>
      <c r="D990" s="15" t="s">
        <v>9</v>
      </c>
      <c r="E990" s="15" t="s">
        <v>14</v>
      </c>
      <c r="F990" s="15" t="s">
        <v>11</v>
      </c>
      <c r="G990" s="15">
        <v>900</v>
      </c>
      <c r="H990" s="15">
        <v>1</v>
      </c>
    </row>
    <row r="991" spans="2:8" x14ac:dyDescent="0.3">
      <c r="B991" s="15">
        <v>985</v>
      </c>
      <c r="C991" s="14">
        <v>44450</v>
      </c>
      <c r="D991" s="15" t="s">
        <v>9</v>
      </c>
      <c r="E991" s="15" t="s">
        <v>10</v>
      </c>
      <c r="F991" s="15" t="s">
        <v>11</v>
      </c>
      <c r="G991" s="15">
        <v>1100</v>
      </c>
      <c r="H991" s="15">
        <v>2</v>
      </c>
    </row>
    <row r="992" spans="2:8" x14ac:dyDescent="0.3">
      <c r="B992" s="15">
        <v>986</v>
      </c>
      <c r="C992" s="14">
        <v>44451</v>
      </c>
      <c r="D992" s="15" t="s">
        <v>9</v>
      </c>
      <c r="E992" s="15" t="s">
        <v>18</v>
      </c>
      <c r="F992" s="15" t="s">
        <v>17</v>
      </c>
      <c r="G992" s="15">
        <v>600</v>
      </c>
      <c r="H992" s="15">
        <v>1</v>
      </c>
    </row>
    <row r="993" spans="2:8" x14ac:dyDescent="0.3">
      <c r="B993" s="15">
        <v>987</v>
      </c>
      <c r="C993" s="14">
        <v>44452</v>
      </c>
      <c r="D993" s="15" t="s">
        <v>9</v>
      </c>
      <c r="E993" s="15" t="s">
        <v>18</v>
      </c>
      <c r="F993" s="15" t="s">
        <v>17</v>
      </c>
      <c r="G993" s="15">
        <v>600</v>
      </c>
      <c r="H993" s="15">
        <v>1</v>
      </c>
    </row>
    <row r="994" spans="2:8" x14ac:dyDescent="0.3">
      <c r="B994" s="15">
        <v>988</v>
      </c>
      <c r="C994" s="14">
        <v>44453</v>
      </c>
      <c r="D994" s="15" t="s">
        <v>9</v>
      </c>
      <c r="E994" s="15" t="s">
        <v>14</v>
      </c>
      <c r="F994" s="15" t="s">
        <v>11</v>
      </c>
      <c r="G994" s="15">
        <v>900</v>
      </c>
      <c r="H994" s="15">
        <v>1</v>
      </c>
    </row>
    <row r="995" spans="2:8" x14ac:dyDescent="0.3">
      <c r="B995" s="15">
        <v>989</v>
      </c>
      <c r="C995" s="14">
        <v>44454</v>
      </c>
      <c r="D995" s="15" t="s">
        <v>9</v>
      </c>
      <c r="E995" s="15" t="s">
        <v>10</v>
      </c>
      <c r="F995" s="15" t="s">
        <v>11</v>
      </c>
      <c r="G995" s="15">
        <v>1100</v>
      </c>
      <c r="H995" s="15">
        <v>1</v>
      </c>
    </row>
    <row r="996" spans="2:8" x14ac:dyDescent="0.3">
      <c r="B996" s="15">
        <v>990</v>
      </c>
      <c r="C996" s="14">
        <v>44455</v>
      </c>
      <c r="D996" s="15" t="s">
        <v>9</v>
      </c>
      <c r="E996" s="15" t="s">
        <v>18</v>
      </c>
      <c r="F996" s="15" t="s">
        <v>17</v>
      </c>
      <c r="G996" s="15">
        <v>600</v>
      </c>
      <c r="H996" s="15">
        <v>1</v>
      </c>
    </row>
    <row r="997" spans="2:8" x14ac:dyDescent="0.3">
      <c r="B997" s="15">
        <v>991</v>
      </c>
      <c r="C997" s="14">
        <v>44456</v>
      </c>
      <c r="D997" s="15" t="s">
        <v>9</v>
      </c>
      <c r="E997" s="15" t="s">
        <v>24</v>
      </c>
      <c r="F997" s="15" t="s">
        <v>23</v>
      </c>
      <c r="G997" s="15">
        <v>600</v>
      </c>
      <c r="H997" s="15">
        <v>1</v>
      </c>
    </row>
    <row r="998" spans="2:8" x14ac:dyDescent="0.3">
      <c r="B998" s="15">
        <v>992</v>
      </c>
      <c r="C998" s="14">
        <v>44457</v>
      </c>
      <c r="D998" s="15" t="s">
        <v>9</v>
      </c>
      <c r="E998" s="15" t="s">
        <v>18</v>
      </c>
      <c r="F998" s="15" t="s">
        <v>17</v>
      </c>
      <c r="G998" s="15">
        <v>600</v>
      </c>
      <c r="H998" s="15">
        <v>1</v>
      </c>
    </row>
    <row r="999" spans="2:8" x14ac:dyDescent="0.3">
      <c r="B999" s="15">
        <v>993</v>
      </c>
      <c r="C999" s="14">
        <v>44458</v>
      </c>
      <c r="D999" s="15" t="s">
        <v>9</v>
      </c>
      <c r="E999" s="15" t="s">
        <v>24</v>
      </c>
      <c r="F999" s="15" t="s">
        <v>23</v>
      </c>
      <c r="G999" s="15">
        <v>600</v>
      </c>
      <c r="H999" s="15">
        <v>1</v>
      </c>
    </row>
    <row r="1000" spans="2:8" x14ac:dyDescent="0.3">
      <c r="B1000" s="15">
        <v>994</v>
      </c>
      <c r="C1000" s="14">
        <v>44459</v>
      </c>
      <c r="D1000" s="15" t="s">
        <v>9</v>
      </c>
      <c r="E1000" s="15" t="s">
        <v>24</v>
      </c>
      <c r="F1000" s="15" t="s">
        <v>23</v>
      </c>
      <c r="G1000" s="15">
        <v>600</v>
      </c>
      <c r="H1000" s="15">
        <v>2</v>
      </c>
    </row>
    <row r="1001" spans="2:8" x14ac:dyDescent="0.3">
      <c r="B1001" s="15">
        <v>995</v>
      </c>
      <c r="C1001" s="14">
        <v>44460</v>
      </c>
      <c r="D1001" s="15" t="s">
        <v>9</v>
      </c>
      <c r="E1001" s="15" t="s">
        <v>18</v>
      </c>
      <c r="F1001" s="15" t="s">
        <v>17</v>
      </c>
      <c r="G1001" s="15">
        <v>600</v>
      </c>
      <c r="H1001" s="15">
        <v>1</v>
      </c>
    </row>
    <row r="1002" spans="2:8" x14ac:dyDescent="0.3">
      <c r="B1002" s="15">
        <v>996</v>
      </c>
      <c r="C1002" s="14">
        <v>44461</v>
      </c>
      <c r="D1002" s="15" t="s">
        <v>9</v>
      </c>
      <c r="E1002" s="15" t="s">
        <v>10</v>
      </c>
      <c r="F1002" s="15" t="s">
        <v>11</v>
      </c>
      <c r="G1002" s="15">
        <v>1100</v>
      </c>
      <c r="H1002" s="15">
        <v>3</v>
      </c>
    </row>
    <row r="1003" spans="2:8" x14ac:dyDescent="0.3">
      <c r="B1003" s="15">
        <v>997</v>
      </c>
      <c r="C1003" s="14">
        <v>44462</v>
      </c>
      <c r="D1003" s="15" t="s">
        <v>9</v>
      </c>
      <c r="E1003" s="15" t="s">
        <v>10</v>
      </c>
      <c r="F1003" s="15" t="s">
        <v>11</v>
      </c>
      <c r="G1003" s="15">
        <v>1100</v>
      </c>
      <c r="H1003" s="15">
        <v>1</v>
      </c>
    </row>
    <row r="1004" spans="2:8" x14ac:dyDescent="0.3">
      <c r="B1004" s="15">
        <v>998</v>
      </c>
      <c r="C1004" s="14">
        <v>44463</v>
      </c>
      <c r="D1004" s="15" t="s">
        <v>9</v>
      </c>
      <c r="E1004" s="15" t="s">
        <v>19</v>
      </c>
      <c r="F1004" s="15" t="s">
        <v>20</v>
      </c>
      <c r="G1004" s="15">
        <v>850</v>
      </c>
      <c r="H1004" s="15">
        <v>1</v>
      </c>
    </row>
    <row r="1005" spans="2:8" x14ac:dyDescent="0.3">
      <c r="B1005" s="15">
        <v>999</v>
      </c>
      <c r="C1005" s="14">
        <v>44464</v>
      </c>
      <c r="D1005" s="15" t="s">
        <v>9</v>
      </c>
      <c r="E1005" s="15" t="s">
        <v>21</v>
      </c>
      <c r="F1005" s="15" t="s">
        <v>20</v>
      </c>
      <c r="G1005" s="15">
        <v>1200</v>
      </c>
      <c r="H1005" s="15">
        <v>1</v>
      </c>
    </row>
    <row r="1006" spans="2:8" x14ac:dyDescent="0.3">
      <c r="B1006" s="15">
        <v>1000</v>
      </c>
      <c r="C1006" s="14">
        <v>44465</v>
      </c>
      <c r="D1006" s="15" t="s">
        <v>9</v>
      </c>
      <c r="E1006" s="15" t="s">
        <v>16</v>
      </c>
      <c r="F1006" s="15" t="s">
        <v>17</v>
      </c>
      <c r="G1006" s="15">
        <v>800</v>
      </c>
      <c r="H1006" s="15">
        <v>1</v>
      </c>
    </row>
    <row r="1007" spans="2:8" x14ac:dyDescent="0.3">
      <c r="B1007" s="15">
        <v>1001</v>
      </c>
      <c r="C1007" s="14">
        <v>44466</v>
      </c>
      <c r="D1007" s="15" t="s">
        <v>9</v>
      </c>
      <c r="E1007" s="15" t="s">
        <v>14</v>
      </c>
      <c r="F1007" s="15" t="s">
        <v>11</v>
      </c>
      <c r="G1007" s="15">
        <v>900</v>
      </c>
      <c r="H1007" s="15">
        <v>1</v>
      </c>
    </row>
    <row r="1008" spans="2:8" x14ac:dyDescent="0.3">
      <c r="B1008" s="15">
        <v>1002</v>
      </c>
      <c r="C1008" s="14">
        <v>44467</v>
      </c>
      <c r="D1008" s="15" t="s">
        <v>9</v>
      </c>
      <c r="E1008" s="15" t="s">
        <v>10</v>
      </c>
      <c r="F1008" s="15" t="s">
        <v>11</v>
      </c>
      <c r="G1008" s="15">
        <v>1100</v>
      </c>
      <c r="H1008" s="15">
        <v>1</v>
      </c>
    </row>
    <row r="1009" spans="2:8" x14ac:dyDescent="0.3">
      <c r="B1009" s="15">
        <v>1003</v>
      </c>
      <c r="C1009" s="14">
        <v>44468</v>
      </c>
      <c r="D1009" s="15" t="s">
        <v>9</v>
      </c>
      <c r="E1009" s="15" t="s">
        <v>12</v>
      </c>
      <c r="F1009" s="15" t="s">
        <v>11</v>
      </c>
      <c r="G1009" s="15">
        <v>900</v>
      </c>
      <c r="H1009" s="15">
        <v>1</v>
      </c>
    </row>
    <row r="1010" spans="2:8" x14ac:dyDescent="0.3">
      <c r="B1010" s="15">
        <v>1004</v>
      </c>
      <c r="C1010" s="14">
        <v>44469</v>
      </c>
      <c r="D1010" s="15" t="s">
        <v>9</v>
      </c>
      <c r="E1010" s="15" t="s">
        <v>10</v>
      </c>
      <c r="F1010" s="15" t="s">
        <v>11</v>
      </c>
      <c r="G1010" s="15">
        <v>1100</v>
      </c>
      <c r="H1010" s="15">
        <v>1</v>
      </c>
    </row>
    <row r="1011" spans="2:8" x14ac:dyDescent="0.3">
      <c r="B1011" s="15">
        <v>1005</v>
      </c>
      <c r="C1011" s="14">
        <v>44470</v>
      </c>
      <c r="D1011" s="15" t="s">
        <v>9</v>
      </c>
      <c r="E1011" s="15" t="s">
        <v>22</v>
      </c>
      <c r="F1011" s="15" t="s">
        <v>23</v>
      </c>
      <c r="G1011" s="15">
        <v>900</v>
      </c>
      <c r="H1011" s="15">
        <v>1</v>
      </c>
    </row>
    <row r="1012" spans="2:8" x14ac:dyDescent="0.3">
      <c r="B1012" s="15">
        <v>1006</v>
      </c>
      <c r="C1012" s="14">
        <v>44471</v>
      </c>
      <c r="D1012" s="15" t="s">
        <v>9</v>
      </c>
      <c r="E1012" s="15" t="s">
        <v>22</v>
      </c>
      <c r="F1012" s="15" t="s">
        <v>23</v>
      </c>
      <c r="G1012" s="15">
        <v>500</v>
      </c>
      <c r="H1012" s="15">
        <v>1</v>
      </c>
    </row>
    <row r="1013" spans="2:8" x14ac:dyDescent="0.3">
      <c r="B1013" s="15">
        <v>1007</v>
      </c>
      <c r="C1013" s="14">
        <v>44472</v>
      </c>
      <c r="D1013" s="15" t="s">
        <v>9</v>
      </c>
      <c r="E1013" s="15" t="s">
        <v>15</v>
      </c>
      <c r="F1013" s="15" t="s">
        <v>11</v>
      </c>
      <c r="G1013" s="15">
        <v>1000</v>
      </c>
      <c r="H1013" s="15">
        <v>1</v>
      </c>
    </row>
    <row r="1014" spans="2:8" x14ac:dyDescent="0.3">
      <c r="B1014" s="15">
        <v>1008</v>
      </c>
      <c r="C1014" s="14">
        <v>44473</v>
      </c>
      <c r="D1014" s="15" t="s">
        <v>9</v>
      </c>
      <c r="E1014" s="15" t="s">
        <v>24</v>
      </c>
      <c r="F1014" s="15" t="s">
        <v>23</v>
      </c>
      <c r="G1014" s="15">
        <v>600</v>
      </c>
      <c r="H1014" s="15">
        <v>1</v>
      </c>
    </row>
    <row r="1015" spans="2:8" x14ac:dyDescent="0.3">
      <c r="B1015" s="15">
        <v>1009</v>
      </c>
      <c r="C1015" s="14">
        <v>44474</v>
      </c>
      <c r="D1015" s="15" t="s">
        <v>9</v>
      </c>
      <c r="E1015" s="15" t="s">
        <v>12</v>
      </c>
      <c r="F1015" s="15" t="s">
        <v>11</v>
      </c>
      <c r="G1015" s="15">
        <v>900</v>
      </c>
      <c r="H1015" s="15">
        <v>2</v>
      </c>
    </row>
    <row r="1016" spans="2:8" x14ac:dyDescent="0.3">
      <c r="B1016" s="15">
        <v>1010</v>
      </c>
      <c r="C1016" s="14">
        <v>44475</v>
      </c>
      <c r="D1016" s="15" t="s">
        <v>9</v>
      </c>
      <c r="E1016" s="15" t="s">
        <v>19</v>
      </c>
      <c r="F1016" s="15" t="s">
        <v>20</v>
      </c>
      <c r="G1016" s="15">
        <v>850</v>
      </c>
      <c r="H1016" s="15">
        <v>1</v>
      </c>
    </row>
    <row r="1017" spans="2:8" x14ac:dyDescent="0.3">
      <c r="B1017" s="15">
        <v>1011</v>
      </c>
      <c r="C1017" s="14">
        <v>44476</v>
      </c>
      <c r="D1017" s="15" t="s">
        <v>9</v>
      </c>
      <c r="E1017" s="15" t="s">
        <v>16</v>
      </c>
      <c r="F1017" s="15" t="s">
        <v>17</v>
      </c>
      <c r="G1017" s="15">
        <v>800</v>
      </c>
      <c r="H1017" s="15">
        <v>1</v>
      </c>
    </row>
    <row r="1018" spans="2:8" x14ac:dyDescent="0.3">
      <c r="B1018" s="15">
        <v>1012</v>
      </c>
      <c r="C1018" s="14">
        <v>44477</v>
      </c>
      <c r="D1018" s="15" t="s">
        <v>9</v>
      </c>
      <c r="E1018" s="15" t="s">
        <v>12</v>
      </c>
      <c r="F1018" s="15" t="s">
        <v>11</v>
      </c>
      <c r="G1018" s="15">
        <v>900</v>
      </c>
      <c r="H1018" s="15">
        <v>1</v>
      </c>
    </row>
    <row r="1019" spans="2:8" x14ac:dyDescent="0.3">
      <c r="B1019" s="15">
        <v>1013</v>
      </c>
      <c r="C1019" s="14">
        <v>44478</v>
      </c>
      <c r="D1019" s="15" t="s">
        <v>9</v>
      </c>
      <c r="E1019" s="15" t="s">
        <v>12</v>
      </c>
      <c r="F1019" s="15" t="s">
        <v>11</v>
      </c>
      <c r="G1019" s="15">
        <v>900</v>
      </c>
      <c r="H1019" s="15">
        <v>1</v>
      </c>
    </row>
    <row r="1020" spans="2:8" x14ac:dyDescent="0.3">
      <c r="B1020" s="15">
        <v>1014</v>
      </c>
      <c r="C1020" s="14">
        <v>44479</v>
      </c>
      <c r="D1020" s="15" t="s">
        <v>9</v>
      </c>
      <c r="E1020" s="15" t="s">
        <v>10</v>
      </c>
      <c r="F1020" s="15" t="s">
        <v>11</v>
      </c>
      <c r="G1020" s="15">
        <v>1100</v>
      </c>
      <c r="H1020" s="15">
        <v>1</v>
      </c>
    </row>
    <row r="1021" spans="2:8" x14ac:dyDescent="0.3">
      <c r="B1021" s="15">
        <v>1015</v>
      </c>
      <c r="C1021" s="14">
        <v>44480</v>
      </c>
      <c r="D1021" s="15" t="s">
        <v>9</v>
      </c>
      <c r="E1021" s="15" t="s">
        <v>14</v>
      </c>
      <c r="F1021" s="15" t="s">
        <v>11</v>
      </c>
      <c r="G1021" s="15">
        <v>900</v>
      </c>
      <c r="H1021" s="15">
        <v>1</v>
      </c>
    </row>
    <row r="1022" spans="2:8" x14ac:dyDescent="0.3">
      <c r="B1022" s="15">
        <v>1016</v>
      </c>
      <c r="C1022" s="14">
        <v>44481</v>
      </c>
      <c r="D1022" s="15" t="s">
        <v>9</v>
      </c>
      <c r="E1022" s="15" t="s">
        <v>18</v>
      </c>
      <c r="F1022" s="15" t="s">
        <v>17</v>
      </c>
      <c r="G1022" s="15">
        <v>600</v>
      </c>
      <c r="H1022" s="15">
        <v>1</v>
      </c>
    </row>
    <row r="1023" spans="2:8" x14ac:dyDescent="0.3">
      <c r="B1023" s="15">
        <v>1017</v>
      </c>
      <c r="C1023" s="14">
        <v>44482</v>
      </c>
      <c r="D1023" s="15" t="s">
        <v>9</v>
      </c>
      <c r="E1023" s="15" t="s">
        <v>18</v>
      </c>
      <c r="F1023" s="15" t="s">
        <v>17</v>
      </c>
      <c r="G1023" s="15">
        <v>600</v>
      </c>
      <c r="H1023" s="15">
        <v>1</v>
      </c>
    </row>
    <row r="1024" spans="2:8" x14ac:dyDescent="0.3">
      <c r="B1024" s="15">
        <v>1018</v>
      </c>
      <c r="C1024" s="14">
        <v>44483</v>
      </c>
      <c r="D1024" s="15" t="s">
        <v>9</v>
      </c>
      <c r="E1024" s="15" t="s">
        <v>14</v>
      </c>
      <c r="F1024" s="15" t="s">
        <v>11</v>
      </c>
      <c r="G1024" s="15">
        <v>900</v>
      </c>
      <c r="H1024" s="15">
        <v>1</v>
      </c>
    </row>
    <row r="1025" spans="2:8" x14ac:dyDescent="0.3">
      <c r="B1025" s="15">
        <v>1019</v>
      </c>
      <c r="C1025" s="14">
        <v>44484</v>
      </c>
      <c r="D1025" s="15" t="s">
        <v>9</v>
      </c>
      <c r="E1025" s="15" t="s">
        <v>19</v>
      </c>
      <c r="F1025" s="15" t="s">
        <v>20</v>
      </c>
      <c r="G1025" s="15">
        <v>850</v>
      </c>
      <c r="H1025" s="15">
        <v>1</v>
      </c>
    </row>
    <row r="1026" spans="2:8" x14ac:dyDescent="0.3">
      <c r="B1026" s="15">
        <v>1020</v>
      </c>
      <c r="C1026" s="14">
        <v>44485</v>
      </c>
      <c r="D1026" s="15" t="s">
        <v>9</v>
      </c>
      <c r="E1026" s="15" t="s">
        <v>14</v>
      </c>
      <c r="F1026" s="15" t="s">
        <v>11</v>
      </c>
      <c r="G1026" s="15">
        <v>900</v>
      </c>
      <c r="H1026" s="15">
        <v>1</v>
      </c>
    </row>
    <row r="1027" spans="2:8" x14ac:dyDescent="0.3">
      <c r="B1027" s="15">
        <v>1021</v>
      </c>
      <c r="C1027" s="14">
        <v>44486</v>
      </c>
      <c r="D1027" s="15" t="s">
        <v>9</v>
      </c>
      <c r="E1027" s="15" t="s">
        <v>18</v>
      </c>
      <c r="F1027" s="15" t="s">
        <v>17</v>
      </c>
      <c r="G1027" s="15">
        <v>600</v>
      </c>
      <c r="H1027" s="15">
        <v>1</v>
      </c>
    </row>
    <row r="1028" spans="2:8" x14ac:dyDescent="0.3">
      <c r="B1028" s="15">
        <v>1022</v>
      </c>
      <c r="C1028" s="14">
        <v>44487</v>
      </c>
      <c r="D1028" s="15" t="s">
        <v>13</v>
      </c>
      <c r="E1028" s="15" t="s">
        <v>18</v>
      </c>
      <c r="F1028" s="15" t="s">
        <v>17</v>
      </c>
      <c r="G1028" s="15">
        <v>600</v>
      </c>
      <c r="H1028" s="15">
        <v>1</v>
      </c>
    </row>
    <row r="1029" spans="2:8" x14ac:dyDescent="0.3">
      <c r="B1029" s="15">
        <v>1023</v>
      </c>
      <c r="C1029" s="14">
        <v>44488</v>
      </c>
      <c r="D1029" s="15" t="s">
        <v>13</v>
      </c>
      <c r="E1029" s="15" t="s">
        <v>10</v>
      </c>
      <c r="F1029" s="15" t="s">
        <v>11</v>
      </c>
      <c r="G1029" s="15">
        <v>1100</v>
      </c>
      <c r="H1029" s="15">
        <v>1</v>
      </c>
    </row>
    <row r="1030" spans="2:8" x14ac:dyDescent="0.3">
      <c r="B1030" s="15">
        <v>1024</v>
      </c>
      <c r="C1030" s="14">
        <v>44489</v>
      </c>
      <c r="D1030" s="15" t="s">
        <v>13</v>
      </c>
      <c r="E1030" s="15" t="s">
        <v>12</v>
      </c>
      <c r="F1030" s="15" t="s">
        <v>11</v>
      </c>
      <c r="G1030" s="15">
        <v>900</v>
      </c>
      <c r="H1030" s="15">
        <v>1</v>
      </c>
    </row>
    <row r="1031" spans="2:8" x14ac:dyDescent="0.3">
      <c r="B1031" s="15">
        <v>1025</v>
      </c>
      <c r="C1031" s="14">
        <v>44490</v>
      </c>
      <c r="D1031" s="15" t="s">
        <v>13</v>
      </c>
      <c r="E1031" s="15" t="s">
        <v>10</v>
      </c>
      <c r="F1031" s="15" t="s">
        <v>11</v>
      </c>
      <c r="G1031" s="15">
        <v>1100</v>
      </c>
      <c r="H1031" s="15">
        <v>1</v>
      </c>
    </row>
    <row r="1032" spans="2:8" x14ac:dyDescent="0.3">
      <c r="B1032" s="15">
        <v>1026</v>
      </c>
      <c r="C1032" s="14">
        <v>44491</v>
      </c>
      <c r="D1032" s="15" t="s">
        <v>13</v>
      </c>
      <c r="E1032" s="15" t="s">
        <v>18</v>
      </c>
      <c r="F1032" s="15" t="s">
        <v>17</v>
      </c>
      <c r="G1032" s="15">
        <v>600</v>
      </c>
      <c r="H1032" s="15">
        <v>1</v>
      </c>
    </row>
    <row r="1033" spans="2:8" x14ac:dyDescent="0.3">
      <c r="B1033" s="15">
        <v>1027</v>
      </c>
      <c r="C1033" s="14">
        <v>44492</v>
      </c>
      <c r="D1033" s="15" t="s">
        <v>13</v>
      </c>
      <c r="E1033" s="15" t="s">
        <v>21</v>
      </c>
      <c r="F1033" s="15" t="s">
        <v>20</v>
      </c>
      <c r="G1033" s="15">
        <v>1200</v>
      </c>
      <c r="H1033" s="15">
        <v>1</v>
      </c>
    </row>
    <row r="1034" spans="2:8" x14ac:dyDescent="0.3">
      <c r="B1034" s="15">
        <v>1028</v>
      </c>
      <c r="C1034" s="14">
        <v>44493</v>
      </c>
      <c r="D1034" s="15" t="s">
        <v>13</v>
      </c>
      <c r="E1034" s="15" t="s">
        <v>24</v>
      </c>
      <c r="F1034" s="15" t="s">
        <v>23</v>
      </c>
      <c r="G1034" s="15">
        <v>600</v>
      </c>
      <c r="H1034" s="15">
        <v>1</v>
      </c>
    </row>
    <row r="1035" spans="2:8" x14ac:dyDescent="0.3">
      <c r="B1035" s="15">
        <v>1029</v>
      </c>
      <c r="C1035" s="14">
        <v>44494</v>
      </c>
      <c r="D1035" s="15" t="s">
        <v>13</v>
      </c>
      <c r="E1035" s="15" t="s">
        <v>10</v>
      </c>
      <c r="F1035" s="15" t="s">
        <v>11</v>
      </c>
      <c r="G1035" s="15">
        <v>1100</v>
      </c>
      <c r="H1035" s="15">
        <v>1</v>
      </c>
    </row>
    <row r="1036" spans="2:8" x14ac:dyDescent="0.3">
      <c r="B1036" s="15">
        <v>1030</v>
      </c>
      <c r="C1036" s="14">
        <v>44495</v>
      </c>
      <c r="D1036" s="15" t="s">
        <v>13</v>
      </c>
      <c r="E1036" s="15" t="s">
        <v>22</v>
      </c>
      <c r="F1036" s="15" t="s">
        <v>23</v>
      </c>
      <c r="G1036" s="15">
        <v>500</v>
      </c>
      <c r="H1036" s="15">
        <v>1</v>
      </c>
    </row>
    <row r="1037" spans="2:8" x14ac:dyDescent="0.3">
      <c r="B1037" s="15">
        <v>1031</v>
      </c>
      <c r="C1037" s="14">
        <v>44496</v>
      </c>
      <c r="D1037" s="15" t="s">
        <v>9</v>
      </c>
      <c r="E1037" s="15" t="s">
        <v>12</v>
      </c>
      <c r="F1037" s="15" t="s">
        <v>11</v>
      </c>
      <c r="G1037" s="15">
        <v>900</v>
      </c>
      <c r="H1037" s="15">
        <v>1</v>
      </c>
    </row>
    <row r="1038" spans="2:8" x14ac:dyDescent="0.3">
      <c r="B1038" s="15">
        <v>1032</v>
      </c>
      <c r="C1038" s="14">
        <v>44497</v>
      </c>
      <c r="D1038" s="15" t="s">
        <v>9</v>
      </c>
      <c r="E1038" s="15" t="s">
        <v>19</v>
      </c>
      <c r="F1038" s="15" t="s">
        <v>20</v>
      </c>
      <c r="G1038" s="15">
        <v>850</v>
      </c>
      <c r="H1038" s="15">
        <v>1</v>
      </c>
    </row>
    <row r="1039" spans="2:8" x14ac:dyDescent="0.3">
      <c r="B1039" s="15">
        <v>1033</v>
      </c>
      <c r="C1039" s="14">
        <v>44498</v>
      </c>
      <c r="D1039" s="15" t="s">
        <v>9</v>
      </c>
      <c r="E1039" s="15" t="s">
        <v>18</v>
      </c>
      <c r="F1039" s="15" t="s">
        <v>17</v>
      </c>
      <c r="G1039" s="15">
        <v>600</v>
      </c>
      <c r="H1039" s="15">
        <v>1</v>
      </c>
    </row>
    <row r="1040" spans="2:8" x14ac:dyDescent="0.3">
      <c r="B1040" s="15">
        <v>1034</v>
      </c>
      <c r="C1040" s="14">
        <v>44499</v>
      </c>
      <c r="D1040" s="15" t="s">
        <v>9</v>
      </c>
      <c r="E1040" s="15" t="s">
        <v>10</v>
      </c>
      <c r="F1040" s="15" t="s">
        <v>11</v>
      </c>
      <c r="G1040" s="15">
        <v>1100</v>
      </c>
      <c r="H1040" s="15">
        <v>1</v>
      </c>
    </row>
    <row r="1041" spans="2:8" x14ac:dyDescent="0.3">
      <c r="B1041" s="15">
        <v>1035</v>
      </c>
      <c r="C1041" s="14">
        <v>44500</v>
      </c>
      <c r="D1041" s="15" t="s">
        <v>9</v>
      </c>
      <c r="E1041" s="15" t="s">
        <v>22</v>
      </c>
      <c r="F1041" s="15" t="s">
        <v>23</v>
      </c>
      <c r="G1041" s="15">
        <v>500</v>
      </c>
      <c r="H1041" s="15">
        <v>1</v>
      </c>
    </row>
    <row r="1042" spans="2:8" x14ac:dyDescent="0.3">
      <c r="B1042" s="15">
        <v>1036</v>
      </c>
      <c r="C1042" s="14">
        <v>44501</v>
      </c>
      <c r="D1042" s="15" t="s">
        <v>9</v>
      </c>
      <c r="E1042" s="15" t="s">
        <v>18</v>
      </c>
      <c r="F1042" s="15" t="s">
        <v>17</v>
      </c>
      <c r="G1042" s="15">
        <v>600</v>
      </c>
      <c r="H1042" s="15">
        <v>1</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0"/>
  <sheetViews>
    <sheetView topLeftCell="A64" zoomScale="130" zoomScaleNormal="130" workbookViewId="0">
      <selection activeCell="B71" sqref="B71"/>
    </sheetView>
  </sheetViews>
  <sheetFormatPr defaultRowHeight="14.4" x14ac:dyDescent="0.3"/>
  <cols>
    <col min="1" max="1" width="13" bestFit="1" customWidth="1"/>
    <col min="2" max="2" width="18.109375" bestFit="1" customWidth="1"/>
    <col min="3" max="3" width="20.77734375" bestFit="1" customWidth="1"/>
    <col min="4" max="4" width="17.5546875" bestFit="1" customWidth="1"/>
    <col min="5" max="5" width="17.109375" bestFit="1" customWidth="1"/>
    <col min="6" max="6" width="11.33203125" bestFit="1" customWidth="1"/>
    <col min="7" max="7" width="6.21875" bestFit="1" customWidth="1"/>
    <col min="8" max="8" width="12.33203125" bestFit="1" customWidth="1"/>
    <col min="9" max="9" width="9" bestFit="1" customWidth="1"/>
    <col min="10" max="10" width="7.33203125" bestFit="1" customWidth="1"/>
    <col min="11" max="11" width="7" bestFit="1" customWidth="1"/>
    <col min="12" max="12" width="10.88671875" bestFit="1" customWidth="1"/>
  </cols>
  <sheetData>
    <row r="3" spans="1:2" x14ac:dyDescent="0.3">
      <c r="A3" s="8" t="s">
        <v>60</v>
      </c>
      <c r="B3" t="s">
        <v>58</v>
      </c>
    </row>
    <row r="4" spans="1:2" x14ac:dyDescent="0.3">
      <c r="A4" s="9" t="s">
        <v>10</v>
      </c>
      <c r="B4">
        <v>199</v>
      </c>
    </row>
    <row r="5" spans="1:2" x14ac:dyDescent="0.3">
      <c r="A5" s="9" t="s">
        <v>18</v>
      </c>
      <c r="B5">
        <v>198</v>
      </c>
    </row>
    <row r="6" spans="1:2" x14ac:dyDescent="0.3">
      <c r="A6" s="9" t="s">
        <v>12</v>
      </c>
      <c r="B6">
        <v>178</v>
      </c>
    </row>
    <row r="7" spans="1:2" x14ac:dyDescent="0.3">
      <c r="A7" s="9" t="s">
        <v>14</v>
      </c>
      <c r="B7">
        <v>121</v>
      </c>
    </row>
    <row r="8" spans="1:2" x14ac:dyDescent="0.3">
      <c r="A8" s="9" t="s">
        <v>15</v>
      </c>
      <c r="B8">
        <v>68</v>
      </c>
    </row>
    <row r="9" spans="1:2" x14ac:dyDescent="0.3">
      <c r="A9" s="9" t="s">
        <v>16</v>
      </c>
      <c r="B9">
        <v>64</v>
      </c>
    </row>
    <row r="10" spans="1:2" x14ac:dyDescent="0.3">
      <c r="A10" s="9" t="s">
        <v>19</v>
      </c>
      <c r="B10">
        <v>57</v>
      </c>
    </row>
    <row r="11" spans="1:2" x14ac:dyDescent="0.3">
      <c r="A11" s="9" t="s">
        <v>22</v>
      </c>
      <c r="B11">
        <v>56</v>
      </c>
    </row>
    <row r="12" spans="1:2" x14ac:dyDescent="0.3">
      <c r="A12" s="9" t="s">
        <v>24</v>
      </c>
      <c r="B12">
        <v>51</v>
      </c>
    </row>
    <row r="13" spans="1:2" x14ac:dyDescent="0.3">
      <c r="A13" s="9" t="s">
        <v>21</v>
      </c>
      <c r="B13">
        <v>46</v>
      </c>
    </row>
    <row r="14" spans="1:2" x14ac:dyDescent="0.3">
      <c r="A14" s="9" t="s">
        <v>40</v>
      </c>
      <c r="B14">
        <v>1038</v>
      </c>
    </row>
    <row r="18" spans="1:2" x14ac:dyDescent="0.3">
      <c r="A18" t="s">
        <v>61</v>
      </c>
    </row>
    <row r="19" spans="1:2" x14ac:dyDescent="0.3">
      <c r="A19" s="10">
        <v>988000</v>
      </c>
    </row>
    <row r="22" spans="1:2" x14ac:dyDescent="0.3">
      <c r="A22" s="8" t="s">
        <v>59</v>
      </c>
      <c r="B22" t="s">
        <v>61</v>
      </c>
    </row>
    <row r="23" spans="1:2" x14ac:dyDescent="0.3">
      <c r="A23" s="9">
        <v>2019</v>
      </c>
      <c r="B23">
        <v>352350</v>
      </c>
    </row>
    <row r="24" spans="1:2" x14ac:dyDescent="0.3">
      <c r="A24" s="9">
        <v>2020</v>
      </c>
      <c r="B24">
        <v>357950</v>
      </c>
    </row>
    <row r="25" spans="1:2" x14ac:dyDescent="0.3">
      <c r="A25" s="9">
        <v>2021</v>
      </c>
      <c r="B25">
        <v>277700</v>
      </c>
    </row>
    <row r="26" spans="1:2" x14ac:dyDescent="0.3">
      <c r="A26" s="9" t="s">
        <v>40</v>
      </c>
      <c r="B26">
        <v>988000</v>
      </c>
    </row>
    <row r="32" spans="1:2" x14ac:dyDescent="0.3">
      <c r="A32" s="8" t="s">
        <v>62</v>
      </c>
      <c r="B32" t="s">
        <v>61</v>
      </c>
    </row>
    <row r="33" spans="1:2" x14ac:dyDescent="0.3">
      <c r="A33" s="9" t="s">
        <v>23</v>
      </c>
      <c r="B33">
        <v>67600</v>
      </c>
    </row>
    <row r="34" spans="1:2" x14ac:dyDescent="0.3">
      <c r="A34" s="12" t="s">
        <v>24</v>
      </c>
      <c r="B34">
        <v>31800</v>
      </c>
    </row>
    <row r="35" spans="1:2" x14ac:dyDescent="0.3">
      <c r="A35" s="12" t="s">
        <v>22</v>
      </c>
      <c r="B35">
        <v>35800</v>
      </c>
    </row>
    <row r="36" spans="1:2" x14ac:dyDescent="0.3">
      <c r="A36" s="9" t="s">
        <v>11</v>
      </c>
      <c r="B36">
        <v>633600</v>
      </c>
    </row>
    <row r="37" spans="1:2" x14ac:dyDescent="0.3">
      <c r="A37" s="12" t="s">
        <v>12</v>
      </c>
      <c r="B37">
        <v>195800</v>
      </c>
    </row>
    <row r="38" spans="1:2" x14ac:dyDescent="0.3">
      <c r="A38" s="12" t="s">
        <v>15</v>
      </c>
      <c r="B38">
        <v>67800</v>
      </c>
    </row>
    <row r="39" spans="1:2" x14ac:dyDescent="0.3">
      <c r="A39" s="12" t="s">
        <v>10</v>
      </c>
      <c r="B39">
        <v>253900</v>
      </c>
    </row>
    <row r="40" spans="1:2" x14ac:dyDescent="0.3">
      <c r="A40" s="12" t="s">
        <v>14</v>
      </c>
      <c r="B40">
        <v>116100</v>
      </c>
    </row>
    <row r="41" spans="1:2" x14ac:dyDescent="0.3">
      <c r="A41" s="9" t="s">
        <v>20</v>
      </c>
      <c r="B41">
        <v>107000</v>
      </c>
    </row>
    <row r="42" spans="1:2" x14ac:dyDescent="0.3">
      <c r="A42" s="12" t="s">
        <v>19</v>
      </c>
      <c r="B42">
        <v>48500</v>
      </c>
    </row>
    <row r="43" spans="1:2" x14ac:dyDescent="0.3">
      <c r="A43" s="12" t="s">
        <v>21</v>
      </c>
      <c r="B43">
        <v>58500</v>
      </c>
    </row>
    <row r="44" spans="1:2" x14ac:dyDescent="0.3">
      <c r="A44" s="9" t="s">
        <v>17</v>
      </c>
      <c r="B44">
        <v>179800</v>
      </c>
    </row>
    <row r="45" spans="1:2" x14ac:dyDescent="0.3">
      <c r="A45" s="12" t="s">
        <v>16</v>
      </c>
      <c r="B45">
        <v>56800</v>
      </c>
    </row>
    <row r="46" spans="1:2" x14ac:dyDescent="0.3">
      <c r="A46" s="12" t="s">
        <v>18</v>
      </c>
      <c r="B46">
        <v>123000</v>
      </c>
    </row>
    <row r="47" spans="1:2" x14ac:dyDescent="0.3">
      <c r="A47" s="9" t="s">
        <v>40</v>
      </c>
      <c r="B47">
        <v>988000</v>
      </c>
    </row>
    <row r="50" spans="1:5" x14ac:dyDescent="0.3">
      <c r="A50" s="8" t="s">
        <v>62</v>
      </c>
      <c r="B50" t="s">
        <v>61</v>
      </c>
      <c r="C50" t="s">
        <v>63</v>
      </c>
      <c r="D50" t="s">
        <v>64</v>
      </c>
      <c r="E50" t="s">
        <v>65</v>
      </c>
    </row>
    <row r="51" spans="1:5" x14ac:dyDescent="0.3">
      <c r="A51" s="9" t="s">
        <v>24</v>
      </c>
      <c r="B51">
        <v>31800</v>
      </c>
      <c r="C51">
        <v>623.52941176470586</v>
      </c>
      <c r="D51">
        <v>1200</v>
      </c>
      <c r="E51">
        <v>300</v>
      </c>
    </row>
    <row r="52" spans="1:5" x14ac:dyDescent="0.3">
      <c r="A52" s="9" t="s">
        <v>12</v>
      </c>
      <c r="B52">
        <v>195800</v>
      </c>
      <c r="C52">
        <v>1100</v>
      </c>
      <c r="D52">
        <v>2700</v>
      </c>
      <c r="E52">
        <v>900</v>
      </c>
    </row>
    <row r="53" spans="1:5" x14ac:dyDescent="0.3">
      <c r="A53" s="9" t="s">
        <v>15</v>
      </c>
      <c r="B53">
        <v>67800</v>
      </c>
      <c r="C53">
        <v>997.05882352941171</v>
      </c>
      <c r="D53">
        <v>1000</v>
      </c>
      <c r="E53">
        <v>900</v>
      </c>
    </row>
    <row r="54" spans="1:5" x14ac:dyDescent="0.3">
      <c r="A54" s="9" t="s">
        <v>10</v>
      </c>
      <c r="B54">
        <v>253900</v>
      </c>
      <c r="C54">
        <v>1275.8793969849246</v>
      </c>
      <c r="D54">
        <v>3300</v>
      </c>
      <c r="E54">
        <v>900</v>
      </c>
    </row>
    <row r="55" spans="1:5" x14ac:dyDescent="0.3">
      <c r="A55" s="9" t="s">
        <v>14</v>
      </c>
      <c r="B55">
        <v>116100</v>
      </c>
      <c r="C55">
        <v>959.50413223140492</v>
      </c>
      <c r="D55">
        <v>2700</v>
      </c>
      <c r="E55">
        <v>900</v>
      </c>
    </row>
    <row r="56" spans="1:5" x14ac:dyDescent="0.3">
      <c r="A56" s="9" t="s">
        <v>19</v>
      </c>
      <c r="B56">
        <v>48500</v>
      </c>
      <c r="C56">
        <v>850.87719298245611</v>
      </c>
      <c r="D56">
        <v>900</v>
      </c>
      <c r="E56">
        <v>850</v>
      </c>
    </row>
    <row r="57" spans="1:5" x14ac:dyDescent="0.3">
      <c r="A57" s="9" t="s">
        <v>21</v>
      </c>
      <c r="B57">
        <v>58500</v>
      </c>
      <c r="C57">
        <v>1271.7391304347825</v>
      </c>
      <c r="D57">
        <v>2400</v>
      </c>
      <c r="E57">
        <v>900</v>
      </c>
    </row>
    <row r="58" spans="1:5" x14ac:dyDescent="0.3">
      <c r="A58" s="9" t="s">
        <v>16</v>
      </c>
      <c r="B58">
        <v>56800</v>
      </c>
      <c r="C58">
        <v>887.5</v>
      </c>
      <c r="D58">
        <v>1600</v>
      </c>
      <c r="E58">
        <v>800</v>
      </c>
    </row>
    <row r="59" spans="1:5" x14ac:dyDescent="0.3">
      <c r="A59" s="9" t="s">
        <v>18</v>
      </c>
      <c r="B59">
        <v>123000</v>
      </c>
      <c r="C59">
        <v>621.21212121212125</v>
      </c>
      <c r="D59">
        <v>1200</v>
      </c>
      <c r="E59">
        <v>600</v>
      </c>
    </row>
    <row r="60" spans="1:5" x14ac:dyDescent="0.3">
      <c r="A60" s="9" t="s">
        <v>22</v>
      </c>
      <c r="B60">
        <v>35800</v>
      </c>
      <c r="C60">
        <v>639.28571428571433</v>
      </c>
      <c r="D60">
        <v>900</v>
      </c>
      <c r="E60">
        <v>500</v>
      </c>
    </row>
    <row r="61" spans="1:5" x14ac:dyDescent="0.3">
      <c r="A61" s="9" t="s">
        <v>40</v>
      </c>
      <c r="B61">
        <v>988000</v>
      </c>
      <c r="C61">
        <v>951.83044315992288</v>
      </c>
      <c r="D61">
        <v>3300</v>
      </c>
      <c r="E61">
        <v>300</v>
      </c>
    </row>
    <row r="67" spans="1:2" x14ac:dyDescent="0.3">
      <c r="A67" s="8" t="s">
        <v>62</v>
      </c>
      <c r="B67" t="s">
        <v>61</v>
      </c>
    </row>
    <row r="68" spans="1:2" x14ac:dyDescent="0.3">
      <c r="A68" s="9" t="s">
        <v>66</v>
      </c>
      <c r="B68" s="10">
        <v>87450</v>
      </c>
    </row>
    <row r="69" spans="1:2" x14ac:dyDescent="0.3">
      <c r="A69" s="9" t="s">
        <v>67</v>
      </c>
      <c r="B69" s="10">
        <v>84900</v>
      </c>
    </row>
    <row r="70" spans="1:2" x14ac:dyDescent="0.3">
      <c r="A70" s="9" t="s">
        <v>68</v>
      </c>
      <c r="B70" s="10">
        <v>94800</v>
      </c>
    </row>
    <row r="71" spans="1:2" x14ac:dyDescent="0.3">
      <c r="A71" s="9" t="s">
        <v>69</v>
      </c>
      <c r="B71" s="10">
        <v>74650</v>
      </c>
    </row>
    <row r="72" spans="1:2" x14ac:dyDescent="0.3">
      <c r="A72" s="9" t="s">
        <v>70</v>
      </c>
      <c r="B72" s="10">
        <v>83350</v>
      </c>
    </row>
    <row r="73" spans="1:2" x14ac:dyDescent="0.3">
      <c r="A73" s="9" t="s">
        <v>71</v>
      </c>
      <c r="B73" s="10">
        <v>88900</v>
      </c>
    </row>
    <row r="74" spans="1:2" x14ac:dyDescent="0.3">
      <c r="A74" s="9" t="s">
        <v>72</v>
      </c>
      <c r="B74" s="10">
        <v>87800</v>
      </c>
    </row>
    <row r="75" spans="1:2" x14ac:dyDescent="0.3">
      <c r="A75" s="9" t="s">
        <v>73</v>
      </c>
      <c r="B75" s="10">
        <v>83150</v>
      </c>
    </row>
    <row r="76" spans="1:2" x14ac:dyDescent="0.3">
      <c r="A76" s="9" t="s">
        <v>74</v>
      </c>
      <c r="B76" s="10">
        <v>88050</v>
      </c>
    </row>
    <row r="77" spans="1:2" x14ac:dyDescent="0.3">
      <c r="A77" s="9" t="s">
        <v>75</v>
      </c>
      <c r="B77" s="10">
        <v>90400</v>
      </c>
    </row>
    <row r="78" spans="1:2" x14ac:dyDescent="0.3">
      <c r="A78" s="9" t="s">
        <v>76</v>
      </c>
      <c r="B78" s="10">
        <v>60350</v>
      </c>
    </row>
    <row r="79" spans="1:2" x14ac:dyDescent="0.3">
      <c r="A79" s="9" t="s">
        <v>77</v>
      </c>
      <c r="B79" s="10">
        <v>64200</v>
      </c>
    </row>
    <row r="80" spans="1:2" x14ac:dyDescent="0.3">
      <c r="A80" s="9" t="s">
        <v>40</v>
      </c>
      <c r="B80" s="10">
        <v>988000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W51"/>
  <sheetViews>
    <sheetView showGridLines="0" zoomScale="55" zoomScaleNormal="55" workbookViewId="0">
      <selection activeCell="AJ27" sqref="AJ27"/>
    </sheetView>
  </sheetViews>
  <sheetFormatPr defaultRowHeight="14.4" x14ac:dyDescent="0.3"/>
  <cols>
    <col min="1" max="16384" width="8.88671875" style="16"/>
  </cols>
  <sheetData>
    <row r="51" spans="23:23" x14ac:dyDescent="0.3">
      <c r="W51" s="16" t="s">
        <v>78</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
  <sheetViews>
    <sheetView topLeftCell="A9" zoomScale="99" zoomScaleNormal="190" workbookViewId="0">
      <selection activeCell="J5" sqref="J5:K16"/>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D4D63-869A-4688-97D8-D6757D7BB218}">
  <sheetPr>
    <tabColor rgb="FF7030A0"/>
  </sheetPr>
  <dimension ref="B2:K1042"/>
  <sheetViews>
    <sheetView topLeftCell="A16" zoomScale="110" zoomScaleNormal="110" zoomScaleSheetLayoutView="50" workbookViewId="0">
      <selection activeCell="B4" sqref="B4:K4"/>
    </sheetView>
  </sheetViews>
  <sheetFormatPr defaultRowHeight="14.4" x14ac:dyDescent="0.3"/>
  <cols>
    <col min="1" max="1" width="2.33203125" style="2" customWidth="1"/>
    <col min="2" max="2" width="32.88671875" style="2" bestFit="1" customWidth="1"/>
    <col min="3" max="3" width="10.6640625" style="2" bestFit="1" customWidth="1"/>
    <col min="4" max="4" width="17.109375" style="2" bestFit="1" customWidth="1"/>
    <col min="5" max="5" width="13.109375" style="2" bestFit="1" customWidth="1"/>
    <col min="6" max="6" width="16.109375" style="2" bestFit="1" customWidth="1"/>
    <col min="7" max="7" width="13.21875" style="2" bestFit="1" customWidth="1"/>
    <col min="8" max="8" width="14.6640625" style="2" bestFit="1" customWidth="1"/>
    <col min="9" max="9" width="14.44140625" style="2" bestFit="1" customWidth="1"/>
    <col min="10" max="10" width="19.88671875" style="2" bestFit="1" customWidth="1"/>
    <col min="11" max="11" width="11.88671875" style="2" bestFit="1" customWidth="1"/>
    <col min="12" max="16384" width="8.88671875" style="2"/>
  </cols>
  <sheetData>
    <row r="2" spans="2:11" ht="18" x14ac:dyDescent="0.35">
      <c r="B2" s="1" t="s">
        <v>0</v>
      </c>
    </row>
    <row r="4" spans="2:11" x14ac:dyDescent="0.3">
      <c r="B4" s="18" t="s">
        <v>1</v>
      </c>
      <c r="C4" s="18" t="s">
        <v>96</v>
      </c>
      <c r="D4" s="18" t="s">
        <v>3</v>
      </c>
      <c r="E4" s="18" t="s">
        <v>4</v>
      </c>
      <c r="F4" s="18" t="s">
        <v>5</v>
      </c>
      <c r="G4" s="18" t="s">
        <v>6</v>
      </c>
      <c r="H4" s="18" t="s">
        <v>7</v>
      </c>
      <c r="I4" s="18" t="s">
        <v>98</v>
      </c>
      <c r="J4" s="18" t="s">
        <v>97</v>
      </c>
      <c r="K4" s="18" t="s">
        <v>105</v>
      </c>
    </row>
    <row r="5" spans="2:11" hidden="1" x14ac:dyDescent="0.3">
      <c r="B5" s="20">
        <v>1</v>
      </c>
      <c r="C5" s="19">
        <v>43466</v>
      </c>
      <c r="D5" s="21" t="s">
        <v>9</v>
      </c>
      <c r="E5" s="21" t="s">
        <v>10</v>
      </c>
      <c r="F5" s="21" t="s">
        <v>11</v>
      </c>
      <c r="G5" s="22">
        <v>1100</v>
      </c>
      <c r="H5" s="20">
        <v>1</v>
      </c>
      <c r="I5" s="32">
        <f>Town_Team[[#This Row],[Item quantity]]*Town_Team[[#This Row],[Selling price]]</f>
        <v>1100</v>
      </c>
      <c r="J5" s="33">
        <f>IF(Town_Team[[#This Row],[Item name]]=" Jeans - Denim",Town_Team[[#This Row],[Item Amount]]*85%,Town_Team[[#This Row],[Item Amount]])</f>
        <v>1100</v>
      </c>
      <c r="K5" s="39" t="str">
        <f>TEXT(Town_Team[[#This Row],[Date ]],"dddd")</f>
        <v>Tuesday</v>
      </c>
    </row>
    <row r="6" spans="2:11" hidden="1" x14ac:dyDescent="0.3">
      <c r="B6" s="20">
        <v>2</v>
      </c>
      <c r="C6" s="19">
        <v>43467</v>
      </c>
      <c r="D6" s="21" t="s">
        <v>9</v>
      </c>
      <c r="E6" s="21" t="s">
        <v>10</v>
      </c>
      <c r="F6" s="21" t="s">
        <v>11</v>
      </c>
      <c r="G6" s="22">
        <v>1100</v>
      </c>
      <c r="H6" s="20">
        <v>1</v>
      </c>
      <c r="I6" s="32">
        <f>Town_Team[[#This Row],[Item quantity]]*Town_Team[[#This Row],[Selling price]]</f>
        <v>1100</v>
      </c>
      <c r="J6" s="33">
        <f>IF(Town_Team[[#This Row],[Item name]]=" Jeans - Denim",Town_Team[[#This Row],[Item Amount]]*85%,Town_Team[[#This Row],[Item Amount]])</f>
        <v>1100</v>
      </c>
      <c r="K6" s="39" t="str">
        <f>TEXT(Town_Team[[#This Row],[Date ]],"dddd")</f>
        <v>Wednesday</v>
      </c>
    </row>
    <row r="7" spans="2:11" hidden="1" x14ac:dyDescent="0.3">
      <c r="B7" s="20">
        <v>3</v>
      </c>
      <c r="C7" s="19">
        <v>43468</v>
      </c>
      <c r="D7" s="21" t="s">
        <v>9</v>
      </c>
      <c r="E7" s="21" t="s">
        <v>10</v>
      </c>
      <c r="F7" s="21" t="s">
        <v>11</v>
      </c>
      <c r="G7" s="22">
        <v>1100</v>
      </c>
      <c r="H7" s="20">
        <v>1</v>
      </c>
      <c r="I7" s="32">
        <f>Town_Team[[#This Row],[Item quantity]]*Town_Team[[#This Row],[Selling price]]</f>
        <v>1100</v>
      </c>
      <c r="J7" s="33">
        <f>IF(Town_Team[[#This Row],[Item name]]=" Jeans - Denim",Town_Team[[#This Row],[Item Amount]]*85%,Town_Team[[#This Row],[Item Amount]])</f>
        <v>1100</v>
      </c>
      <c r="K7" s="39" t="str">
        <f>TEXT(Town_Team[[#This Row],[Date ]],"dddd")</f>
        <v>Thursday</v>
      </c>
    </row>
    <row r="8" spans="2:11" hidden="1" x14ac:dyDescent="0.3">
      <c r="B8" s="20">
        <v>4</v>
      </c>
      <c r="C8" s="19">
        <v>43469</v>
      </c>
      <c r="D8" s="21" t="s">
        <v>9</v>
      </c>
      <c r="E8" s="21" t="s">
        <v>10</v>
      </c>
      <c r="F8" s="21" t="s">
        <v>11</v>
      </c>
      <c r="G8" s="22">
        <v>1100</v>
      </c>
      <c r="H8" s="20">
        <v>1</v>
      </c>
      <c r="I8" s="32">
        <f>Town_Team[[#This Row],[Item quantity]]*Town_Team[[#This Row],[Selling price]]</f>
        <v>1100</v>
      </c>
      <c r="J8" s="33">
        <f>IF(Town_Team[[#This Row],[Item name]]=" Jeans - Denim",Town_Team[[#This Row],[Item Amount]]*85%,Town_Team[[#This Row],[Item Amount]])</f>
        <v>1100</v>
      </c>
      <c r="K8" s="39" t="str">
        <f>TEXT(Town_Team[[#This Row],[Date ]],"dddd")</f>
        <v>Friday</v>
      </c>
    </row>
    <row r="9" spans="2:11" hidden="1" x14ac:dyDescent="0.3">
      <c r="B9" s="20">
        <v>5</v>
      </c>
      <c r="C9" s="19">
        <v>43470</v>
      </c>
      <c r="D9" s="21" t="s">
        <v>9</v>
      </c>
      <c r="E9" s="21" t="s">
        <v>10</v>
      </c>
      <c r="F9" s="21" t="s">
        <v>11</v>
      </c>
      <c r="G9" s="22">
        <v>1100</v>
      </c>
      <c r="H9" s="20">
        <v>1</v>
      </c>
      <c r="I9" s="32">
        <f>Town_Team[[#This Row],[Item quantity]]*Town_Team[[#This Row],[Selling price]]</f>
        <v>1100</v>
      </c>
      <c r="J9" s="33">
        <f>IF(Town_Team[[#This Row],[Item name]]=" Jeans - Denim",Town_Team[[#This Row],[Item Amount]]*85%,Town_Team[[#This Row],[Item Amount]])</f>
        <v>1100</v>
      </c>
      <c r="K9" s="39" t="str">
        <f>TEXT(Town_Team[[#This Row],[Date ]],"dddd")</f>
        <v>Saturday</v>
      </c>
    </row>
    <row r="10" spans="2:11" hidden="1" x14ac:dyDescent="0.3">
      <c r="B10" s="20">
        <v>6</v>
      </c>
      <c r="C10" s="19">
        <v>43471</v>
      </c>
      <c r="D10" s="21" t="s">
        <v>9</v>
      </c>
      <c r="E10" s="21" t="s">
        <v>10</v>
      </c>
      <c r="F10" s="21" t="s">
        <v>11</v>
      </c>
      <c r="G10" s="22">
        <v>1100</v>
      </c>
      <c r="H10" s="20">
        <v>1</v>
      </c>
      <c r="I10" s="32">
        <f>Town_Team[[#This Row],[Item quantity]]*Town_Team[[#This Row],[Selling price]]</f>
        <v>1100</v>
      </c>
      <c r="J10" s="33">
        <f>IF(Town_Team[[#This Row],[Item name]]=" Jeans - Denim",Town_Team[[#This Row],[Item Amount]]*85%,Town_Team[[#This Row],[Item Amount]])</f>
        <v>1100</v>
      </c>
      <c r="K10" s="39" t="str">
        <f>TEXT(Town_Team[[#This Row],[Date ]],"dddd")</f>
        <v>Sunday</v>
      </c>
    </row>
    <row r="11" spans="2:11" hidden="1" x14ac:dyDescent="0.3">
      <c r="B11" s="20">
        <v>7</v>
      </c>
      <c r="C11" s="19">
        <v>43472</v>
      </c>
      <c r="D11" s="21" t="s">
        <v>9</v>
      </c>
      <c r="E11" s="21" t="s">
        <v>10</v>
      </c>
      <c r="F11" s="21" t="s">
        <v>11</v>
      </c>
      <c r="G11" s="22">
        <v>1100</v>
      </c>
      <c r="H11" s="20">
        <v>2</v>
      </c>
      <c r="I11" s="32">
        <f>Town_Team[[#This Row],[Item quantity]]*Town_Team[[#This Row],[Selling price]]</f>
        <v>2200</v>
      </c>
      <c r="J11" s="33">
        <f>IF(Town_Team[[#This Row],[Item name]]=" Jeans - Denim",Town_Team[[#This Row],[Item Amount]]*85%,Town_Team[[#This Row],[Item Amount]])</f>
        <v>2200</v>
      </c>
      <c r="K11" s="39" t="str">
        <f>TEXT(Town_Team[[#This Row],[Date ]],"dddd")</f>
        <v>Monday</v>
      </c>
    </row>
    <row r="12" spans="2:11" hidden="1" x14ac:dyDescent="0.3">
      <c r="B12" s="20">
        <v>8</v>
      </c>
      <c r="C12" s="19">
        <v>43473</v>
      </c>
      <c r="D12" s="21" t="s">
        <v>9</v>
      </c>
      <c r="E12" s="21" t="s">
        <v>10</v>
      </c>
      <c r="F12" s="21" t="s">
        <v>11</v>
      </c>
      <c r="G12" s="22">
        <v>1100</v>
      </c>
      <c r="H12" s="20">
        <v>1</v>
      </c>
      <c r="I12" s="32">
        <f>Town_Team[[#This Row],[Item quantity]]*Town_Team[[#This Row],[Selling price]]</f>
        <v>1100</v>
      </c>
      <c r="J12" s="33">
        <f>IF(Town_Team[[#This Row],[Item name]]=" Jeans - Denim",Town_Team[[#This Row],[Item Amount]]*85%,Town_Team[[#This Row],[Item Amount]])</f>
        <v>1100</v>
      </c>
      <c r="K12" s="39" t="str">
        <f>TEXT(Town_Team[[#This Row],[Date ]],"dddd")</f>
        <v>Tuesday</v>
      </c>
    </row>
    <row r="13" spans="2:11" hidden="1" x14ac:dyDescent="0.3">
      <c r="B13" s="20">
        <v>9</v>
      </c>
      <c r="C13" s="19">
        <v>43474</v>
      </c>
      <c r="D13" s="21" t="s">
        <v>9</v>
      </c>
      <c r="E13" s="21" t="s">
        <v>10</v>
      </c>
      <c r="F13" s="21" t="s">
        <v>11</v>
      </c>
      <c r="G13" s="22">
        <v>1100</v>
      </c>
      <c r="H13" s="20">
        <v>1</v>
      </c>
      <c r="I13" s="32">
        <f>Town_Team[[#This Row],[Item quantity]]*Town_Team[[#This Row],[Selling price]]</f>
        <v>1100</v>
      </c>
      <c r="J13" s="33">
        <f>IF(Town_Team[[#This Row],[Item name]]=" Jeans - Denim",Town_Team[[#This Row],[Item Amount]]*85%,Town_Team[[#This Row],[Item Amount]])</f>
        <v>1100</v>
      </c>
      <c r="K13" s="39" t="str">
        <f>TEXT(Town_Team[[#This Row],[Date ]],"dddd")</f>
        <v>Wednesday</v>
      </c>
    </row>
    <row r="14" spans="2:11" hidden="1" x14ac:dyDescent="0.3">
      <c r="B14" s="20">
        <v>10</v>
      </c>
      <c r="C14" s="19">
        <v>43475</v>
      </c>
      <c r="D14" s="21" t="s">
        <v>9</v>
      </c>
      <c r="E14" s="21" t="s">
        <v>12</v>
      </c>
      <c r="F14" s="21" t="s">
        <v>11</v>
      </c>
      <c r="G14" s="22">
        <v>900</v>
      </c>
      <c r="H14" s="20">
        <v>1</v>
      </c>
      <c r="I14" s="32">
        <f>Town_Team[[#This Row],[Item quantity]]*Town_Team[[#This Row],[Selling price]]</f>
        <v>900</v>
      </c>
      <c r="J14" s="33">
        <f>IF(Town_Team[[#This Row],[Item name]]=" Jeans - Denim",Town_Team[[#This Row],[Item Amount]]*85%,Town_Team[[#This Row],[Item Amount]])</f>
        <v>765</v>
      </c>
      <c r="K14" s="39" t="str">
        <f>TEXT(Town_Team[[#This Row],[Date ]],"dddd")</f>
        <v>Thursday</v>
      </c>
    </row>
    <row r="15" spans="2:11" x14ac:dyDescent="0.3">
      <c r="B15" s="20">
        <v>11</v>
      </c>
      <c r="C15" s="19">
        <v>43476</v>
      </c>
      <c r="D15" s="21" t="s">
        <v>13</v>
      </c>
      <c r="E15" s="21" t="s">
        <v>12</v>
      </c>
      <c r="F15" s="21" t="s">
        <v>11</v>
      </c>
      <c r="G15" s="22">
        <v>900</v>
      </c>
      <c r="H15" s="20">
        <v>1</v>
      </c>
      <c r="I15" s="32">
        <f>Town_Team[[#This Row],[Item quantity]]*Town_Team[[#This Row],[Selling price]]</f>
        <v>900</v>
      </c>
      <c r="J15" s="33">
        <f>IF(Town_Team[[#This Row],[Item name]]=" Jeans - Denim",Town_Team[[#This Row],[Item Amount]]*85%,Town_Team[[#This Row],[Item Amount]])</f>
        <v>765</v>
      </c>
      <c r="K15" s="39" t="str">
        <f>TEXT(Town_Team[[#This Row],[Date ]],"dddd")</f>
        <v>Friday</v>
      </c>
    </row>
    <row r="16" spans="2:11" x14ac:dyDescent="0.3">
      <c r="B16" s="20">
        <v>12</v>
      </c>
      <c r="C16" s="19">
        <v>43477</v>
      </c>
      <c r="D16" s="21" t="s">
        <v>13</v>
      </c>
      <c r="E16" s="21" t="s">
        <v>12</v>
      </c>
      <c r="F16" s="21" t="s">
        <v>11</v>
      </c>
      <c r="G16" s="22">
        <v>900</v>
      </c>
      <c r="H16" s="20">
        <v>1</v>
      </c>
      <c r="I16" s="32">
        <f>Town_Team[[#This Row],[Item quantity]]*Town_Team[[#This Row],[Selling price]]</f>
        <v>900</v>
      </c>
      <c r="J16" s="33">
        <f>IF(Town_Team[[#This Row],[Item name]]=" Jeans - Denim",Town_Team[[#This Row],[Item Amount]]*85%,Town_Team[[#This Row],[Item Amount]])</f>
        <v>765</v>
      </c>
      <c r="K16" s="39" t="str">
        <f>TEXT(Town_Team[[#This Row],[Date ]],"dddd")</f>
        <v>Saturday</v>
      </c>
    </row>
    <row r="17" spans="2:11" x14ac:dyDescent="0.3">
      <c r="B17" s="20">
        <v>13</v>
      </c>
      <c r="C17" s="19">
        <v>43478</v>
      </c>
      <c r="D17" s="21" t="s">
        <v>13</v>
      </c>
      <c r="E17" s="21" t="s">
        <v>12</v>
      </c>
      <c r="F17" s="21" t="s">
        <v>11</v>
      </c>
      <c r="G17" s="22">
        <v>900</v>
      </c>
      <c r="H17" s="20">
        <v>2</v>
      </c>
      <c r="I17" s="32">
        <f>Town_Team[[#This Row],[Item quantity]]*Town_Team[[#This Row],[Selling price]]</f>
        <v>1800</v>
      </c>
      <c r="J17" s="33">
        <f>IF(Town_Team[[#This Row],[Item name]]=" Jeans - Denim",Town_Team[[#This Row],[Item Amount]]*85%,Town_Team[[#This Row],[Item Amount]])</f>
        <v>1530</v>
      </c>
      <c r="K17" s="39" t="str">
        <f>TEXT(Town_Team[[#This Row],[Date ]],"dddd")</f>
        <v>Sunday</v>
      </c>
    </row>
    <row r="18" spans="2:11" x14ac:dyDescent="0.3">
      <c r="B18" s="20">
        <v>14</v>
      </c>
      <c r="C18" s="19">
        <v>43479</v>
      </c>
      <c r="D18" s="21" t="s">
        <v>13</v>
      </c>
      <c r="E18" s="21" t="s">
        <v>12</v>
      </c>
      <c r="F18" s="21" t="s">
        <v>11</v>
      </c>
      <c r="G18" s="22">
        <v>900</v>
      </c>
      <c r="H18" s="20">
        <v>1</v>
      </c>
      <c r="I18" s="32">
        <f>Town_Team[[#This Row],[Item quantity]]*Town_Team[[#This Row],[Selling price]]</f>
        <v>900</v>
      </c>
      <c r="J18" s="33">
        <f>IF(Town_Team[[#This Row],[Item name]]=" Jeans - Denim",Town_Team[[#This Row],[Item Amount]]*85%,Town_Team[[#This Row],[Item Amount]])</f>
        <v>765</v>
      </c>
      <c r="K18" s="39" t="str">
        <f>TEXT(Town_Team[[#This Row],[Date ]],"dddd")</f>
        <v>Monday</v>
      </c>
    </row>
    <row r="19" spans="2:11" x14ac:dyDescent="0.3">
      <c r="B19" s="20">
        <v>15</v>
      </c>
      <c r="C19" s="19">
        <v>43480</v>
      </c>
      <c r="D19" s="21" t="s">
        <v>13</v>
      </c>
      <c r="E19" s="21" t="s">
        <v>12</v>
      </c>
      <c r="F19" s="21" t="s">
        <v>11</v>
      </c>
      <c r="G19" s="22">
        <v>900</v>
      </c>
      <c r="H19" s="20">
        <v>1</v>
      </c>
      <c r="I19" s="32">
        <f>Town_Team[[#This Row],[Item quantity]]*Town_Team[[#This Row],[Selling price]]</f>
        <v>900</v>
      </c>
      <c r="J19" s="33">
        <f>IF(Town_Team[[#This Row],[Item name]]=" Jeans - Denim",Town_Team[[#This Row],[Item Amount]]*85%,Town_Team[[#This Row],[Item Amount]])</f>
        <v>765</v>
      </c>
      <c r="K19" s="39" t="str">
        <f>TEXT(Town_Team[[#This Row],[Date ]],"dddd")</f>
        <v>Tuesday</v>
      </c>
    </row>
    <row r="20" spans="2:11" x14ac:dyDescent="0.3">
      <c r="B20" s="20">
        <v>16</v>
      </c>
      <c r="C20" s="19">
        <v>43481</v>
      </c>
      <c r="D20" s="21" t="s">
        <v>13</v>
      </c>
      <c r="E20" s="21" t="s">
        <v>10</v>
      </c>
      <c r="F20" s="21" t="s">
        <v>11</v>
      </c>
      <c r="G20" s="22">
        <v>1100</v>
      </c>
      <c r="H20" s="20">
        <v>1</v>
      </c>
      <c r="I20" s="32">
        <f>Town_Team[[#This Row],[Item quantity]]*Town_Team[[#This Row],[Selling price]]</f>
        <v>1100</v>
      </c>
      <c r="J20" s="33">
        <f>IF(Town_Team[[#This Row],[Item name]]=" Jeans - Denim",Town_Team[[#This Row],[Item Amount]]*85%,Town_Team[[#This Row],[Item Amount]])</f>
        <v>1100</v>
      </c>
      <c r="K20" s="39" t="str">
        <f>TEXT(Town_Team[[#This Row],[Date ]],"dddd")</f>
        <v>Wednesday</v>
      </c>
    </row>
    <row r="21" spans="2:11" x14ac:dyDescent="0.3">
      <c r="B21" s="20">
        <v>17</v>
      </c>
      <c r="C21" s="19">
        <v>43482</v>
      </c>
      <c r="D21" s="21" t="s">
        <v>13</v>
      </c>
      <c r="E21" s="21" t="s">
        <v>12</v>
      </c>
      <c r="F21" s="21" t="s">
        <v>11</v>
      </c>
      <c r="G21" s="22">
        <v>900</v>
      </c>
      <c r="H21" s="20">
        <v>1</v>
      </c>
      <c r="I21" s="32">
        <f>Town_Team[[#This Row],[Item quantity]]*Town_Team[[#This Row],[Selling price]]</f>
        <v>900</v>
      </c>
      <c r="J21" s="33">
        <f>IF(Town_Team[[#This Row],[Item name]]=" Jeans - Denim",Town_Team[[#This Row],[Item Amount]]*85%,Town_Team[[#This Row],[Item Amount]])</f>
        <v>765</v>
      </c>
      <c r="K21" s="39" t="str">
        <f>TEXT(Town_Team[[#This Row],[Date ]],"dddd")</f>
        <v>Thursday</v>
      </c>
    </row>
    <row r="22" spans="2:11" x14ac:dyDescent="0.3">
      <c r="B22" s="20">
        <v>18</v>
      </c>
      <c r="C22" s="19">
        <v>43483</v>
      </c>
      <c r="D22" s="21" t="s">
        <v>13</v>
      </c>
      <c r="E22" s="21" t="s">
        <v>10</v>
      </c>
      <c r="F22" s="21" t="s">
        <v>11</v>
      </c>
      <c r="G22" s="22">
        <v>1100</v>
      </c>
      <c r="H22" s="20">
        <v>2</v>
      </c>
      <c r="I22" s="32">
        <f>Town_Team[[#This Row],[Item quantity]]*Town_Team[[#This Row],[Selling price]]</f>
        <v>2200</v>
      </c>
      <c r="J22" s="33">
        <f>IF(Town_Team[[#This Row],[Item name]]=" Jeans - Denim",Town_Team[[#This Row],[Item Amount]]*85%,Town_Team[[#This Row],[Item Amount]])</f>
        <v>2200</v>
      </c>
      <c r="K22" s="39" t="str">
        <f>TEXT(Town_Team[[#This Row],[Date ]],"dddd")</f>
        <v>Friday</v>
      </c>
    </row>
    <row r="23" spans="2:11" x14ac:dyDescent="0.3">
      <c r="B23" s="20">
        <v>19</v>
      </c>
      <c r="C23" s="19">
        <v>43484</v>
      </c>
      <c r="D23" s="21" t="s">
        <v>13</v>
      </c>
      <c r="E23" s="21" t="s">
        <v>10</v>
      </c>
      <c r="F23" s="21" t="s">
        <v>11</v>
      </c>
      <c r="G23" s="22">
        <v>1100</v>
      </c>
      <c r="H23" s="20">
        <v>1</v>
      </c>
      <c r="I23" s="32">
        <f>Town_Team[[#This Row],[Item quantity]]*Town_Team[[#This Row],[Selling price]]</f>
        <v>1100</v>
      </c>
      <c r="J23" s="33">
        <f>IF(Town_Team[[#This Row],[Item name]]=" Jeans - Denim",Town_Team[[#This Row],[Item Amount]]*85%,Town_Team[[#This Row],[Item Amount]])</f>
        <v>1100</v>
      </c>
      <c r="K23" s="39" t="str">
        <f>TEXT(Town_Team[[#This Row],[Date ]],"dddd")</f>
        <v>Saturday</v>
      </c>
    </row>
    <row r="24" spans="2:11" hidden="1" x14ac:dyDescent="0.3">
      <c r="B24" s="20">
        <v>20</v>
      </c>
      <c r="C24" s="19">
        <v>43485</v>
      </c>
      <c r="D24" s="21" t="s">
        <v>9</v>
      </c>
      <c r="E24" s="21" t="s">
        <v>12</v>
      </c>
      <c r="F24" s="21" t="s">
        <v>11</v>
      </c>
      <c r="G24" s="22">
        <v>900</v>
      </c>
      <c r="H24" s="20">
        <v>1</v>
      </c>
      <c r="I24" s="32">
        <f>Town_Team[[#This Row],[Item quantity]]*Town_Team[[#This Row],[Selling price]]</f>
        <v>900</v>
      </c>
      <c r="J24" s="33">
        <f>IF(Town_Team[[#This Row],[Item name]]=" Jeans - Denim",Town_Team[[#This Row],[Item Amount]]*85%,Town_Team[[#This Row],[Item Amount]])</f>
        <v>765</v>
      </c>
      <c r="K24" s="39" t="str">
        <f>TEXT(Town_Team[[#This Row],[Date ]],"dddd")</f>
        <v>Sunday</v>
      </c>
    </row>
    <row r="25" spans="2:11" hidden="1" x14ac:dyDescent="0.3">
      <c r="B25" s="20">
        <v>21</v>
      </c>
      <c r="C25" s="19">
        <v>43486</v>
      </c>
      <c r="D25" s="21" t="s">
        <v>9</v>
      </c>
      <c r="E25" s="21" t="s">
        <v>12</v>
      </c>
      <c r="F25" s="21" t="s">
        <v>11</v>
      </c>
      <c r="G25" s="22">
        <v>900</v>
      </c>
      <c r="H25" s="20">
        <v>1</v>
      </c>
      <c r="I25" s="32">
        <f>Town_Team[[#This Row],[Item quantity]]*Town_Team[[#This Row],[Selling price]]</f>
        <v>900</v>
      </c>
      <c r="J25" s="33">
        <f>IF(Town_Team[[#This Row],[Item name]]=" Jeans - Denim",Town_Team[[#This Row],[Item Amount]]*85%,Town_Team[[#This Row],[Item Amount]])</f>
        <v>765</v>
      </c>
      <c r="K25" s="39" t="str">
        <f>TEXT(Town_Team[[#This Row],[Date ]],"dddd")</f>
        <v>Monday</v>
      </c>
    </row>
    <row r="26" spans="2:11" hidden="1" x14ac:dyDescent="0.3">
      <c r="B26" s="20">
        <v>22</v>
      </c>
      <c r="C26" s="19">
        <v>43487</v>
      </c>
      <c r="D26" s="21" t="s">
        <v>9</v>
      </c>
      <c r="E26" s="21" t="s">
        <v>14</v>
      </c>
      <c r="F26" s="21" t="s">
        <v>11</v>
      </c>
      <c r="G26" s="22">
        <v>900</v>
      </c>
      <c r="H26" s="20">
        <v>1</v>
      </c>
      <c r="I26" s="32">
        <f>Town_Team[[#This Row],[Item quantity]]*Town_Team[[#This Row],[Selling price]]</f>
        <v>900</v>
      </c>
      <c r="J26" s="33">
        <f>IF(Town_Team[[#This Row],[Item name]]=" Jeans - Denim",Town_Team[[#This Row],[Item Amount]]*85%,Town_Team[[#This Row],[Item Amount]])</f>
        <v>900</v>
      </c>
      <c r="K26" s="39" t="str">
        <f>TEXT(Town_Team[[#This Row],[Date ]],"dddd")</f>
        <v>Tuesday</v>
      </c>
    </row>
    <row r="27" spans="2:11" hidden="1" x14ac:dyDescent="0.3">
      <c r="B27" s="20">
        <v>23</v>
      </c>
      <c r="C27" s="19">
        <v>43488</v>
      </c>
      <c r="D27" s="21" t="s">
        <v>9</v>
      </c>
      <c r="E27" s="21" t="s">
        <v>10</v>
      </c>
      <c r="F27" s="21" t="s">
        <v>11</v>
      </c>
      <c r="G27" s="22">
        <v>1100</v>
      </c>
      <c r="H27" s="20">
        <v>1</v>
      </c>
      <c r="I27" s="32">
        <f>Town_Team[[#This Row],[Item quantity]]*Town_Team[[#This Row],[Selling price]]</f>
        <v>1100</v>
      </c>
      <c r="J27" s="33">
        <f>IF(Town_Team[[#This Row],[Item name]]=" Jeans - Denim",Town_Team[[#This Row],[Item Amount]]*85%,Town_Team[[#This Row],[Item Amount]])</f>
        <v>1100</v>
      </c>
      <c r="K27" s="39" t="str">
        <f>TEXT(Town_Team[[#This Row],[Date ]],"dddd")</f>
        <v>Wednesday</v>
      </c>
    </row>
    <row r="28" spans="2:11" hidden="1" x14ac:dyDescent="0.3">
      <c r="B28" s="20">
        <v>24</v>
      </c>
      <c r="C28" s="19">
        <v>43489</v>
      </c>
      <c r="D28" s="21" t="s">
        <v>9</v>
      </c>
      <c r="E28" s="21" t="s">
        <v>10</v>
      </c>
      <c r="F28" s="21" t="s">
        <v>11</v>
      </c>
      <c r="G28" s="22">
        <v>1100</v>
      </c>
      <c r="H28" s="20">
        <v>1</v>
      </c>
      <c r="I28" s="32">
        <f>Town_Team[[#This Row],[Item quantity]]*Town_Team[[#This Row],[Selling price]]</f>
        <v>1100</v>
      </c>
      <c r="J28" s="33">
        <f>IF(Town_Team[[#This Row],[Item name]]=" Jeans - Denim",Town_Team[[#This Row],[Item Amount]]*85%,Town_Team[[#This Row],[Item Amount]])</f>
        <v>1100</v>
      </c>
      <c r="K28" s="39" t="str">
        <f>TEXT(Town_Team[[#This Row],[Date ]],"dddd")</f>
        <v>Thursday</v>
      </c>
    </row>
    <row r="29" spans="2:11" hidden="1" x14ac:dyDescent="0.3">
      <c r="B29" s="20">
        <v>25</v>
      </c>
      <c r="C29" s="19">
        <v>43490</v>
      </c>
      <c r="D29" s="21" t="s">
        <v>9</v>
      </c>
      <c r="E29" s="21" t="s">
        <v>14</v>
      </c>
      <c r="F29" s="21" t="s">
        <v>11</v>
      </c>
      <c r="G29" s="22">
        <v>900</v>
      </c>
      <c r="H29" s="20">
        <v>1</v>
      </c>
      <c r="I29" s="32">
        <f>Town_Team[[#This Row],[Item quantity]]*Town_Team[[#This Row],[Selling price]]</f>
        <v>900</v>
      </c>
      <c r="J29" s="33">
        <f>IF(Town_Team[[#This Row],[Item name]]=" Jeans - Denim",Town_Team[[#This Row],[Item Amount]]*85%,Town_Team[[#This Row],[Item Amount]])</f>
        <v>900</v>
      </c>
      <c r="K29" s="39" t="str">
        <f>TEXT(Town_Team[[#This Row],[Date ]],"dddd")</f>
        <v>Friday</v>
      </c>
    </row>
    <row r="30" spans="2:11" hidden="1" x14ac:dyDescent="0.3">
      <c r="B30" s="20">
        <v>26</v>
      </c>
      <c r="C30" s="19">
        <v>43491</v>
      </c>
      <c r="D30" s="21" t="s">
        <v>9</v>
      </c>
      <c r="E30" s="21" t="s">
        <v>12</v>
      </c>
      <c r="F30" s="21" t="s">
        <v>11</v>
      </c>
      <c r="G30" s="22">
        <v>900</v>
      </c>
      <c r="H30" s="20">
        <v>1</v>
      </c>
      <c r="I30" s="32">
        <f>Town_Team[[#This Row],[Item quantity]]*Town_Team[[#This Row],[Selling price]]</f>
        <v>900</v>
      </c>
      <c r="J30" s="33">
        <f>IF(Town_Team[[#This Row],[Item name]]=" Jeans - Denim",Town_Team[[#This Row],[Item Amount]]*85%,Town_Team[[#This Row],[Item Amount]])</f>
        <v>765</v>
      </c>
      <c r="K30" s="39" t="str">
        <f>TEXT(Town_Team[[#This Row],[Date ]],"dddd")</f>
        <v>Saturday</v>
      </c>
    </row>
    <row r="31" spans="2:11" hidden="1" x14ac:dyDescent="0.3">
      <c r="B31" s="20">
        <v>27</v>
      </c>
      <c r="C31" s="19">
        <v>43492</v>
      </c>
      <c r="D31" s="21" t="s">
        <v>9</v>
      </c>
      <c r="E31" s="21" t="s">
        <v>14</v>
      </c>
      <c r="F31" s="21" t="s">
        <v>11</v>
      </c>
      <c r="G31" s="22">
        <v>900</v>
      </c>
      <c r="H31" s="20">
        <v>1</v>
      </c>
      <c r="I31" s="32">
        <f>Town_Team[[#This Row],[Item quantity]]*Town_Team[[#This Row],[Selling price]]</f>
        <v>900</v>
      </c>
      <c r="J31" s="33">
        <f>IF(Town_Team[[#This Row],[Item name]]=" Jeans - Denim",Town_Team[[#This Row],[Item Amount]]*85%,Town_Team[[#This Row],[Item Amount]])</f>
        <v>900</v>
      </c>
      <c r="K31" s="39" t="str">
        <f>TEXT(Town_Team[[#This Row],[Date ]],"dddd")</f>
        <v>Sunday</v>
      </c>
    </row>
    <row r="32" spans="2:11" hidden="1" x14ac:dyDescent="0.3">
      <c r="B32" s="20">
        <v>28</v>
      </c>
      <c r="C32" s="19">
        <v>43493</v>
      </c>
      <c r="D32" s="21" t="s">
        <v>9</v>
      </c>
      <c r="E32" s="21" t="s">
        <v>10</v>
      </c>
      <c r="F32" s="21" t="s">
        <v>11</v>
      </c>
      <c r="G32" s="22">
        <v>1100</v>
      </c>
      <c r="H32" s="20">
        <v>1</v>
      </c>
      <c r="I32" s="32">
        <f>Town_Team[[#This Row],[Item quantity]]*Town_Team[[#This Row],[Selling price]]</f>
        <v>1100</v>
      </c>
      <c r="J32" s="33">
        <f>IF(Town_Team[[#This Row],[Item name]]=" Jeans - Denim",Town_Team[[#This Row],[Item Amount]]*85%,Town_Team[[#This Row],[Item Amount]])</f>
        <v>1100</v>
      </c>
      <c r="K32" s="39" t="str">
        <f>TEXT(Town_Team[[#This Row],[Date ]],"dddd")</f>
        <v>Monday</v>
      </c>
    </row>
    <row r="33" spans="2:11" hidden="1" x14ac:dyDescent="0.3">
      <c r="B33" s="20">
        <v>29</v>
      </c>
      <c r="C33" s="19">
        <v>43494</v>
      </c>
      <c r="D33" s="21" t="s">
        <v>9</v>
      </c>
      <c r="E33" s="21" t="s">
        <v>10</v>
      </c>
      <c r="F33" s="21" t="s">
        <v>11</v>
      </c>
      <c r="G33" s="22">
        <v>1100</v>
      </c>
      <c r="H33" s="20">
        <v>1</v>
      </c>
      <c r="I33" s="32">
        <f>Town_Team[[#This Row],[Item quantity]]*Town_Team[[#This Row],[Selling price]]</f>
        <v>1100</v>
      </c>
      <c r="J33" s="33">
        <f>IF(Town_Team[[#This Row],[Item name]]=" Jeans - Denim",Town_Team[[#This Row],[Item Amount]]*85%,Town_Team[[#This Row],[Item Amount]])</f>
        <v>1100</v>
      </c>
      <c r="K33" s="39" t="str">
        <f>TEXT(Town_Team[[#This Row],[Date ]],"dddd")</f>
        <v>Tuesday</v>
      </c>
    </row>
    <row r="34" spans="2:11" hidden="1" x14ac:dyDescent="0.3">
      <c r="B34" s="20">
        <v>30</v>
      </c>
      <c r="C34" s="19">
        <v>43495</v>
      </c>
      <c r="D34" s="21" t="s">
        <v>9</v>
      </c>
      <c r="E34" s="21" t="s">
        <v>14</v>
      </c>
      <c r="F34" s="21" t="s">
        <v>11</v>
      </c>
      <c r="G34" s="22">
        <v>900</v>
      </c>
      <c r="H34" s="20">
        <v>1</v>
      </c>
      <c r="I34" s="32">
        <f>Town_Team[[#This Row],[Item quantity]]*Town_Team[[#This Row],[Selling price]]</f>
        <v>900</v>
      </c>
      <c r="J34" s="33">
        <f>IF(Town_Team[[#This Row],[Item name]]=" Jeans - Denim",Town_Team[[#This Row],[Item Amount]]*85%,Town_Team[[#This Row],[Item Amount]])</f>
        <v>900</v>
      </c>
      <c r="K34" s="39" t="str">
        <f>TEXT(Town_Team[[#This Row],[Date ]],"dddd")</f>
        <v>Wednesday</v>
      </c>
    </row>
    <row r="35" spans="2:11" hidden="1" x14ac:dyDescent="0.3">
      <c r="B35" s="20">
        <v>31</v>
      </c>
      <c r="C35" s="19">
        <v>43496</v>
      </c>
      <c r="D35" s="21" t="s">
        <v>9</v>
      </c>
      <c r="E35" s="21" t="s">
        <v>14</v>
      </c>
      <c r="F35" s="21" t="s">
        <v>11</v>
      </c>
      <c r="G35" s="22">
        <v>900</v>
      </c>
      <c r="H35" s="20">
        <v>1</v>
      </c>
      <c r="I35" s="32">
        <f>Town_Team[[#This Row],[Item quantity]]*Town_Team[[#This Row],[Selling price]]</f>
        <v>900</v>
      </c>
      <c r="J35" s="33">
        <f>IF(Town_Team[[#This Row],[Item name]]=" Jeans - Denim",Town_Team[[#This Row],[Item Amount]]*85%,Town_Team[[#This Row],[Item Amount]])</f>
        <v>900</v>
      </c>
      <c r="K35" s="39" t="str">
        <f>TEXT(Town_Team[[#This Row],[Date ]],"dddd")</f>
        <v>Thursday</v>
      </c>
    </row>
    <row r="36" spans="2:11" hidden="1" x14ac:dyDescent="0.3">
      <c r="B36" s="20">
        <v>32</v>
      </c>
      <c r="C36" s="19">
        <v>43497</v>
      </c>
      <c r="D36" s="21" t="s">
        <v>9</v>
      </c>
      <c r="E36" s="21" t="s">
        <v>14</v>
      </c>
      <c r="F36" s="21" t="s">
        <v>11</v>
      </c>
      <c r="G36" s="22">
        <v>900</v>
      </c>
      <c r="H36" s="20">
        <v>1</v>
      </c>
      <c r="I36" s="32">
        <f>Town_Team[[#This Row],[Item quantity]]*Town_Team[[#This Row],[Selling price]]</f>
        <v>900</v>
      </c>
      <c r="J36" s="33">
        <f>IF(Town_Team[[#This Row],[Item name]]=" Jeans - Denim",Town_Team[[#This Row],[Item Amount]]*85%,Town_Team[[#This Row],[Item Amount]])</f>
        <v>900</v>
      </c>
      <c r="K36" s="39" t="str">
        <f>TEXT(Town_Team[[#This Row],[Date ]],"dddd")</f>
        <v>Friday</v>
      </c>
    </row>
    <row r="37" spans="2:11" hidden="1" x14ac:dyDescent="0.3">
      <c r="B37" s="20">
        <v>33</v>
      </c>
      <c r="C37" s="19">
        <v>43498</v>
      </c>
      <c r="D37" s="21" t="s">
        <v>9</v>
      </c>
      <c r="E37" s="21" t="s">
        <v>14</v>
      </c>
      <c r="F37" s="21" t="s">
        <v>11</v>
      </c>
      <c r="G37" s="22">
        <v>900</v>
      </c>
      <c r="H37" s="20">
        <v>1</v>
      </c>
      <c r="I37" s="32">
        <f>Town_Team[[#This Row],[Item quantity]]*Town_Team[[#This Row],[Selling price]]</f>
        <v>900</v>
      </c>
      <c r="J37" s="33">
        <f>IF(Town_Team[[#This Row],[Item name]]=" Jeans - Denim",Town_Team[[#This Row],[Item Amount]]*85%,Town_Team[[#This Row],[Item Amount]])</f>
        <v>900</v>
      </c>
      <c r="K37" s="39" t="str">
        <f>TEXT(Town_Team[[#This Row],[Date ]],"dddd")</f>
        <v>Saturday</v>
      </c>
    </row>
    <row r="38" spans="2:11" hidden="1" x14ac:dyDescent="0.3">
      <c r="B38" s="20">
        <v>34</v>
      </c>
      <c r="C38" s="19">
        <v>43499</v>
      </c>
      <c r="D38" s="21" t="s">
        <v>9</v>
      </c>
      <c r="E38" s="21" t="s">
        <v>14</v>
      </c>
      <c r="F38" s="21" t="s">
        <v>11</v>
      </c>
      <c r="G38" s="22">
        <v>900</v>
      </c>
      <c r="H38" s="20">
        <v>1</v>
      </c>
      <c r="I38" s="32">
        <f>Town_Team[[#This Row],[Item quantity]]*Town_Team[[#This Row],[Selling price]]</f>
        <v>900</v>
      </c>
      <c r="J38" s="33">
        <f>IF(Town_Team[[#This Row],[Item name]]=" Jeans - Denim",Town_Team[[#This Row],[Item Amount]]*85%,Town_Team[[#This Row],[Item Amount]])</f>
        <v>900</v>
      </c>
      <c r="K38" s="39" t="str">
        <f>TEXT(Town_Team[[#This Row],[Date ]],"dddd")</f>
        <v>Sunday</v>
      </c>
    </row>
    <row r="39" spans="2:11" hidden="1" x14ac:dyDescent="0.3">
      <c r="B39" s="20">
        <v>35</v>
      </c>
      <c r="C39" s="19">
        <v>43500</v>
      </c>
      <c r="D39" s="21" t="s">
        <v>9</v>
      </c>
      <c r="E39" s="21" t="s">
        <v>12</v>
      </c>
      <c r="F39" s="21" t="s">
        <v>11</v>
      </c>
      <c r="G39" s="22">
        <v>900</v>
      </c>
      <c r="H39" s="20">
        <v>1</v>
      </c>
      <c r="I39" s="32">
        <f>Town_Team[[#This Row],[Item quantity]]*Town_Team[[#This Row],[Selling price]]</f>
        <v>900</v>
      </c>
      <c r="J39" s="33">
        <f>IF(Town_Team[[#This Row],[Item name]]=" Jeans - Denim",Town_Team[[#This Row],[Item Amount]]*85%,Town_Team[[#This Row],[Item Amount]])</f>
        <v>765</v>
      </c>
      <c r="K39" s="39" t="str">
        <f>TEXT(Town_Team[[#This Row],[Date ]],"dddd")</f>
        <v>Monday</v>
      </c>
    </row>
    <row r="40" spans="2:11" hidden="1" x14ac:dyDescent="0.3">
      <c r="B40" s="20">
        <v>36</v>
      </c>
      <c r="C40" s="19">
        <v>43501</v>
      </c>
      <c r="D40" s="21" t="s">
        <v>9</v>
      </c>
      <c r="E40" s="21" t="s">
        <v>12</v>
      </c>
      <c r="F40" s="21" t="s">
        <v>11</v>
      </c>
      <c r="G40" s="22">
        <v>900</v>
      </c>
      <c r="H40" s="20">
        <v>1</v>
      </c>
      <c r="I40" s="32">
        <f>Town_Team[[#This Row],[Item quantity]]*Town_Team[[#This Row],[Selling price]]</f>
        <v>900</v>
      </c>
      <c r="J40" s="33">
        <f>IF(Town_Team[[#This Row],[Item name]]=" Jeans - Denim",Town_Team[[#This Row],[Item Amount]]*85%,Town_Team[[#This Row],[Item Amount]])</f>
        <v>765</v>
      </c>
      <c r="K40" s="39" t="str">
        <f>TEXT(Town_Team[[#This Row],[Date ]],"dddd")</f>
        <v>Tuesday</v>
      </c>
    </row>
    <row r="41" spans="2:11" hidden="1" x14ac:dyDescent="0.3">
      <c r="B41" s="20">
        <v>37</v>
      </c>
      <c r="C41" s="19">
        <v>43502</v>
      </c>
      <c r="D41" s="21" t="s">
        <v>9</v>
      </c>
      <c r="E41" s="21" t="s">
        <v>12</v>
      </c>
      <c r="F41" s="21" t="s">
        <v>11</v>
      </c>
      <c r="G41" s="22">
        <v>900</v>
      </c>
      <c r="H41" s="20">
        <v>1</v>
      </c>
      <c r="I41" s="32">
        <f>Town_Team[[#This Row],[Item quantity]]*Town_Team[[#This Row],[Selling price]]</f>
        <v>900</v>
      </c>
      <c r="J41" s="33">
        <f>IF(Town_Team[[#This Row],[Item name]]=" Jeans - Denim",Town_Team[[#This Row],[Item Amount]]*85%,Town_Team[[#This Row],[Item Amount]])</f>
        <v>765</v>
      </c>
      <c r="K41" s="39" t="str">
        <f>TEXT(Town_Team[[#This Row],[Date ]],"dddd")</f>
        <v>Wednesday</v>
      </c>
    </row>
    <row r="42" spans="2:11" hidden="1" x14ac:dyDescent="0.3">
      <c r="B42" s="20">
        <v>38</v>
      </c>
      <c r="C42" s="19">
        <v>43503</v>
      </c>
      <c r="D42" s="21" t="s">
        <v>9</v>
      </c>
      <c r="E42" s="21" t="s">
        <v>10</v>
      </c>
      <c r="F42" s="21" t="s">
        <v>11</v>
      </c>
      <c r="G42" s="22">
        <v>1100</v>
      </c>
      <c r="H42" s="20">
        <v>1</v>
      </c>
      <c r="I42" s="32">
        <f>Town_Team[[#This Row],[Item quantity]]*Town_Team[[#This Row],[Selling price]]</f>
        <v>1100</v>
      </c>
      <c r="J42" s="33">
        <f>IF(Town_Team[[#This Row],[Item name]]=" Jeans - Denim",Town_Team[[#This Row],[Item Amount]]*85%,Town_Team[[#This Row],[Item Amount]])</f>
        <v>1100</v>
      </c>
      <c r="K42" s="39" t="str">
        <f>TEXT(Town_Team[[#This Row],[Date ]],"dddd")</f>
        <v>Thursday</v>
      </c>
    </row>
    <row r="43" spans="2:11" hidden="1" x14ac:dyDescent="0.3">
      <c r="B43" s="20">
        <v>39</v>
      </c>
      <c r="C43" s="19">
        <v>43504</v>
      </c>
      <c r="D43" s="21" t="s">
        <v>9</v>
      </c>
      <c r="E43" s="21" t="s">
        <v>10</v>
      </c>
      <c r="F43" s="21" t="s">
        <v>11</v>
      </c>
      <c r="G43" s="22">
        <v>1100</v>
      </c>
      <c r="H43" s="20">
        <v>1</v>
      </c>
      <c r="I43" s="32">
        <f>Town_Team[[#This Row],[Item quantity]]*Town_Team[[#This Row],[Selling price]]</f>
        <v>1100</v>
      </c>
      <c r="J43" s="33">
        <f>IF(Town_Team[[#This Row],[Item name]]=" Jeans - Denim",Town_Team[[#This Row],[Item Amount]]*85%,Town_Team[[#This Row],[Item Amount]])</f>
        <v>1100</v>
      </c>
      <c r="K43" s="39" t="str">
        <f>TEXT(Town_Team[[#This Row],[Date ]],"dddd")</f>
        <v>Friday</v>
      </c>
    </row>
    <row r="44" spans="2:11" hidden="1" x14ac:dyDescent="0.3">
      <c r="B44" s="20">
        <v>40</v>
      </c>
      <c r="C44" s="19">
        <v>43505</v>
      </c>
      <c r="D44" s="21" t="s">
        <v>9</v>
      </c>
      <c r="E44" s="21" t="s">
        <v>15</v>
      </c>
      <c r="F44" s="21" t="s">
        <v>11</v>
      </c>
      <c r="G44" s="22">
        <v>1000</v>
      </c>
      <c r="H44" s="20">
        <v>1</v>
      </c>
      <c r="I44" s="32">
        <f>Town_Team[[#This Row],[Item quantity]]*Town_Team[[#This Row],[Selling price]]</f>
        <v>1000</v>
      </c>
      <c r="J44" s="33">
        <f>IF(Town_Team[[#This Row],[Item name]]=" Jeans - Denim",Town_Team[[#This Row],[Item Amount]]*85%,Town_Team[[#This Row],[Item Amount]])</f>
        <v>1000</v>
      </c>
      <c r="K44" s="39" t="str">
        <f>TEXT(Town_Team[[#This Row],[Date ]],"dddd")</f>
        <v>Saturday</v>
      </c>
    </row>
    <row r="45" spans="2:11" hidden="1" x14ac:dyDescent="0.3">
      <c r="B45" s="20">
        <v>41</v>
      </c>
      <c r="C45" s="19">
        <v>43506</v>
      </c>
      <c r="D45" s="21" t="s">
        <v>9</v>
      </c>
      <c r="E45" s="21" t="s">
        <v>15</v>
      </c>
      <c r="F45" s="21" t="s">
        <v>11</v>
      </c>
      <c r="G45" s="22">
        <v>1000</v>
      </c>
      <c r="H45" s="20">
        <v>1</v>
      </c>
      <c r="I45" s="32">
        <f>Town_Team[[#This Row],[Item quantity]]*Town_Team[[#This Row],[Selling price]]</f>
        <v>1000</v>
      </c>
      <c r="J45" s="33">
        <f>IF(Town_Team[[#This Row],[Item name]]=" Jeans - Denim",Town_Team[[#This Row],[Item Amount]]*85%,Town_Team[[#This Row],[Item Amount]])</f>
        <v>1000</v>
      </c>
      <c r="K45" s="39" t="str">
        <f>TEXT(Town_Team[[#This Row],[Date ]],"dddd")</f>
        <v>Sunday</v>
      </c>
    </row>
    <row r="46" spans="2:11" hidden="1" x14ac:dyDescent="0.3">
      <c r="B46" s="20">
        <v>42</v>
      </c>
      <c r="C46" s="19">
        <v>43507</v>
      </c>
      <c r="D46" s="21" t="s">
        <v>9</v>
      </c>
      <c r="E46" s="21" t="s">
        <v>10</v>
      </c>
      <c r="F46" s="21" t="s">
        <v>11</v>
      </c>
      <c r="G46" s="22">
        <v>1100</v>
      </c>
      <c r="H46" s="20">
        <v>1</v>
      </c>
      <c r="I46" s="32">
        <f>Town_Team[[#This Row],[Item quantity]]*Town_Team[[#This Row],[Selling price]]</f>
        <v>1100</v>
      </c>
      <c r="J46" s="33">
        <f>IF(Town_Team[[#This Row],[Item name]]=" Jeans - Denim",Town_Team[[#This Row],[Item Amount]]*85%,Town_Team[[#This Row],[Item Amount]])</f>
        <v>1100</v>
      </c>
      <c r="K46" s="39" t="str">
        <f>TEXT(Town_Team[[#This Row],[Date ]],"dddd")</f>
        <v>Monday</v>
      </c>
    </row>
    <row r="47" spans="2:11" hidden="1" x14ac:dyDescent="0.3">
      <c r="B47" s="20">
        <v>43</v>
      </c>
      <c r="C47" s="19">
        <v>43508</v>
      </c>
      <c r="D47" s="21" t="s">
        <v>9</v>
      </c>
      <c r="E47" s="21" t="s">
        <v>15</v>
      </c>
      <c r="F47" s="21" t="s">
        <v>11</v>
      </c>
      <c r="G47" s="22">
        <v>1000</v>
      </c>
      <c r="H47" s="20">
        <v>1</v>
      </c>
      <c r="I47" s="32">
        <f>Town_Team[[#This Row],[Item quantity]]*Town_Team[[#This Row],[Selling price]]</f>
        <v>1000</v>
      </c>
      <c r="J47" s="33">
        <f>IF(Town_Team[[#This Row],[Item name]]=" Jeans - Denim",Town_Team[[#This Row],[Item Amount]]*85%,Town_Team[[#This Row],[Item Amount]])</f>
        <v>1000</v>
      </c>
      <c r="K47" s="39" t="str">
        <f>TEXT(Town_Team[[#This Row],[Date ]],"dddd")</f>
        <v>Tuesday</v>
      </c>
    </row>
    <row r="48" spans="2:11" hidden="1" x14ac:dyDescent="0.3">
      <c r="B48" s="20">
        <v>44</v>
      </c>
      <c r="C48" s="19">
        <v>43509</v>
      </c>
      <c r="D48" s="21" t="s">
        <v>9</v>
      </c>
      <c r="E48" s="21" t="s">
        <v>12</v>
      </c>
      <c r="F48" s="21" t="s">
        <v>11</v>
      </c>
      <c r="G48" s="22">
        <v>900</v>
      </c>
      <c r="H48" s="20">
        <v>1</v>
      </c>
      <c r="I48" s="32">
        <f>Town_Team[[#This Row],[Item quantity]]*Town_Team[[#This Row],[Selling price]]</f>
        <v>900</v>
      </c>
      <c r="J48" s="33">
        <f>IF(Town_Team[[#This Row],[Item name]]=" Jeans - Denim",Town_Team[[#This Row],[Item Amount]]*85%,Town_Team[[#This Row],[Item Amount]])</f>
        <v>765</v>
      </c>
      <c r="K48" s="39" t="str">
        <f>TEXT(Town_Team[[#This Row],[Date ]],"dddd")</f>
        <v>Wednesday</v>
      </c>
    </row>
    <row r="49" spans="2:11" hidden="1" x14ac:dyDescent="0.3">
      <c r="B49" s="20">
        <v>45</v>
      </c>
      <c r="C49" s="19">
        <v>43510</v>
      </c>
      <c r="D49" s="21" t="s">
        <v>9</v>
      </c>
      <c r="E49" s="21" t="s">
        <v>12</v>
      </c>
      <c r="F49" s="21" t="s">
        <v>11</v>
      </c>
      <c r="G49" s="22">
        <v>900</v>
      </c>
      <c r="H49" s="20">
        <v>2</v>
      </c>
      <c r="I49" s="32">
        <f>Town_Team[[#This Row],[Item quantity]]*Town_Team[[#This Row],[Selling price]]</f>
        <v>1800</v>
      </c>
      <c r="J49" s="33">
        <f>IF(Town_Team[[#This Row],[Item name]]=" Jeans - Denim",Town_Team[[#This Row],[Item Amount]]*85%,Town_Team[[#This Row],[Item Amount]])</f>
        <v>1530</v>
      </c>
      <c r="K49" s="39" t="str">
        <f>TEXT(Town_Team[[#This Row],[Date ]],"dddd")</f>
        <v>Thursday</v>
      </c>
    </row>
    <row r="50" spans="2:11" hidden="1" x14ac:dyDescent="0.3">
      <c r="B50" s="20">
        <v>46</v>
      </c>
      <c r="C50" s="19">
        <v>43511</v>
      </c>
      <c r="D50" s="21" t="s">
        <v>9</v>
      </c>
      <c r="E50" s="21" t="s">
        <v>10</v>
      </c>
      <c r="F50" s="21" t="s">
        <v>11</v>
      </c>
      <c r="G50" s="22">
        <v>1100</v>
      </c>
      <c r="H50" s="20">
        <v>1</v>
      </c>
      <c r="I50" s="32">
        <f>Town_Team[[#This Row],[Item quantity]]*Town_Team[[#This Row],[Selling price]]</f>
        <v>1100</v>
      </c>
      <c r="J50" s="33">
        <f>IF(Town_Team[[#This Row],[Item name]]=" Jeans - Denim",Town_Team[[#This Row],[Item Amount]]*85%,Town_Team[[#This Row],[Item Amount]])</f>
        <v>1100</v>
      </c>
      <c r="K50" s="39" t="str">
        <f>TEXT(Town_Team[[#This Row],[Date ]],"dddd")</f>
        <v>Friday</v>
      </c>
    </row>
    <row r="51" spans="2:11" hidden="1" x14ac:dyDescent="0.3">
      <c r="B51" s="20">
        <v>47</v>
      </c>
      <c r="C51" s="19">
        <v>43512</v>
      </c>
      <c r="D51" s="21" t="s">
        <v>9</v>
      </c>
      <c r="E51" s="21" t="s">
        <v>12</v>
      </c>
      <c r="F51" s="21" t="s">
        <v>11</v>
      </c>
      <c r="G51" s="22">
        <v>900</v>
      </c>
      <c r="H51" s="20">
        <v>1</v>
      </c>
      <c r="I51" s="32">
        <f>Town_Team[[#This Row],[Item quantity]]*Town_Team[[#This Row],[Selling price]]</f>
        <v>900</v>
      </c>
      <c r="J51" s="33">
        <f>IF(Town_Team[[#This Row],[Item name]]=" Jeans - Denim",Town_Team[[#This Row],[Item Amount]]*85%,Town_Team[[#This Row],[Item Amount]])</f>
        <v>765</v>
      </c>
      <c r="K51" s="39" t="str">
        <f>TEXT(Town_Team[[#This Row],[Date ]],"dddd")</f>
        <v>Saturday</v>
      </c>
    </row>
    <row r="52" spans="2:11" hidden="1" x14ac:dyDescent="0.3">
      <c r="B52" s="20">
        <v>48</v>
      </c>
      <c r="C52" s="19">
        <v>43513</v>
      </c>
      <c r="D52" s="21" t="s">
        <v>9</v>
      </c>
      <c r="E52" s="21" t="s">
        <v>10</v>
      </c>
      <c r="F52" s="21" t="s">
        <v>11</v>
      </c>
      <c r="G52" s="22">
        <v>1100</v>
      </c>
      <c r="H52" s="20">
        <v>1</v>
      </c>
      <c r="I52" s="32">
        <f>Town_Team[[#This Row],[Item quantity]]*Town_Team[[#This Row],[Selling price]]</f>
        <v>1100</v>
      </c>
      <c r="J52" s="33">
        <f>IF(Town_Team[[#This Row],[Item name]]=" Jeans - Denim",Town_Team[[#This Row],[Item Amount]]*85%,Town_Team[[#This Row],[Item Amount]])</f>
        <v>1100</v>
      </c>
      <c r="K52" s="39" t="str">
        <f>TEXT(Town_Team[[#This Row],[Date ]],"dddd")</f>
        <v>Sunday</v>
      </c>
    </row>
    <row r="53" spans="2:11" hidden="1" x14ac:dyDescent="0.3">
      <c r="B53" s="20">
        <v>49</v>
      </c>
      <c r="C53" s="19">
        <v>43514</v>
      </c>
      <c r="D53" s="21" t="s">
        <v>9</v>
      </c>
      <c r="E53" s="21" t="s">
        <v>16</v>
      </c>
      <c r="F53" s="21" t="s">
        <v>17</v>
      </c>
      <c r="G53" s="22">
        <v>800</v>
      </c>
      <c r="H53" s="20">
        <v>1</v>
      </c>
      <c r="I53" s="32">
        <f>Town_Team[[#This Row],[Item quantity]]*Town_Team[[#This Row],[Selling price]]</f>
        <v>800</v>
      </c>
      <c r="J53" s="33">
        <f>IF(Town_Team[[#This Row],[Item name]]=" Jeans - Denim",Town_Team[[#This Row],[Item Amount]]*85%,Town_Team[[#This Row],[Item Amount]])</f>
        <v>800</v>
      </c>
      <c r="K53" s="39" t="str">
        <f>TEXT(Town_Team[[#This Row],[Date ]],"dddd")</f>
        <v>Monday</v>
      </c>
    </row>
    <row r="54" spans="2:11" hidden="1" x14ac:dyDescent="0.3">
      <c r="B54" s="20">
        <v>50</v>
      </c>
      <c r="C54" s="19">
        <v>43515</v>
      </c>
      <c r="D54" s="21" t="s">
        <v>9</v>
      </c>
      <c r="E54" s="21" t="s">
        <v>16</v>
      </c>
      <c r="F54" s="21" t="s">
        <v>17</v>
      </c>
      <c r="G54" s="22">
        <v>800</v>
      </c>
      <c r="H54" s="20">
        <v>2</v>
      </c>
      <c r="I54" s="32">
        <f>Town_Team[[#This Row],[Item quantity]]*Town_Team[[#This Row],[Selling price]]</f>
        <v>1600</v>
      </c>
      <c r="J54" s="33">
        <f>IF(Town_Team[[#This Row],[Item name]]=" Jeans - Denim",Town_Team[[#This Row],[Item Amount]]*85%,Town_Team[[#This Row],[Item Amount]])</f>
        <v>1600</v>
      </c>
      <c r="K54" s="39" t="str">
        <f>TEXT(Town_Team[[#This Row],[Date ]],"dddd")</f>
        <v>Tuesday</v>
      </c>
    </row>
    <row r="55" spans="2:11" hidden="1" x14ac:dyDescent="0.3">
      <c r="B55" s="20">
        <v>51</v>
      </c>
      <c r="C55" s="19">
        <v>43516</v>
      </c>
      <c r="D55" s="21" t="s">
        <v>9</v>
      </c>
      <c r="E55" s="21" t="s">
        <v>14</v>
      </c>
      <c r="F55" s="21" t="s">
        <v>11</v>
      </c>
      <c r="G55" s="22">
        <v>900</v>
      </c>
      <c r="H55" s="20">
        <v>1</v>
      </c>
      <c r="I55" s="32">
        <f>Town_Team[[#This Row],[Item quantity]]*Town_Team[[#This Row],[Selling price]]</f>
        <v>900</v>
      </c>
      <c r="J55" s="33">
        <f>IF(Town_Team[[#This Row],[Item name]]=" Jeans - Denim",Town_Team[[#This Row],[Item Amount]]*85%,Town_Team[[#This Row],[Item Amount]])</f>
        <v>900</v>
      </c>
      <c r="K55" s="39" t="str">
        <f>TEXT(Town_Team[[#This Row],[Date ]],"dddd")</f>
        <v>Wednesday</v>
      </c>
    </row>
    <row r="56" spans="2:11" hidden="1" x14ac:dyDescent="0.3">
      <c r="B56" s="20">
        <v>52</v>
      </c>
      <c r="C56" s="19">
        <v>43517</v>
      </c>
      <c r="D56" s="21" t="s">
        <v>9</v>
      </c>
      <c r="E56" s="21" t="s">
        <v>10</v>
      </c>
      <c r="F56" s="21" t="s">
        <v>11</v>
      </c>
      <c r="G56" s="22">
        <v>1100</v>
      </c>
      <c r="H56" s="20">
        <v>1</v>
      </c>
      <c r="I56" s="32">
        <f>Town_Team[[#This Row],[Item quantity]]*Town_Team[[#This Row],[Selling price]]</f>
        <v>1100</v>
      </c>
      <c r="J56" s="33">
        <f>IF(Town_Team[[#This Row],[Item name]]=" Jeans - Denim",Town_Team[[#This Row],[Item Amount]]*85%,Town_Team[[#This Row],[Item Amount]])</f>
        <v>1100</v>
      </c>
      <c r="K56" s="39" t="str">
        <f>TEXT(Town_Team[[#This Row],[Date ]],"dddd")</f>
        <v>Thursday</v>
      </c>
    </row>
    <row r="57" spans="2:11" hidden="1" x14ac:dyDescent="0.3">
      <c r="B57" s="20">
        <v>53</v>
      </c>
      <c r="C57" s="19">
        <v>43518</v>
      </c>
      <c r="D57" s="21" t="s">
        <v>9</v>
      </c>
      <c r="E57" s="21" t="s">
        <v>16</v>
      </c>
      <c r="F57" s="21" t="s">
        <v>17</v>
      </c>
      <c r="G57" s="22">
        <v>800</v>
      </c>
      <c r="H57" s="20">
        <v>1</v>
      </c>
      <c r="I57" s="32">
        <f>Town_Team[[#This Row],[Item quantity]]*Town_Team[[#This Row],[Selling price]]</f>
        <v>800</v>
      </c>
      <c r="J57" s="33">
        <f>IF(Town_Team[[#This Row],[Item name]]=" Jeans - Denim",Town_Team[[#This Row],[Item Amount]]*85%,Town_Team[[#This Row],[Item Amount]])</f>
        <v>800</v>
      </c>
      <c r="K57" s="39" t="str">
        <f>TEXT(Town_Team[[#This Row],[Date ]],"dddd")</f>
        <v>Friday</v>
      </c>
    </row>
    <row r="58" spans="2:11" hidden="1" x14ac:dyDescent="0.3">
      <c r="B58" s="20">
        <v>54</v>
      </c>
      <c r="C58" s="19">
        <v>43519</v>
      </c>
      <c r="D58" s="21" t="s">
        <v>9</v>
      </c>
      <c r="E58" s="21" t="s">
        <v>15</v>
      </c>
      <c r="F58" s="21" t="s">
        <v>11</v>
      </c>
      <c r="G58" s="22">
        <v>1000</v>
      </c>
      <c r="H58" s="20">
        <v>1</v>
      </c>
      <c r="I58" s="32">
        <f>Town_Team[[#This Row],[Item quantity]]*Town_Team[[#This Row],[Selling price]]</f>
        <v>1000</v>
      </c>
      <c r="J58" s="33">
        <f>IF(Town_Team[[#This Row],[Item name]]=" Jeans - Denim",Town_Team[[#This Row],[Item Amount]]*85%,Town_Team[[#This Row],[Item Amount]])</f>
        <v>1000</v>
      </c>
      <c r="K58" s="39" t="str">
        <f>TEXT(Town_Team[[#This Row],[Date ]],"dddd")</f>
        <v>Saturday</v>
      </c>
    </row>
    <row r="59" spans="2:11" hidden="1" x14ac:dyDescent="0.3">
      <c r="B59" s="20">
        <v>55</v>
      </c>
      <c r="C59" s="19">
        <v>43520</v>
      </c>
      <c r="D59" s="21" t="s">
        <v>9</v>
      </c>
      <c r="E59" s="21" t="s">
        <v>16</v>
      </c>
      <c r="F59" s="21" t="s">
        <v>17</v>
      </c>
      <c r="G59" s="22">
        <v>800</v>
      </c>
      <c r="H59" s="20">
        <v>1</v>
      </c>
      <c r="I59" s="32">
        <f>Town_Team[[#This Row],[Item quantity]]*Town_Team[[#This Row],[Selling price]]</f>
        <v>800</v>
      </c>
      <c r="J59" s="33">
        <f>IF(Town_Team[[#This Row],[Item name]]=" Jeans - Denim",Town_Team[[#This Row],[Item Amount]]*85%,Town_Team[[#This Row],[Item Amount]])</f>
        <v>800</v>
      </c>
      <c r="K59" s="39" t="str">
        <f>TEXT(Town_Team[[#This Row],[Date ]],"dddd")</f>
        <v>Sunday</v>
      </c>
    </row>
    <row r="60" spans="2:11" hidden="1" x14ac:dyDescent="0.3">
      <c r="B60" s="20">
        <v>56</v>
      </c>
      <c r="C60" s="19">
        <v>43521</v>
      </c>
      <c r="D60" s="21" t="s">
        <v>9</v>
      </c>
      <c r="E60" s="21" t="s">
        <v>18</v>
      </c>
      <c r="F60" s="21" t="s">
        <v>17</v>
      </c>
      <c r="G60" s="22">
        <v>600</v>
      </c>
      <c r="H60" s="20">
        <v>1</v>
      </c>
      <c r="I60" s="32">
        <f>Town_Team[[#This Row],[Item quantity]]*Town_Team[[#This Row],[Selling price]]</f>
        <v>600</v>
      </c>
      <c r="J60" s="33">
        <f>IF(Town_Team[[#This Row],[Item name]]=" Jeans - Denim",Town_Team[[#This Row],[Item Amount]]*85%,Town_Team[[#This Row],[Item Amount]])</f>
        <v>600</v>
      </c>
      <c r="K60" s="39" t="str">
        <f>TEXT(Town_Team[[#This Row],[Date ]],"dddd")</f>
        <v>Monday</v>
      </c>
    </row>
    <row r="61" spans="2:11" hidden="1" x14ac:dyDescent="0.3">
      <c r="B61" s="20">
        <v>57</v>
      </c>
      <c r="C61" s="19">
        <v>43522</v>
      </c>
      <c r="D61" s="21" t="s">
        <v>9</v>
      </c>
      <c r="E61" s="21" t="s">
        <v>12</v>
      </c>
      <c r="F61" s="21" t="s">
        <v>11</v>
      </c>
      <c r="G61" s="22">
        <v>900</v>
      </c>
      <c r="H61" s="20">
        <v>1</v>
      </c>
      <c r="I61" s="32">
        <f>Town_Team[[#This Row],[Item quantity]]*Town_Team[[#This Row],[Selling price]]</f>
        <v>900</v>
      </c>
      <c r="J61" s="33">
        <f>IF(Town_Team[[#This Row],[Item name]]=" Jeans - Denim",Town_Team[[#This Row],[Item Amount]]*85%,Town_Team[[#This Row],[Item Amount]])</f>
        <v>765</v>
      </c>
      <c r="K61" s="39" t="str">
        <f>TEXT(Town_Team[[#This Row],[Date ]],"dddd")</f>
        <v>Tuesday</v>
      </c>
    </row>
    <row r="62" spans="2:11" hidden="1" x14ac:dyDescent="0.3">
      <c r="B62" s="20">
        <v>58</v>
      </c>
      <c r="C62" s="19">
        <v>43523</v>
      </c>
      <c r="D62" s="21" t="s">
        <v>9</v>
      </c>
      <c r="E62" s="21" t="s">
        <v>10</v>
      </c>
      <c r="F62" s="21" t="s">
        <v>11</v>
      </c>
      <c r="G62" s="22">
        <v>1100</v>
      </c>
      <c r="H62" s="20">
        <v>1</v>
      </c>
      <c r="I62" s="32">
        <f>Town_Team[[#This Row],[Item quantity]]*Town_Team[[#This Row],[Selling price]]</f>
        <v>1100</v>
      </c>
      <c r="J62" s="33">
        <f>IF(Town_Team[[#This Row],[Item name]]=" Jeans - Denim",Town_Team[[#This Row],[Item Amount]]*85%,Town_Team[[#This Row],[Item Amount]])</f>
        <v>1100</v>
      </c>
      <c r="K62" s="39" t="str">
        <f>TEXT(Town_Team[[#This Row],[Date ]],"dddd")</f>
        <v>Wednesday</v>
      </c>
    </row>
    <row r="63" spans="2:11" hidden="1" x14ac:dyDescent="0.3">
      <c r="B63" s="20">
        <v>59</v>
      </c>
      <c r="C63" s="19">
        <v>43524</v>
      </c>
      <c r="D63" s="21" t="s">
        <v>9</v>
      </c>
      <c r="E63" s="21" t="s">
        <v>15</v>
      </c>
      <c r="F63" s="21" t="s">
        <v>11</v>
      </c>
      <c r="G63" s="22">
        <v>1000</v>
      </c>
      <c r="H63" s="20">
        <v>1</v>
      </c>
      <c r="I63" s="32">
        <f>Town_Team[[#This Row],[Item quantity]]*Town_Team[[#This Row],[Selling price]]</f>
        <v>1000</v>
      </c>
      <c r="J63" s="33">
        <f>IF(Town_Team[[#This Row],[Item name]]=" Jeans - Denim",Town_Team[[#This Row],[Item Amount]]*85%,Town_Team[[#This Row],[Item Amount]])</f>
        <v>1000</v>
      </c>
      <c r="K63" s="39" t="str">
        <f>TEXT(Town_Team[[#This Row],[Date ]],"dddd")</f>
        <v>Thursday</v>
      </c>
    </row>
    <row r="64" spans="2:11" hidden="1" x14ac:dyDescent="0.3">
      <c r="B64" s="20">
        <v>60</v>
      </c>
      <c r="C64" s="19">
        <v>43525</v>
      </c>
      <c r="D64" s="21" t="s">
        <v>9</v>
      </c>
      <c r="E64" s="21" t="s">
        <v>12</v>
      </c>
      <c r="F64" s="21" t="s">
        <v>11</v>
      </c>
      <c r="G64" s="22">
        <v>900</v>
      </c>
      <c r="H64" s="20">
        <v>1</v>
      </c>
      <c r="I64" s="32">
        <f>Town_Team[[#This Row],[Item quantity]]*Town_Team[[#This Row],[Selling price]]</f>
        <v>900</v>
      </c>
      <c r="J64" s="33">
        <f>IF(Town_Team[[#This Row],[Item name]]=" Jeans - Denim",Town_Team[[#This Row],[Item Amount]]*85%,Town_Team[[#This Row],[Item Amount]])</f>
        <v>765</v>
      </c>
      <c r="K64" s="39" t="str">
        <f>TEXT(Town_Team[[#This Row],[Date ]],"dddd")</f>
        <v>Friday</v>
      </c>
    </row>
    <row r="65" spans="2:11" hidden="1" x14ac:dyDescent="0.3">
      <c r="B65" s="20">
        <v>61</v>
      </c>
      <c r="C65" s="19">
        <v>43526</v>
      </c>
      <c r="D65" s="21" t="s">
        <v>9</v>
      </c>
      <c r="E65" s="21" t="s">
        <v>10</v>
      </c>
      <c r="F65" s="21" t="s">
        <v>11</v>
      </c>
      <c r="G65" s="22">
        <v>1100</v>
      </c>
      <c r="H65" s="20">
        <v>2</v>
      </c>
      <c r="I65" s="32">
        <f>Town_Team[[#This Row],[Item quantity]]*Town_Team[[#This Row],[Selling price]]</f>
        <v>2200</v>
      </c>
      <c r="J65" s="33">
        <f>IF(Town_Team[[#This Row],[Item name]]=" Jeans - Denim",Town_Team[[#This Row],[Item Amount]]*85%,Town_Team[[#This Row],[Item Amount]])</f>
        <v>2200</v>
      </c>
      <c r="K65" s="39" t="str">
        <f>TEXT(Town_Team[[#This Row],[Date ]],"dddd")</f>
        <v>Saturday</v>
      </c>
    </row>
    <row r="66" spans="2:11" hidden="1" x14ac:dyDescent="0.3">
      <c r="B66" s="20">
        <v>62</v>
      </c>
      <c r="C66" s="19">
        <v>43527</v>
      </c>
      <c r="D66" s="21" t="s">
        <v>9</v>
      </c>
      <c r="E66" s="21" t="s">
        <v>18</v>
      </c>
      <c r="F66" s="21" t="s">
        <v>17</v>
      </c>
      <c r="G66" s="22">
        <v>600</v>
      </c>
      <c r="H66" s="20">
        <v>1</v>
      </c>
      <c r="I66" s="32">
        <f>Town_Team[[#This Row],[Item quantity]]*Town_Team[[#This Row],[Selling price]]</f>
        <v>600</v>
      </c>
      <c r="J66" s="33">
        <f>IF(Town_Team[[#This Row],[Item name]]=" Jeans - Denim",Town_Team[[#This Row],[Item Amount]]*85%,Town_Team[[#This Row],[Item Amount]])</f>
        <v>600</v>
      </c>
      <c r="K66" s="39" t="str">
        <f>TEXT(Town_Team[[#This Row],[Date ]],"dddd")</f>
        <v>Sunday</v>
      </c>
    </row>
    <row r="67" spans="2:11" hidden="1" x14ac:dyDescent="0.3">
      <c r="B67" s="20">
        <v>63</v>
      </c>
      <c r="C67" s="19">
        <v>43528</v>
      </c>
      <c r="D67" s="21" t="s">
        <v>9</v>
      </c>
      <c r="E67" s="21" t="s">
        <v>18</v>
      </c>
      <c r="F67" s="21" t="s">
        <v>17</v>
      </c>
      <c r="G67" s="22">
        <v>600</v>
      </c>
      <c r="H67" s="20">
        <v>1</v>
      </c>
      <c r="I67" s="32">
        <f>Town_Team[[#This Row],[Item quantity]]*Town_Team[[#This Row],[Selling price]]</f>
        <v>600</v>
      </c>
      <c r="J67" s="33">
        <f>IF(Town_Team[[#This Row],[Item name]]=" Jeans - Denim",Town_Team[[#This Row],[Item Amount]]*85%,Town_Team[[#This Row],[Item Amount]])</f>
        <v>600</v>
      </c>
      <c r="K67" s="39" t="str">
        <f>TEXT(Town_Team[[#This Row],[Date ]],"dddd")</f>
        <v>Monday</v>
      </c>
    </row>
    <row r="68" spans="2:11" hidden="1" x14ac:dyDescent="0.3">
      <c r="B68" s="20">
        <v>64</v>
      </c>
      <c r="C68" s="19">
        <v>43529</v>
      </c>
      <c r="D68" s="21" t="s">
        <v>9</v>
      </c>
      <c r="E68" s="21" t="s">
        <v>18</v>
      </c>
      <c r="F68" s="21" t="s">
        <v>17</v>
      </c>
      <c r="G68" s="22">
        <v>600</v>
      </c>
      <c r="H68" s="20">
        <v>1</v>
      </c>
      <c r="I68" s="32">
        <f>Town_Team[[#This Row],[Item quantity]]*Town_Team[[#This Row],[Selling price]]</f>
        <v>600</v>
      </c>
      <c r="J68" s="33">
        <f>IF(Town_Team[[#This Row],[Item name]]=" Jeans - Denim",Town_Team[[#This Row],[Item Amount]]*85%,Town_Team[[#This Row],[Item Amount]])</f>
        <v>600</v>
      </c>
      <c r="K68" s="39" t="str">
        <f>TEXT(Town_Team[[#This Row],[Date ]],"dddd")</f>
        <v>Tuesday</v>
      </c>
    </row>
    <row r="69" spans="2:11" hidden="1" x14ac:dyDescent="0.3">
      <c r="B69" s="20">
        <v>65</v>
      </c>
      <c r="C69" s="19">
        <v>43530</v>
      </c>
      <c r="D69" s="21" t="s">
        <v>9</v>
      </c>
      <c r="E69" s="21" t="s">
        <v>12</v>
      </c>
      <c r="F69" s="21" t="s">
        <v>11</v>
      </c>
      <c r="G69" s="22">
        <v>900</v>
      </c>
      <c r="H69" s="20">
        <v>1</v>
      </c>
      <c r="I69" s="32">
        <f>Town_Team[[#This Row],[Item quantity]]*Town_Team[[#This Row],[Selling price]]</f>
        <v>900</v>
      </c>
      <c r="J69" s="33">
        <f>IF(Town_Team[[#This Row],[Item name]]=" Jeans - Denim",Town_Team[[#This Row],[Item Amount]]*85%,Town_Team[[#This Row],[Item Amount]])</f>
        <v>765</v>
      </c>
      <c r="K69" s="39" t="str">
        <f>TEXT(Town_Team[[#This Row],[Date ]],"dddd")</f>
        <v>Wednesday</v>
      </c>
    </row>
    <row r="70" spans="2:11" hidden="1" x14ac:dyDescent="0.3">
      <c r="B70" s="20">
        <v>66</v>
      </c>
      <c r="C70" s="19">
        <v>43531</v>
      </c>
      <c r="D70" s="21" t="s">
        <v>9</v>
      </c>
      <c r="E70" s="21" t="s">
        <v>18</v>
      </c>
      <c r="F70" s="21" t="s">
        <v>17</v>
      </c>
      <c r="G70" s="22">
        <v>600</v>
      </c>
      <c r="H70" s="20">
        <v>1</v>
      </c>
      <c r="I70" s="32">
        <f>Town_Team[[#This Row],[Item quantity]]*Town_Team[[#This Row],[Selling price]]</f>
        <v>600</v>
      </c>
      <c r="J70" s="33">
        <f>IF(Town_Team[[#This Row],[Item name]]=" Jeans - Denim",Town_Team[[#This Row],[Item Amount]]*85%,Town_Team[[#This Row],[Item Amount]])</f>
        <v>600</v>
      </c>
      <c r="K70" s="39" t="str">
        <f>TEXT(Town_Team[[#This Row],[Date ]],"dddd")</f>
        <v>Thursday</v>
      </c>
    </row>
    <row r="71" spans="2:11" hidden="1" x14ac:dyDescent="0.3">
      <c r="B71" s="20">
        <v>67</v>
      </c>
      <c r="C71" s="19">
        <v>43532</v>
      </c>
      <c r="D71" s="21" t="s">
        <v>9</v>
      </c>
      <c r="E71" s="21" t="s">
        <v>18</v>
      </c>
      <c r="F71" s="21" t="s">
        <v>17</v>
      </c>
      <c r="G71" s="22">
        <v>600</v>
      </c>
      <c r="H71" s="20">
        <v>1</v>
      </c>
      <c r="I71" s="32">
        <f>Town_Team[[#This Row],[Item quantity]]*Town_Team[[#This Row],[Selling price]]</f>
        <v>600</v>
      </c>
      <c r="J71" s="33">
        <f>IF(Town_Team[[#This Row],[Item name]]=" Jeans - Denim",Town_Team[[#This Row],[Item Amount]]*85%,Town_Team[[#This Row],[Item Amount]])</f>
        <v>600</v>
      </c>
      <c r="K71" s="39" t="str">
        <f>TEXT(Town_Team[[#This Row],[Date ]],"dddd")</f>
        <v>Friday</v>
      </c>
    </row>
    <row r="72" spans="2:11" hidden="1" x14ac:dyDescent="0.3">
      <c r="B72" s="20">
        <v>68</v>
      </c>
      <c r="C72" s="19">
        <v>43533</v>
      </c>
      <c r="D72" s="21" t="s">
        <v>9</v>
      </c>
      <c r="E72" s="21" t="s">
        <v>10</v>
      </c>
      <c r="F72" s="21" t="s">
        <v>11</v>
      </c>
      <c r="G72" s="22">
        <v>1100</v>
      </c>
      <c r="H72" s="20">
        <v>1</v>
      </c>
      <c r="I72" s="32">
        <f>Town_Team[[#This Row],[Item quantity]]*Town_Team[[#This Row],[Selling price]]</f>
        <v>1100</v>
      </c>
      <c r="J72" s="33">
        <f>IF(Town_Team[[#This Row],[Item name]]=" Jeans - Denim",Town_Team[[#This Row],[Item Amount]]*85%,Town_Team[[#This Row],[Item Amount]])</f>
        <v>1100</v>
      </c>
      <c r="K72" s="39" t="str">
        <f>TEXT(Town_Team[[#This Row],[Date ]],"dddd")</f>
        <v>Saturday</v>
      </c>
    </row>
    <row r="73" spans="2:11" hidden="1" x14ac:dyDescent="0.3">
      <c r="B73" s="20">
        <v>69</v>
      </c>
      <c r="C73" s="19">
        <v>43534</v>
      </c>
      <c r="D73" s="21" t="s">
        <v>9</v>
      </c>
      <c r="E73" s="21" t="s">
        <v>14</v>
      </c>
      <c r="F73" s="21" t="s">
        <v>11</v>
      </c>
      <c r="G73" s="22">
        <v>900</v>
      </c>
      <c r="H73" s="20">
        <v>3</v>
      </c>
      <c r="I73" s="32">
        <f>Town_Team[[#This Row],[Item quantity]]*Town_Team[[#This Row],[Selling price]]</f>
        <v>2700</v>
      </c>
      <c r="J73" s="33">
        <f>IF(Town_Team[[#This Row],[Item name]]=" Jeans - Denim",Town_Team[[#This Row],[Item Amount]]*85%,Town_Team[[#This Row],[Item Amount]])</f>
        <v>2700</v>
      </c>
      <c r="K73" s="39" t="str">
        <f>TEXT(Town_Team[[#This Row],[Date ]],"dddd")</f>
        <v>Sunday</v>
      </c>
    </row>
    <row r="74" spans="2:11" hidden="1" x14ac:dyDescent="0.3">
      <c r="B74" s="20">
        <v>70</v>
      </c>
      <c r="C74" s="19">
        <v>43535</v>
      </c>
      <c r="D74" s="21" t="s">
        <v>9</v>
      </c>
      <c r="E74" s="21" t="s">
        <v>10</v>
      </c>
      <c r="F74" s="21" t="s">
        <v>11</v>
      </c>
      <c r="G74" s="22">
        <v>1100</v>
      </c>
      <c r="H74" s="20">
        <v>2</v>
      </c>
      <c r="I74" s="32">
        <f>Town_Team[[#This Row],[Item quantity]]*Town_Team[[#This Row],[Selling price]]</f>
        <v>2200</v>
      </c>
      <c r="J74" s="33">
        <f>IF(Town_Team[[#This Row],[Item name]]=" Jeans - Denim",Town_Team[[#This Row],[Item Amount]]*85%,Town_Team[[#This Row],[Item Amount]])</f>
        <v>2200</v>
      </c>
      <c r="K74" s="39" t="str">
        <f>TEXT(Town_Team[[#This Row],[Date ]],"dddd")</f>
        <v>Monday</v>
      </c>
    </row>
    <row r="75" spans="2:11" hidden="1" x14ac:dyDescent="0.3">
      <c r="B75" s="20">
        <v>71</v>
      </c>
      <c r="C75" s="19">
        <v>43536</v>
      </c>
      <c r="D75" s="21" t="s">
        <v>9</v>
      </c>
      <c r="E75" s="21" t="s">
        <v>10</v>
      </c>
      <c r="F75" s="21" t="s">
        <v>11</v>
      </c>
      <c r="G75" s="22">
        <v>1100</v>
      </c>
      <c r="H75" s="20">
        <v>1</v>
      </c>
      <c r="I75" s="32">
        <f>Town_Team[[#This Row],[Item quantity]]*Town_Team[[#This Row],[Selling price]]</f>
        <v>1100</v>
      </c>
      <c r="J75" s="33">
        <f>IF(Town_Team[[#This Row],[Item name]]=" Jeans - Denim",Town_Team[[#This Row],[Item Amount]]*85%,Town_Team[[#This Row],[Item Amount]])</f>
        <v>1100</v>
      </c>
      <c r="K75" s="39" t="str">
        <f>TEXT(Town_Team[[#This Row],[Date ]],"dddd")</f>
        <v>Tuesday</v>
      </c>
    </row>
    <row r="76" spans="2:11" hidden="1" x14ac:dyDescent="0.3">
      <c r="B76" s="20">
        <v>72</v>
      </c>
      <c r="C76" s="19">
        <v>43537</v>
      </c>
      <c r="D76" s="21" t="s">
        <v>9</v>
      </c>
      <c r="E76" s="21" t="s">
        <v>18</v>
      </c>
      <c r="F76" s="21" t="s">
        <v>17</v>
      </c>
      <c r="G76" s="22">
        <v>600</v>
      </c>
      <c r="H76" s="20">
        <v>1</v>
      </c>
      <c r="I76" s="32">
        <f>Town_Team[[#This Row],[Item quantity]]*Town_Team[[#This Row],[Selling price]]</f>
        <v>600</v>
      </c>
      <c r="J76" s="33">
        <f>IF(Town_Team[[#This Row],[Item name]]=" Jeans - Denim",Town_Team[[#This Row],[Item Amount]]*85%,Town_Team[[#This Row],[Item Amount]])</f>
        <v>600</v>
      </c>
      <c r="K76" s="39" t="str">
        <f>TEXT(Town_Team[[#This Row],[Date ]],"dddd")</f>
        <v>Wednesday</v>
      </c>
    </row>
    <row r="77" spans="2:11" hidden="1" x14ac:dyDescent="0.3">
      <c r="B77" s="20">
        <v>73</v>
      </c>
      <c r="C77" s="19">
        <v>43538</v>
      </c>
      <c r="D77" s="21" t="s">
        <v>9</v>
      </c>
      <c r="E77" s="21" t="s">
        <v>12</v>
      </c>
      <c r="F77" s="21" t="s">
        <v>11</v>
      </c>
      <c r="G77" s="22">
        <v>900</v>
      </c>
      <c r="H77" s="20">
        <v>1</v>
      </c>
      <c r="I77" s="32">
        <f>Town_Team[[#This Row],[Item quantity]]*Town_Team[[#This Row],[Selling price]]</f>
        <v>900</v>
      </c>
      <c r="J77" s="33">
        <f>IF(Town_Team[[#This Row],[Item name]]=" Jeans - Denim",Town_Team[[#This Row],[Item Amount]]*85%,Town_Team[[#This Row],[Item Amount]])</f>
        <v>765</v>
      </c>
      <c r="K77" s="39" t="str">
        <f>TEXT(Town_Team[[#This Row],[Date ]],"dddd")</f>
        <v>Thursday</v>
      </c>
    </row>
    <row r="78" spans="2:11" hidden="1" x14ac:dyDescent="0.3">
      <c r="B78" s="20">
        <v>74</v>
      </c>
      <c r="C78" s="19">
        <v>43539</v>
      </c>
      <c r="D78" s="21" t="s">
        <v>9</v>
      </c>
      <c r="E78" s="21" t="s">
        <v>18</v>
      </c>
      <c r="F78" s="21" t="s">
        <v>17</v>
      </c>
      <c r="G78" s="22">
        <v>600</v>
      </c>
      <c r="H78" s="20">
        <v>1</v>
      </c>
      <c r="I78" s="32">
        <f>Town_Team[[#This Row],[Item quantity]]*Town_Team[[#This Row],[Selling price]]</f>
        <v>600</v>
      </c>
      <c r="J78" s="33">
        <f>IF(Town_Team[[#This Row],[Item name]]=" Jeans - Denim",Town_Team[[#This Row],[Item Amount]]*85%,Town_Team[[#This Row],[Item Amount]])</f>
        <v>600</v>
      </c>
      <c r="K78" s="39" t="str">
        <f>TEXT(Town_Team[[#This Row],[Date ]],"dddd")</f>
        <v>Friday</v>
      </c>
    </row>
    <row r="79" spans="2:11" hidden="1" x14ac:dyDescent="0.3">
      <c r="B79" s="20">
        <v>75</v>
      </c>
      <c r="C79" s="19">
        <v>43540</v>
      </c>
      <c r="D79" s="21" t="s">
        <v>9</v>
      </c>
      <c r="E79" s="21" t="s">
        <v>18</v>
      </c>
      <c r="F79" s="21" t="s">
        <v>17</v>
      </c>
      <c r="G79" s="22">
        <v>600</v>
      </c>
      <c r="H79" s="20">
        <v>1</v>
      </c>
      <c r="I79" s="32">
        <f>Town_Team[[#This Row],[Item quantity]]*Town_Team[[#This Row],[Selling price]]</f>
        <v>600</v>
      </c>
      <c r="J79" s="33">
        <f>IF(Town_Team[[#This Row],[Item name]]=" Jeans - Denim",Town_Team[[#This Row],[Item Amount]]*85%,Town_Team[[#This Row],[Item Amount]])</f>
        <v>600</v>
      </c>
      <c r="K79" s="39" t="str">
        <f>TEXT(Town_Team[[#This Row],[Date ]],"dddd")</f>
        <v>Saturday</v>
      </c>
    </row>
    <row r="80" spans="2:11" hidden="1" x14ac:dyDescent="0.3">
      <c r="B80" s="20">
        <v>76</v>
      </c>
      <c r="C80" s="19">
        <v>43541</v>
      </c>
      <c r="D80" s="21" t="s">
        <v>9</v>
      </c>
      <c r="E80" s="21" t="s">
        <v>12</v>
      </c>
      <c r="F80" s="21" t="s">
        <v>11</v>
      </c>
      <c r="G80" s="22">
        <v>900</v>
      </c>
      <c r="H80" s="20">
        <v>3</v>
      </c>
      <c r="I80" s="32">
        <f>Town_Team[[#This Row],[Item quantity]]*Town_Team[[#This Row],[Selling price]]</f>
        <v>2700</v>
      </c>
      <c r="J80" s="33">
        <f>IF(Town_Team[[#This Row],[Item name]]=" Jeans - Denim",Town_Team[[#This Row],[Item Amount]]*85%,Town_Team[[#This Row],[Item Amount]])</f>
        <v>2295</v>
      </c>
      <c r="K80" s="39" t="str">
        <f>TEXT(Town_Team[[#This Row],[Date ]],"dddd")</f>
        <v>Sunday</v>
      </c>
    </row>
    <row r="81" spans="2:11" hidden="1" x14ac:dyDescent="0.3">
      <c r="B81" s="20">
        <v>77</v>
      </c>
      <c r="C81" s="19">
        <v>43542</v>
      </c>
      <c r="D81" s="21" t="s">
        <v>9</v>
      </c>
      <c r="E81" s="21" t="s">
        <v>18</v>
      </c>
      <c r="F81" s="21" t="s">
        <v>17</v>
      </c>
      <c r="G81" s="22">
        <v>600</v>
      </c>
      <c r="H81" s="20">
        <v>1</v>
      </c>
      <c r="I81" s="32">
        <f>Town_Team[[#This Row],[Item quantity]]*Town_Team[[#This Row],[Selling price]]</f>
        <v>600</v>
      </c>
      <c r="J81" s="33">
        <f>IF(Town_Team[[#This Row],[Item name]]=" Jeans - Denim",Town_Team[[#This Row],[Item Amount]]*85%,Town_Team[[#This Row],[Item Amount]])</f>
        <v>600</v>
      </c>
      <c r="K81" s="39" t="str">
        <f>TEXT(Town_Team[[#This Row],[Date ]],"dddd")</f>
        <v>Monday</v>
      </c>
    </row>
    <row r="82" spans="2:11" hidden="1" x14ac:dyDescent="0.3">
      <c r="B82" s="20">
        <v>78</v>
      </c>
      <c r="C82" s="19">
        <v>43543</v>
      </c>
      <c r="D82" s="21" t="s">
        <v>9</v>
      </c>
      <c r="E82" s="21" t="s">
        <v>16</v>
      </c>
      <c r="F82" s="21" t="s">
        <v>17</v>
      </c>
      <c r="G82" s="22">
        <v>800</v>
      </c>
      <c r="H82" s="20">
        <v>1</v>
      </c>
      <c r="I82" s="32">
        <f>Town_Team[[#This Row],[Item quantity]]*Town_Team[[#This Row],[Selling price]]</f>
        <v>800</v>
      </c>
      <c r="J82" s="33">
        <f>IF(Town_Team[[#This Row],[Item name]]=" Jeans - Denim",Town_Team[[#This Row],[Item Amount]]*85%,Town_Team[[#This Row],[Item Amount]])</f>
        <v>800</v>
      </c>
      <c r="K82" s="39" t="str">
        <f>TEXT(Town_Team[[#This Row],[Date ]],"dddd")</f>
        <v>Tuesday</v>
      </c>
    </row>
    <row r="83" spans="2:11" hidden="1" x14ac:dyDescent="0.3">
      <c r="B83" s="20">
        <v>79</v>
      </c>
      <c r="C83" s="19">
        <v>43544</v>
      </c>
      <c r="D83" s="21" t="s">
        <v>9</v>
      </c>
      <c r="E83" s="21" t="s">
        <v>18</v>
      </c>
      <c r="F83" s="21" t="s">
        <v>17</v>
      </c>
      <c r="G83" s="22">
        <v>600</v>
      </c>
      <c r="H83" s="20">
        <v>1</v>
      </c>
      <c r="I83" s="32">
        <f>Town_Team[[#This Row],[Item quantity]]*Town_Team[[#This Row],[Selling price]]</f>
        <v>600</v>
      </c>
      <c r="J83" s="33">
        <f>IF(Town_Team[[#This Row],[Item name]]=" Jeans - Denim",Town_Team[[#This Row],[Item Amount]]*85%,Town_Team[[#This Row],[Item Amount]])</f>
        <v>600</v>
      </c>
      <c r="K83" s="39" t="str">
        <f>TEXT(Town_Team[[#This Row],[Date ]],"dddd")</f>
        <v>Wednesday</v>
      </c>
    </row>
    <row r="84" spans="2:11" hidden="1" x14ac:dyDescent="0.3">
      <c r="B84" s="20">
        <v>80</v>
      </c>
      <c r="C84" s="19">
        <v>43545</v>
      </c>
      <c r="D84" s="21" t="s">
        <v>9</v>
      </c>
      <c r="E84" s="21" t="s">
        <v>10</v>
      </c>
      <c r="F84" s="21" t="s">
        <v>11</v>
      </c>
      <c r="G84" s="22">
        <v>1100</v>
      </c>
      <c r="H84" s="20">
        <v>1</v>
      </c>
      <c r="I84" s="32">
        <f>Town_Team[[#This Row],[Item quantity]]*Town_Team[[#This Row],[Selling price]]</f>
        <v>1100</v>
      </c>
      <c r="J84" s="33">
        <f>IF(Town_Team[[#This Row],[Item name]]=" Jeans - Denim",Town_Team[[#This Row],[Item Amount]]*85%,Town_Team[[#This Row],[Item Amount]])</f>
        <v>1100</v>
      </c>
      <c r="K84" s="39" t="str">
        <f>TEXT(Town_Team[[#This Row],[Date ]],"dddd")</f>
        <v>Thursday</v>
      </c>
    </row>
    <row r="85" spans="2:11" hidden="1" x14ac:dyDescent="0.3">
      <c r="B85" s="20">
        <v>81</v>
      </c>
      <c r="C85" s="19">
        <v>43546</v>
      </c>
      <c r="D85" s="21" t="s">
        <v>9</v>
      </c>
      <c r="E85" s="21" t="s">
        <v>14</v>
      </c>
      <c r="F85" s="21" t="s">
        <v>11</v>
      </c>
      <c r="G85" s="22">
        <v>900</v>
      </c>
      <c r="H85" s="20">
        <v>1</v>
      </c>
      <c r="I85" s="32">
        <f>Town_Team[[#This Row],[Item quantity]]*Town_Team[[#This Row],[Selling price]]</f>
        <v>900</v>
      </c>
      <c r="J85" s="33">
        <f>IF(Town_Team[[#This Row],[Item name]]=" Jeans - Denim",Town_Team[[#This Row],[Item Amount]]*85%,Town_Team[[#This Row],[Item Amount]])</f>
        <v>900</v>
      </c>
      <c r="K85" s="39" t="str">
        <f>TEXT(Town_Team[[#This Row],[Date ]],"dddd")</f>
        <v>Friday</v>
      </c>
    </row>
    <row r="86" spans="2:11" hidden="1" x14ac:dyDescent="0.3">
      <c r="B86" s="20">
        <v>82</v>
      </c>
      <c r="C86" s="19">
        <v>43547</v>
      </c>
      <c r="D86" s="21" t="s">
        <v>9</v>
      </c>
      <c r="E86" s="21" t="s">
        <v>10</v>
      </c>
      <c r="F86" s="21" t="s">
        <v>11</v>
      </c>
      <c r="G86" s="22">
        <v>1100</v>
      </c>
      <c r="H86" s="20">
        <v>1</v>
      </c>
      <c r="I86" s="32">
        <f>Town_Team[[#This Row],[Item quantity]]*Town_Team[[#This Row],[Selling price]]</f>
        <v>1100</v>
      </c>
      <c r="J86" s="33">
        <f>IF(Town_Team[[#This Row],[Item name]]=" Jeans - Denim",Town_Team[[#This Row],[Item Amount]]*85%,Town_Team[[#This Row],[Item Amount]])</f>
        <v>1100</v>
      </c>
      <c r="K86" s="39" t="str">
        <f>TEXT(Town_Team[[#This Row],[Date ]],"dddd")</f>
        <v>Saturday</v>
      </c>
    </row>
    <row r="87" spans="2:11" hidden="1" x14ac:dyDescent="0.3">
      <c r="B87" s="20">
        <v>83</v>
      </c>
      <c r="C87" s="19">
        <v>43548</v>
      </c>
      <c r="D87" s="21" t="s">
        <v>9</v>
      </c>
      <c r="E87" s="21" t="s">
        <v>10</v>
      </c>
      <c r="F87" s="21" t="s">
        <v>11</v>
      </c>
      <c r="G87" s="22">
        <v>1100</v>
      </c>
      <c r="H87" s="20">
        <v>1</v>
      </c>
      <c r="I87" s="32">
        <f>Town_Team[[#This Row],[Item quantity]]*Town_Team[[#This Row],[Selling price]]</f>
        <v>1100</v>
      </c>
      <c r="J87" s="33">
        <f>IF(Town_Team[[#This Row],[Item name]]=" Jeans - Denim",Town_Team[[#This Row],[Item Amount]]*85%,Town_Team[[#This Row],[Item Amount]])</f>
        <v>1100</v>
      </c>
      <c r="K87" s="39" t="str">
        <f>TEXT(Town_Team[[#This Row],[Date ]],"dddd")</f>
        <v>Sunday</v>
      </c>
    </row>
    <row r="88" spans="2:11" hidden="1" x14ac:dyDescent="0.3">
      <c r="B88" s="20">
        <v>84</v>
      </c>
      <c r="C88" s="19">
        <v>43549</v>
      </c>
      <c r="D88" s="21" t="s">
        <v>9</v>
      </c>
      <c r="E88" s="21" t="s">
        <v>10</v>
      </c>
      <c r="F88" s="21" t="s">
        <v>11</v>
      </c>
      <c r="G88" s="22">
        <v>1100</v>
      </c>
      <c r="H88" s="20">
        <v>1</v>
      </c>
      <c r="I88" s="32">
        <f>Town_Team[[#This Row],[Item quantity]]*Town_Team[[#This Row],[Selling price]]</f>
        <v>1100</v>
      </c>
      <c r="J88" s="33">
        <f>IF(Town_Team[[#This Row],[Item name]]=" Jeans - Denim",Town_Team[[#This Row],[Item Amount]]*85%,Town_Team[[#This Row],[Item Amount]])</f>
        <v>1100</v>
      </c>
      <c r="K88" s="39" t="str">
        <f>TEXT(Town_Team[[#This Row],[Date ]],"dddd")</f>
        <v>Monday</v>
      </c>
    </row>
    <row r="89" spans="2:11" hidden="1" x14ac:dyDescent="0.3">
      <c r="B89" s="20">
        <v>85</v>
      </c>
      <c r="C89" s="19">
        <v>43550</v>
      </c>
      <c r="D89" s="21" t="s">
        <v>9</v>
      </c>
      <c r="E89" s="21" t="s">
        <v>15</v>
      </c>
      <c r="F89" s="21" t="s">
        <v>11</v>
      </c>
      <c r="G89" s="22">
        <v>1000</v>
      </c>
      <c r="H89" s="20">
        <v>1</v>
      </c>
      <c r="I89" s="32">
        <f>Town_Team[[#This Row],[Item quantity]]*Town_Team[[#This Row],[Selling price]]</f>
        <v>1000</v>
      </c>
      <c r="J89" s="33">
        <f>IF(Town_Team[[#This Row],[Item name]]=" Jeans - Denim",Town_Team[[#This Row],[Item Amount]]*85%,Town_Team[[#This Row],[Item Amount]])</f>
        <v>1000</v>
      </c>
      <c r="K89" s="39" t="str">
        <f>TEXT(Town_Team[[#This Row],[Date ]],"dddd")</f>
        <v>Tuesday</v>
      </c>
    </row>
    <row r="90" spans="2:11" hidden="1" x14ac:dyDescent="0.3">
      <c r="B90" s="20">
        <v>86</v>
      </c>
      <c r="C90" s="19">
        <v>43551</v>
      </c>
      <c r="D90" s="21" t="s">
        <v>9</v>
      </c>
      <c r="E90" s="21" t="s">
        <v>18</v>
      </c>
      <c r="F90" s="21" t="s">
        <v>17</v>
      </c>
      <c r="G90" s="22">
        <v>600</v>
      </c>
      <c r="H90" s="20">
        <v>1</v>
      </c>
      <c r="I90" s="32">
        <f>Town_Team[[#This Row],[Item quantity]]*Town_Team[[#This Row],[Selling price]]</f>
        <v>600</v>
      </c>
      <c r="J90" s="33">
        <f>IF(Town_Team[[#This Row],[Item name]]=" Jeans - Denim",Town_Team[[#This Row],[Item Amount]]*85%,Town_Team[[#This Row],[Item Amount]])</f>
        <v>600</v>
      </c>
      <c r="K90" s="39" t="str">
        <f>TEXT(Town_Team[[#This Row],[Date ]],"dddd")</f>
        <v>Wednesday</v>
      </c>
    </row>
    <row r="91" spans="2:11" hidden="1" x14ac:dyDescent="0.3">
      <c r="B91" s="20">
        <v>87</v>
      </c>
      <c r="C91" s="19">
        <v>43552</v>
      </c>
      <c r="D91" s="21" t="s">
        <v>9</v>
      </c>
      <c r="E91" s="21" t="s">
        <v>16</v>
      </c>
      <c r="F91" s="21" t="s">
        <v>17</v>
      </c>
      <c r="G91" s="22">
        <v>800</v>
      </c>
      <c r="H91" s="20">
        <v>1</v>
      </c>
      <c r="I91" s="32">
        <f>Town_Team[[#This Row],[Item quantity]]*Town_Team[[#This Row],[Selling price]]</f>
        <v>800</v>
      </c>
      <c r="J91" s="33">
        <f>IF(Town_Team[[#This Row],[Item name]]=" Jeans - Denim",Town_Team[[#This Row],[Item Amount]]*85%,Town_Team[[#This Row],[Item Amount]])</f>
        <v>800</v>
      </c>
      <c r="K91" s="39" t="str">
        <f>TEXT(Town_Team[[#This Row],[Date ]],"dddd")</f>
        <v>Thursday</v>
      </c>
    </row>
    <row r="92" spans="2:11" hidden="1" x14ac:dyDescent="0.3">
      <c r="B92" s="20">
        <v>88</v>
      </c>
      <c r="C92" s="19">
        <v>43553</v>
      </c>
      <c r="D92" s="21" t="s">
        <v>9</v>
      </c>
      <c r="E92" s="21" t="s">
        <v>10</v>
      </c>
      <c r="F92" s="21" t="s">
        <v>11</v>
      </c>
      <c r="G92" s="22">
        <v>1100</v>
      </c>
      <c r="H92" s="20">
        <v>1</v>
      </c>
      <c r="I92" s="32">
        <f>Town_Team[[#This Row],[Item quantity]]*Town_Team[[#This Row],[Selling price]]</f>
        <v>1100</v>
      </c>
      <c r="J92" s="33">
        <f>IF(Town_Team[[#This Row],[Item name]]=" Jeans - Denim",Town_Team[[#This Row],[Item Amount]]*85%,Town_Team[[#This Row],[Item Amount]])</f>
        <v>1100</v>
      </c>
      <c r="K92" s="39" t="str">
        <f>TEXT(Town_Team[[#This Row],[Date ]],"dddd")</f>
        <v>Friday</v>
      </c>
    </row>
    <row r="93" spans="2:11" hidden="1" x14ac:dyDescent="0.3">
      <c r="B93" s="20">
        <v>89</v>
      </c>
      <c r="C93" s="19">
        <v>43554</v>
      </c>
      <c r="D93" s="21" t="s">
        <v>9</v>
      </c>
      <c r="E93" s="21" t="s">
        <v>18</v>
      </c>
      <c r="F93" s="21" t="s">
        <v>17</v>
      </c>
      <c r="G93" s="22">
        <v>600</v>
      </c>
      <c r="H93" s="20">
        <v>1</v>
      </c>
      <c r="I93" s="32">
        <f>Town_Team[[#This Row],[Item quantity]]*Town_Team[[#This Row],[Selling price]]</f>
        <v>600</v>
      </c>
      <c r="J93" s="33">
        <f>IF(Town_Team[[#This Row],[Item name]]=" Jeans - Denim",Town_Team[[#This Row],[Item Amount]]*85%,Town_Team[[#This Row],[Item Amount]])</f>
        <v>600</v>
      </c>
      <c r="K93" s="39" t="str">
        <f>TEXT(Town_Team[[#This Row],[Date ]],"dddd")</f>
        <v>Saturday</v>
      </c>
    </row>
    <row r="94" spans="2:11" hidden="1" x14ac:dyDescent="0.3">
      <c r="B94" s="20">
        <v>90</v>
      </c>
      <c r="C94" s="19">
        <v>43555</v>
      </c>
      <c r="D94" s="21" t="s">
        <v>9</v>
      </c>
      <c r="E94" s="21" t="s">
        <v>19</v>
      </c>
      <c r="F94" s="21" t="s">
        <v>20</v>
      </c>
      <c r="G94" s="22">
        <v>850</v>
      </c>
      <c r="H94" s="20">
        <v>1</v>
      </c>
      <c r="I94" s="32">
        <f>Town_Team[[#This Row],[Item quantity]]*Town_Team[[#This Row],[Selling price]]</f>
        <v>850</v>
      </c>
      <c r="J94" s="33">
        <f>IF(Town_Team[[#This Row],[Item name]]=" Jeans - Denim",Town_Team[[#This Row],[Item Amount]]*85%,Town_Team[[#This Row],[Item Amount]])</f>
        <v>850</v>
      </c>
      <c r="K94" s="39" t="str">
        <f>TEXT(Town_Team[[#This Row],[Date ]],"dddd")</f>
        <v>Sunday</v>
      </c>
    </row>
    <row r="95" spans="2:11" hidden="1" x14ac:dyDescent="0.3">
      <c r="B95" s="20">
        <v>91</v>
      </c>
      <c r="C95" s="19">
        <v>43556</v>
      </c>
      <c r="D95" s="21" t="s">
        <v>9</v>
      </c>
      <c r="E95" s="21" t="s">
        <v>14</v>
      </c>
      <c r="F95" s="21" t="s">
        <v>11</v>
      </c>
      <c r="G95" s="22">
        <v>900</v>
      </c>
      <c r="H95" s="20">
        <v>1</v>
      </c>
      <c r="I95" s="32">
        <f>Town_Team[[#This Row],[Item quantity]]*Town_Team[[#This Row],[Selling price]]</f>
        <v>900</v>
      </c>
      <c r="J95" s="33">
        <f>IF(Town_Team[[#This Row],[Item name]]=" Jeans - Denim",Town_Team[[#This Row],[Item Amount]]*85%,Town_Team[[#This Row],[Item Amount]])</f>
        <v>900</v>
      </c>
      <c r="K95" s="39" t="str">
        <f>TEXT(Town_Team[[#This Row],[Date ]],"dddd")</f>
        <v>Monday</v>
      </c>
    </row>
    <row r="96" spans="2:11" hidden="1" x14ac:dyDescent="0.3">
      <c r="B96" s="20">
        <v>92</v>
      </c>
      <c r="C96" s="19">
        <v>43557</v>
      </c>
      <c r="D96" s="21" t="s">
        <v>9</v>
      </c>
      <c r="E96" s="21" t="s">
        <v>15</v>
      </c>
      <c r="F96" s="21" t="s">
        <v>11</v>
      </c>
      <c r="G96" s="22">
        <v>1000</v>
      </c>
      <c r="H96" s="20">
        <v>1</v>
      </c>
      <c r="I96" s="32">
        <f>Town_Team[[#This Row],[Item quantity]]*Town_Team[[#This Row],[Selling price]]</f>
        <v>1000</v>
      </c>
      <c r="J96" s="33">
        <f>IF(Town_Team[[#This Row],[Item name]]=" Jeans - Denim",Town_Team[[#This Row],[Item Amount]]*85%,Town_Team[[#This Row],[Item Amount]])</f>
        <v>1000</v>
      </c>
      <c r="K96" s="39" t="str">
        <f>TEXT(Town_Team[[#This Row],[Date ]],"dddd")</f>
        <v>Tuesday</v>
      </c>
    </row>
    <row r="97" spans="2:11" hidden="1" x14ac:dyDescent="0.3">
      <c r="B97" s="20">
        <v>93</v>
      </c>
      <c r="C97" s="19">
        <v>43558</v>
      </c>
      <c r="D97" s="21" t="s">
        <v>9</v>
      </c>
      <c r="E97" s="21" t="s">
        <v>19</v>
      </c>
      <c r="F97" s="21" t="s">
        <v>20</v>
      </c>
      <c r="G97" s="22">
        <v>850</v>
      </c>
      <c r="H97" s="20">
        <v>1</v>
      </c>
      <c r="I97" s="32">
        <f>Town_Team[[#This Row],[Item quantity]]*Town_Team[[#This Row],[Selling price]]</f>
        <v>850</v>
      </c>
      <c r="J97" s="33">
        <f>IF(Town_Team[[#This Row],[Item name]]=" Jeans - Denim",Town_Team[[#This Row],[Item Amount]]*85%,Town_Team[[#This Row],[Item Amount]])</f>
        <v>850</v>
      </c>
      <c r="K97" s="39" t="str">
        <f>TEXT(Town_Team[[#This Row],[Date ]],"dddd")</f>
        <v>Wednesday</v>
      </c>
    </row>
    <row r="98" spans="2:11" hidden="1" x14ac:dyDescent="0.3">
      <c r="B98" s="20">
        <v>94</v>
      </c>
      <c r="C98" s="19">
        <v>43559</v>
      </c>
      <c r="D98" s="21" t="s">
        <v>9</v>
      </c>
      <c r="E98" s="21" t="s">
        <v>19</v>
      </c>
      <c r="F98" s="21" t="s">
        <v>20</v>
      </c>
      <c r="G98" s="22">
        <v>850</v>
      </c>
      <c r="H98" s="20">
        <v>1</v>
      </c>
      <c r="I98" s="32">
        <f>Town_Team[[#This Row],[Item quantity]]*Town_Team[[#This Row],[Selling price]]</f>
        <v>850</v>
      </c>
      <c r="J98" s="33">
        <f>IF(Town_Team[[#This Row],[Item name]]=" Jeans - Denim",Town_Team[[#This Row],[Item Amount]]*85%,Town_Team[[#This Row],[Item Amount]])</f>
        <v>850</v>
      </c>
      <c r="K98" s="39" t="str">
        <f>TEXT(Town_Team[[#This Row],[Date ]],"dddd")</f>
        <v>Thursday</v>
      </c>
    </row>
    <row r="99" spans="2:11" hidden="1" x14ac:dyDescent="0.3">
      <c r="B99" s="20">
        <v>95</v>
      </c>
      <c r="C99" s="19">
        <v>43560</v>
      </c>
      <c r="D99" s="21" t="s">
        <v>9</v>
      </c>
      <c r="E99" s="21" t="s">
        <v>15</v>
      </c>
      <c r="F99" s="21" t="s">
        <v>11</v>
      </c>
      <c r="G99" s="22">
        <v>1000</v>
      </c>
      <c r="H99" s="20">
        <v>1</v>
      </c>
      <c r="I99" s="32">
        <f>Town_Team[[#This Row],[Item quantity]]*Town_Team[[#This Row],[Selling price]]</f>
        <v>1000</v>
      </c>
      <c r="J99" s="33">
        <f>IF(Town_Team[[#This Row],[Item name]]=" Jeans - Denim",Town_Team[[#This Row],[Item Amount]]*85%,Town_Team[[#This Row],[Item Amount]])</f>
        <v>1000</v>
      </c>
      <c r="K99" s="39" t="str">
        <f>TEXT(Town_Team[[#This Row],[Date ]],"dddd")</f>
        <v>Friday</v>
      </c>
    </row>
    <row r="100" spans="2:11" hidden="1" x14ac:dyDescent="0.3">
      <c r="B100" s="20">
        <v>96</v>
      </c>
      <c r="C100" s="19">
        <v>43561</v>
      </c>
      <c r="D100" s="21" t="s">
        <v>9</v>
      </c>
      <c r="E100" s="21" t="s">
        <v>16</v>
      </c>
      <c r="F100" s="21" t="s">
        <v>17</v>
      </c>
      <c r="G100" s="22">
        <v>800</v>
      </c>
      <c r="H100" s="20">
        <v>1</v>
      </c>
      <c r="I100" s="32">
        <f>Town_Team[[#This Row],[Item quantity]]*Town_Team[[#This Row],[Selling price]]</f>
        <v>800</v>
      </c>
      <c r="J100" s="33">
        <f>IF(Town_Team[[#This Row],[Item name]]=" Jeans - Denim",Town_Team[[#This Row],[Item Amount]]*85%,Town_Team[[#This Row],[Item Amount]])</f>
        <v>800</v>
      </c>
      <c r="K100" s="39" t="str">
        <f>TEXT(Town_Team[[#This Row],[Date ]],"dddd")</f>
        <v>Saturday</v>
      </c>
    </row>
    <row r="101" spans="2:11" hidden="1" x14ac:dyDescent="0.3">
      <c r="B101" s="20">
        <v>97</v>
      </c>
      <c r="C101" s="19">
        <v>43562</v>
      </c>
      <c r="D101" s="21" t="s">
        <v>9</v>
      </c>
      <c r="E101" s="21" t="s">
        <v>18</v>
      </c>
      <c r="F101" s="21" t="s">
        <v>17</v>
      </c>
      <c r="G101" s="22">
        <v>600</v>
      </c>
      <c r="H101" s="20">
        <v>1</v>
      </c>
      <c r="I101" s="32">
        <f>Town_Team[[#This Row],[Item quantity]]*Town_Team[[#This Row],[Selling price]]</f>
        <v>600</v>
      </c>
      <c r="J101" s="33">
        <f>IF(Town_Team[[#This Row],[Item name]]=" Jeans - Denim",Town_Team[[#This Row],[Item Amount]]*85%,Town_Team[[#This Row],[Item Amount]])</f>
        <v>600</v>
      </c>
      <c r="K101" s="39" t="str">
        <f>TEXT(Town_Team[[#This Row],[Date ]],"dddd")</f>
        <v>Sunday</v>
      </c>
    </row>
    <row r="102" spans="2:11" hidden="1" x14ac:dyDescent="0.3">
      <c r="B102" s="20">
        <v>98</v>
      </c>
      <c r="C102" s="19">
        <v>43563</v>
      </c>
      <c r="D102" s="21" t="s">
        <v>9</v>
      </c>
      <c r="E102" s="21" t="s">
        <v>16</v>
      </c>
      <c r="F102" s="21" t="s">
        <v>17</v>
      </c>
      <c r="G102" s="22">
        <v>800</v>
      </c>
      <c r="H102" s="20">
        <v>1</v>
      </c>
      <c r="I102" s="32">
        <f>Town_Team[[#This Row],[Item quantity]]*Town_Team[[#This Row],[Selling price]]</f>
        <v>800</v>
      </c>
      <c r="J102" s="33">
        <f>IF(Town_Team[[#This Row],[Item name]]=" Jeans - Denim",Town_Team[[#This Row],[Item Amount]]*85%,Town_Team[[#This Row],[Item Amount]])</f>
        <v>800</v>
      </c>
      <c r="K102" s="39" t="str">
        <f>TEXT(Town_Team[[#This Row],[Date ]],"dddd")</f>
        <v>Monday</v>
      </c>
    </row>
    <row r="103" spans="2:11" hidden="1" x14ac:dyDescent="0.3">
      <c r="B103" s="20">
        <v>99</v>
      </c>
      <c r="C103" s="19">
        <v>43564</v>
      </c>
      <c r="D103" s="21" t="s">
        <v>9</v>
      </c>
      <c r="E103" s="21" t="s">
        <v>10</v>
      </c>
      <c r="F103" s="21" t="s">
        <v>11</v>
      </c>
      <c r="G103" s="22">
        <v>1100</v>
      </c>
      <c r="H103" s="20">
        <v>1</v>
      </c>
      <c r="I103" s="32">
        <f>Town_Team[[#This Row],[Item quantity]]*Town_Team[[#This Row],[Selling price]]</f>
        <v>1100</v>
      </c>
      <c r="J103" s="33">
        <f>IF(Town_Team[[#This Row],[Item name]]=" Jeans - Denim",Town_Team[[#This Row],[Item Amount]]*85%,Town_Team[[#This Row],[Item Amount]])</f>
        <v>1100</v>
      </c>
      <c r="K103" s="39" t="str">
        <f>TEXT(Town_Team[[#This Row],[Date ]],"dddd")</f>
        <v>Tuesday</v>
      </c>
    </row>
    <row r="104" spans="2:11" hidden="1" x14ac:dyDescent="0.3">
      <c r="B104" s="20">
        <v>100</v>
      </c>
      <c r="C104" s="19">
        <v>43565</v>
      </c>
      <c r="D104" s="21" t="s">
        <v>9</v>
      </c>
      <c r="E104" s="21" t="s">
        <v>19</v>
      </c>
      <c r="F104" s="21" t="s">
        <v>20</v>
      </c>
      <c r="G104" s="22">
        <v>850</v>
      </c>
      <c r="H104" s="20">
        <v>1</v>
      </c>
      <c r="I104" s="32">
        <f>Town_Team[[#This Row],[Item quantity]]*Town_Team[[#This Row],[Selling price]]</f>
        <v>850</v>
      </c>
      <c r="J104" s="33">
        <f>IF(Town_Team[[#This Row],[Item name]]=" Jeans - Denim",Town_Team[[#This Row],[Item Amount]]*85%,Town_Team[[#This Row],[Item Amount]])</f>
        <v>850</v>
      </c>
      <c r="K104" s="39" t="str">
        <f>TEXT(Town_Team[[#This Row],[Date ]],"dddd")</f>
        <v>Wednesday</v>
      </c>
    </row>
    <row r="105" spans="2:11" hidden="1" x14ac:dyDescent="0.3">
      <c r="B105" s="20">
        <v>101</v>
      </c>
      <c r="C105" s="19">
        <v>43566</v>
      </c>
      <c r="D105" s="21" t="s">
        <v>9</v>
      </c>
      <c r="E105" s="21" t="s">
        <v>19</v>
      </c>
      <c r="F105" s="21" t="s">
        <v>20</v>
      </c>
      <c r="G105" s="22">
        <v>850</v>
      </c>
      <c r="H105" s="20">
        <v>1</v>
      </c>
      <c r="I105" s="32">
        <f>Town_Team[[#This Row],[Item quantity]]*Town_Team[[#This Row],[Selling price]]</f>
        <v>850</v>
      </c>
      <c r="J105" s="33">
        <f>IF(Town_Team[[#This Row],[Item name]]=" Jeans - Denim",Town_Team[[#This Row],[Item Amount]]*85%,Town_Team[[#This Row],[Item Amount]])</f>
        <v>850</v>
      </c>
      <c r="K105" s="39" t="str">
        <f>TEXT(Town_Team[[#This Row],[Date ]],"dddd")</f>
        <v>Thursday</v>
      </c>
    </row>
    <row r="106" spans="2:11" hidden="1" x14ac:dyDescent="0.3">
      <c r="B106" s="20">
        <v>102</v>
      </c>
      <c r="C106" s="19">
        <v>43567</v>
      </c>
      <c r="D106" s="21" t="s">
        <v>9</v>
      </c>
      <c r="E106" s="21" t="s">
        <v>19</v>
      </c>
      <c r="F106" s="21" t="s">
        <v>20</v>
      </c>
      <c r="G106" s="22">
        <v>850</v>
      </c>
      <c r="H106" s="20">
        <v>1</v>
      </c>
      <c r="I106" s="32">
        <f>Town_Team[[#This Row],[Item quantity]]*Town_Team[[#This Row],[Selling price]]</f>
        <v>850</v>
      </c>
      <c r="J106" s="33">
        <f>IF(Town_Team[[#This Row],[Item name]]=" Jeans - Denim",Town_Team[[#This Row],[Item Amount]]*85%,Town_Team[[#This Row],[Item Amount]])</f>
        <v>850</v>
      </c>
      <c r="K106" s="39" t="str">
        <f>TEXT(Town_Team[[#This Row],[Date ]],"dddd")</f>
        <v>Friday</v>
      </c>
    </row>
    <row r="107" spans="2:11" hidden="1" x14ac:dyDescent="0.3">
      <c r="B107" s="20">
        <v>103</v>
      </c>
      <c r="C107" s="19">
        <v>43568</v>
      </c>
      <c r="D107" s="21" t="s">
        <v>9</v>
      </c>
      <c r="E107" s="21" t="s">
        <v>18</v>
      </c>
      <c r="F107" s="21" t="s">
        <v>17</v>
      </c>
      <c r="G107" s="22">
        <v>600</v>
      </c>
      <c r="H107" s="20">
        <v>1</v>
      </c>
      <c r="I107" s="32">
        <f>Town_Team[[#This Row],[Item quantity]]*Town_Team[[#This Row],[Selling price]]</f>
        <v>600</v>
      </c>
      <c r="J107" s="33">
        <f>IF(Town_Team[[#This Row],[Item name]]=" Jeans - Denim",Town_Team[[#This Row],[Item Amount]]*85%,Town_Team[[#This Row],[Item Amount]])</f>
        <v>600</v>
      </c>
      <c r="K107" s="39" t="str">
        <f>TEXT(Town_Team[[#This Row],[Date ]],"dddd")</f>
        <v>Saturday</v>
      </c>
    </row>
    <row r="108" spans="2:11" hidden="1" x14ac:dyDescent="0.3">
      <c r="B108" s="20">
        <v>104</v>
      </c>
      <c r="C108" s="19">
        <v>43569</v>
      </c>
      <c r="D108" s="21" t="s">
        <v>9</v>
      </c>
      <c r="E108" s="21" t="s">
        <v>19</v>
      </c>
      <c r="F108" s="21" t="s">
        <v>20</v>
      </c>
      <c r="G108" s="22">
        <v>850</v>
      </c>
      <c r="H108" s="20">
        <v>1</v>
      </c>
      <c r="I108" s="32">
        <f>Town_Team[[#This Row],[Item quantity]]*Town_Team[[#This Row],[Selling price]]</f>
        <v>850</v>
      </c>
      <c r="J108" s="33">
        <f>IF(Town_Team[[#This Row],[Item name]]=" Jeans - Denim",Town_Team[[#This Row],[Item Amount]]*85%,Town_Team[[#This Row],[Item Amount]])</f>
        <v>850</v>
      </c>
      <c r="K108" s="39" t="str">
        <f>TEXT(Town_Team[[#This Row],[Date ]],"dddd")</f>
        <v>Sunday</v>
      </c>
    </row>
    <row r="109" spans="2:11" hidden="1" x14ac:dyDescent="0.3">
      <c r="B109" s="20">
        <v>105</v>
      </c>
      <c r="C109" s="19">
        <v>43570</v>
      </c>
      <c r="D109" s="21" t="s">
        <v>9</v>
      </c>
      <c r="E109" s="21" t="s">
        <v>19</v>
      </c>
      <c r="F109" s="21" t="s">
        <v>20</v>
      </c>
      <c r="G109" s="22">
        <v>850</v>
      </c>
      <c r="H109" s="20">
        <v>1</v>
      </c>
      <c r="I109" s="32">
        <f>Town_Team[[#This Row],[Item quantity]]*Town_Team[[#This Row],[Selling price]]</f>
        <v>850</v>
      </c>
      <c r="J109" s="33">
        <f>IF(Town_Team[[#This Row],[Item name]]=" Jeans - Denim",Town_Team[[#This Row],[Item Amount]]*85%,Town_Team[[#This Row],[Item Amount]])</f>
        <v>850</v>
      </c>
      <c r="K109" s="39" t="str">
        <f>TEXT(Town_Team[[#This Row],[Date ]],"dddd")</f>
        <v>Monday</v>
      </c>
    </row>
    <row r="110" spans="2:11" hidden="1" x14ac:dyDescent="0.3">
      <c r="B110" s="20">
        <v>106</v>
      </c>
      <c r="C110" s="19">
        <v>43571</v>
      </c>
      <c r="D110" s="21" t="s">
        <v>9</v>
      </c>
      <c r="E110" s="21" t="s">
        <v>10</v>
      </c>
      <c r="F110" s="21" t="s">
        <v>11</v>
      </c>
      <c r="G110" s="22">
        <v>1100</v>
      </c>
      <c r="H110" s="20">
        <v>1</v>
      </c>
      <c r="I110" s="32">
        <f>Town_Team[[#This Row],[Item quantity]]*Town_Team[[#This Row],[Selling price]]</f>
        <v>1100</v>
      </c>
      <c r="J110" s="33">
        <f>IF(Town_Team[[#This Row],[Item name]]=" Jeans - Denim",Town_Team[[#This Row],[Item Amount]]*85%,Town_Team[[#This Row],[Item Amount]])</f>
        <v>1100</v>
      </c>
      <c r="K110" s="39" t="str">
        <f>TEXT(Town_Team[[#This Row],[Date ]],"dddd")</f>
        <v>Tuesday</v>
      </c>
    </row>
    <row r="111" spans="2:11" hidden="1" x14ac:dyDescent="0.3">
      <c r="B111" s="20">
        <v>107</v>
      </c>
      <c r="C111" s="19">
        <v>43572</v>
      </c>
      <c r="D111" s="21" t="s">
        <v>9</v>
      </c>
      <c r="E111" s="21" t="s">
        <v>15</v>
      </c>
      <c r="F111" s="21" t="s">
        <v>11</v>
      </c>
      <c r="G111" s="22">
        <v>1000</v>
      </c>
      <c r="H111" s="20">
        <v>1</v>
      </c>
      <c r="I111" s="32">
        <f>Town_Team[[#This Row],[Item quantity]]*Town_Team[[#This Row],[Selling price]]</f>
        <v>1000</v>
      </c>
      <c r="J111" s="33">
        <f>IF(Town_Team[[#This Row],[Item name]]=" Jeans - Denim",Town_Team[[#This Row],[Item Amount]]*85%,Town_Team[[#This Row],[Item Amount]])</f>
        <v>1000</v>
      </c>
      <c r="K111" s="39" t="str">
        <f>TEXT(Town_Team[[#This Row],[Date ]],"dddd")</f>
        <v>Wednesday</v>
      </c>
    </row>
    <row r="112" spans="2:11" hidden="1" x14ac:dyDescent="0.3">
      <c r="B112" s="20">
        <v>108</v>
      </c>
      <c r="C112" s="19">
        <v>43573</v>
      </c>
      <c r="D112" s="21" t="s">
        <v>9</v>
      </c>
      <c r="E112" s="21" t="s">
        <v>10</v>
      </c>
      <c r="F112" s="21" t="s">
        <v>11</v>
      </c>
      <c r="G112" s="22">
        <v>1100</v>
      </c>
      <c r="H112" s="20">
        <v>1</v>
      </c>
      <c r="I112" s="32">
        <f>Town_Team[[#This Row],[Item quantity]]*Town_Team[[#This Row],[Selling price]]</f>
        <v>1100</v>
      </c>
      <c r="J112" s="33">
        <f>IF(Town_Team[[#This Row],[Item name]]=" Jeans - Denim",Town_Team[[#This Row],[Item Amount]]*85%,Town_Team[[#This Row],[Item Amount]])</f>
        <v>1100</v>
      </c>
      <c r="K112" s="39" t="str">
        <f>TEXT(Town_Team[[#This Row],[Date ]],"dddd")</f>
        <v>Thursday</v>
      </c>
    </row>
    <row r="113" spans="2:11" hidden="1" x14ac:dyDescent="0.3">
      <c r="B113" s="20">
        <v>109</v>
      </c>
      <c r="C113" s="19">
        <v>43574</v>
      </c>
      <c r="D113" s="21" t="s">
        <v>9</v>
      </c>
      <c r="E113" s="21" t="s">
        <v>18</v>
      </c>
      <c r="F113" s="21" t="s">
        <v>17</v>
      </c>
      <c r="G113" s="22">
        <v>600</v>
      </c>
      <c r="H113" s="20">
        <v>1</v>
      </c>
      <c r="I113" s="32">
        <f>Town_Team[[#This Row],[Item quantity]]*Town_Team[[#This Row],[Selling price]]</f>
        <v>600</v>
      </c>
      <c r="J113" s="33">
        <f>IF(Town_Team[[#This Row],[Item name]]=" Jeans - Denim",Town_Team[[#This Row],[Item Amount]]*85%,Town_Team[[#This Row],[Item Amount]])</f>
        <v>600</v>
      </c>
      <c r="K113" s="39" t="str">
        <f>TEXT(Town_Team[[#This Row],[Date ]],"dddd")</f>
        <v>Friday</v>
      </c>
    </row>
    <row r="114" spans="2:11" hidden="1" x14ac:dyDescent="0.3">
      <c r="B114" s="20">
        <v>110</v>
      </c>
      <c r="C114" s="19">
        <v>43575</v>
      </c>
      <c r="D114" s="21" t="s">
        <v>9</v>
      </c>
      <c r="E114" s="21" t="s">
        <v>18</v>
      </c>
      <c r="F114" s="21" t="s">
        <v>17</v>
      </c>
      <c r="G114" s="22">
        <v>600</v>
      </c>
      <c r="H114" s="20">
        <v>2</v>
      </c>
      <c r="I114" s="32">
        <f>Town_Team[[#This Row],[Item quantity]]*Town_Team[[#This Row],[Selling price]]</f>
        <v>1200</v>
      </c>
      <c r="J114" s="33">
        <f>IF(Town_Team[[#This Row],[Item name]]=" Jeans - Denim",Town_Team[[#This Row],[Item Amount]]*85%,Town_Team[[#This Row],[Item Amount]])</f>
        <v>1200</v>
      </c>
      <c r="K114" s="39" t="str">
        <f>TEXT(Town_Team[[#This Row],[Date ]],"dddd")</f>
        <v>Saturday</v>
      </c>
    </row>
    <row r="115" spans="2:11" hidden="1" x14ac:dyDescent="0.3">
      <c r="B115" s="20">
        <v>111</v>
      </c>
      <c r="C115" s="19">
        <v>43576</v>
      </c>
      <c r="D115" s="21" t="s">
        <v>9</v>
      </c>
      <c r="E115" s="21" t="s">
        <v>18</v>
      </c>
      <c r="F115" s="21" t="s">
        <v>17</v>
      </c>
      <c r="G115" s="22">
        <v>600</v>
      </c>
      <c r="H115" s="20">
        <v>1</v>
      </c>
      <c r="I115" s="32">
        <f>Town_Team[[#This Row],[Item quantity]]*Town_Team[[#This Row],[Selling price]]</f>
        <v>600</v>
      </c>
      <c r="J115" s="33">
        <f>IF(Town_Team[[#This Row],[Item name]]=" Jeans - Denim",Town_Team[[#This Row],[Item Amount]]*85%,Town_Team[[#This Row],[Item Amount]])</f>
        <v>600</v>
      </c>
      <c r="K115" s="39" t="str">
        <f>TEXT(Town_Team[[#This Row],[Date ]],"dddd")</f>
        <v>Sunday</v>
      </c>
    </row>
    <row r="116" spans="2:11" hidden="1" x14ac:dyDescent="0.3">
      <c r="B116" s="20">
        <v>112</v>
      </c>
      <c r="C116" s="19">
        <v>43577</v>
      </c>
      <c r="D116" s="21" t="s">
        <v>9</v>
      </c>
      <c r="E116" s="21" t="s">
        <v>18</v>
      </c>
      <c r="F116" s="21" t="s">
        <v>17</v>
      </c>
      <c r="G116" s="22">
        <v>600</v>
      </c>
      <c r="H116" s="20">
        <v>1</v>
      </c>
      <c r="I116" s="32">
        <f>Town_Team[[#This Row],[Item quantity]]*Town_Team[[#This Row],[Selling price]]</f>
        <v>600</v>
      </c>
      <c r="J116" s="33">
        <f>IF(Town_Team[[#This Row],[Item name]]=" Jeans - Denim",Town_Team[[#This Row],[Item Amount]]*85%,Town_Team[[#This Row],[Item Amount]])</f>
        <v>600</v>
      </c>
      <c r="K116" s="39" t="str">
        <f>TEXT(Town_Team[[#This Row],[Date ]],"dddd")</f>
        <v>Monday</v>
      </c>
    </row>
    <row r="117" spans="2:11" hidden="1" x14ac:dyDescent="0.3">
      <c r="B117" s="20">
        <v>113</v>
      </c>
      <c r="C117" s="19">
        <v>43578</v>
      </c>
      <c r="D117" s="21" t="s">
        <v>9</v>
      </c>
      <c r="E117" s="21" t="s">
        <v>10</v>
      </c>
      <c r="F117" s="21" t="s">
        <v>11</v>
      </c>
      <c r="G117" s="22">
        <v>1100</v>
      </c>
      <c r="H117" s="20">
        <v>1</v>
      </c>
      <c r="I117" s="32">
        <f>Town_Team[[#This Row],[Item quantity]]*Town_Team[[#This Row],[Selling price]]</f>
        <v>1100</v>
      </c>
      <c r="J117" s="33">
        <f>IF(Town_Team[[#This Row],[Item name]]=" Jeans - Denim",Town_Team[[#This Row],[Item Amount]]*85%,Town_Team[[#This Row],[Item Amount]])</f>
        <v>1100</v>
      </c>
      <c r="K117" s="39" t="str">
        <f>TEXT(Town_Team[[#This Row],[Date ]],"dddd")</f>
        <v>Tuesday</v>
      </c>
    </row>
    <row r="118" spans="2:11" hidden="1" x14ac:dyDescent="0.3">
      <c r="B118" s="20">
        <v>114</v>
      </c>
      <c r="C118" s="19">
        <v>43579</v>
      </c>
      <c r="D118" s="21" t="s">
        <v>9</v>
      </c>
      <c r="E118" s="21" t="s">
        <v>14</v>
      </c>
      <c r="F118" s="21" t="s">
        <v>11</v>
      </c>
      <c r="G118" s="22">
        <v>900</v>
      </c>
      <c r="H118" s="20">
        <v>1</v>
      </c>
      <c r="I118" s="32">
        <f>Town_Team[[#This Row],[Item quantity]]*Town_Team[[#This Row],[Selling price]]</f>
        <v>900</v>
      </c>
      <c r="J118" s="33">
        <f>IF(Town_Team[[#This Row],[Item name]]=" Jeans - Denim",Town_Team[[#This Row],[Item Amount]]*85%,Town_Team[[#This Row],[Item Amount]])</f>
        <v>900</v>
      </c>
      <c r="K118" s="39" t="str">
        <f>TEXT(Town_Team[[#This Row],[Date ]],"dddd")</f>
        <v>Wednesday</v>
      </c>
    </row>
    <row r="119" spans="2:11" hidden="1" x14ac:dyDescent="0.3">
      <c r="B119" s="20">
        <v>115</v>
      </c>
      <c r="C119" s="19">
        <v>43580</v>
      </c>
      <c r="D119" s="21" t="s">
        <v>9</v>
      </c>
      <c r="E119" s="21" t="s">
        <v>18</v>
      </c>
      <c r="F119" s="21" t="s">
        <v>17</v>
      </c>
      <c r="G119" s="22">
        <v>600</v>
      </c>
      <c r="H119" s="20">
        <v>1</v>
      </c>
      <c r="I119" s="32">
        <f>Town_Team[[#This Row],[Item quantity]]*Town_Team[[#This Row],[Selling price]]</f>
        <v>600</v>
      </c>
      <c r="J119" s="33">
        <f>IF(Town_Team[[#This Row],[Item name]]=" Jeans - Denim",Town_Team[[#This Row],[Item Amount]]*85%,Town_Team[[#This Row],[Item Amount]])</f>
        <v>600</v>
      </c>
      <c r="K119" s="39" t="str">
        <f>TEXT(Town_Team[[#This Row],[Date ]],"dddd")</f>
        <v>Thursday</v>
      </c>
    </row>
    <row r="120" spans="2:11" hidden="1" x14ac:dyDescent="0.3">
      <c r="B120" s="20">
        <v>116</v>
      </c>
      <c r="C120" s="19">
        <v>43581</v>
      </c>
      <c r="D120" s="21" t="s">
        <v>9</v>
      </c>
      <c r="E120" s="21" t="s">
        <v>14</v>
      </c>
      <c r="F120" s="21" t="s">
        <v>11</v>
      </c>
      <c r="G120" s="22">
        <v>900</v>
      </c>
      <c r="H120" s="20">
        <v>1</v>
      </c>
      <c r="I120" s="32">
        <f>Town_Team[[#This Row],[Item quantity]]*Town_Team[[#This Row],[Selling price]]</f>
        <v>900</v>
      </c>
      <c r="J120" s="33">
        <f>IF(Town_Team[[#This Row],[Item name]]=" Jeans - Denim",Town_Team[[#This Row],[Item Amount]]*85%,Town_Team[[#This Row],[Item Amount]])</f>
        <v>900</v>
      </c>
      <c r="K120" s="39" t="str">
        <f>TEXT(Town_Team[[#This Row],[Date ]],"dddd")</f>
        <v>Friday</v>
      </c>
    </row>
    <row r="121" spans="2:11" hidden="1" x14ac:dyDescent="0.3">
      <c r="B121" s="20">
        <v>117</v>
      </c>
      <c r="C121" s="19">
        <v>43582</v>
      </c>
      <c r="D121" s="21" t="s">
        <v>9</v>
      </c>
      <c r="E121" s="21" t="s">
        <v>12</v>
      </c>
      <c r="F121" s="21" t="s">
        <v>11</v>
      </c>
      <c r="G121" s="22">
        <v>900</v>
      </c>
      <c r="H121" s="20">
        <v>1</v>
      </c>
      <c r="I121" s="32">
        <f>Town_Team[[#This Row],[Item quantity]]*Town_Team[[#This Row],[Selling price]]</f>
        <v>900</v>
      </c>
      <c r="J121" s="33">
        <f>IF(Town_Team[[#This Row],[Item name]]=" Jeans - Denim",Town_Team[[#This Row],[Item Amount]]*85%,Town_Team[[#This Row],[Item Amount]])</f>
        <v>765</v>
      </c>
      <c r="K121" s="39" t="str">
        <f>TEXT(Town_Team[[#This Row],[Date ]],"dddd")</f>
        <v>Saturday</v>
      </c>
    </row>
    <row r="122" spans="2:11" hidden="1" x14ac:dyDescent="0.3">
      <c r="B122" s="20">
        <v>118</v>
      </c>
      <c r="C122" s="19">
        <v>43583</v>
      </c>
      <c r="D122" s="21" t="s">
        <v>9</v>
      </c>
      <c r="E122" s="21" t="s">
        <v>18</v>
      </c>
      <c r="F122" s="21" t="s">
        <v>17</v>
      </c>
      <c r="G122" s="22">
        <v>600</v>
      </c>
      <c r="H122" s="20">
        <v>1</v>
      </c>
      <c r="I122" s="32">
        <f>Town_Team[[#This Row],[Item quantity]]*Town_Team[[#This Row],[Selling price]]</f>
        <v>600</v>
      </c>
      <c r="J122" s="33">
        <f>IF(Town_Team[[#This Row],[Item name]]=" Jeans - Denim",Town_Team[[#This Row],[Item Amount]]*85%,Town_Team[[#This Row],[Item Amount]])</f>
        <v>600</v>
      </c>
      <c r="K122" s="39" t="str">
        <f>TEXT(Town_Team[[#This Row],[Date ]],"dddd")</f>
        <v>Sunday</v>
      </c>
    </row>
    <row r="123" spans="2:11" hidden="1" x14ac:dyDescent="0.3">
      <c r="B123" s="20">
        <v>119</v>
      </c>
      <c r="C123" s="19">
        <v>43584</v>
      </c>
      <c r="D123" s="21" t="s">
        <v>9</v>
      </c>
      <c r="E123" s="21" t="s">
        <v>18</v>
      </c>
      <c r="F123" s="21" t="s">
        <v>17</v>
      </c>
      <c r="G123" s="22">
        <v>600</v>
      </c>
      <c r="H123" s="20">
        <v>1</v>
      </c>
      <c r="I123" s="32">
        <f>Town_Team[[#This Row],[Item quantity]]*Town_Team[[#This Row],[Selling price]]</f>
        <v>600</v>
      </c>
      <c r="J123" s="33">
        <f>IF(Town_Team[[#This Row],[Item name]]=" Jeans - Denim",Town_Team[[#This Row],[Item Amount]]*85%,Town_Team[[#This Row],[Item Amount]])</f>
        <v>600</v>
      </c>
      <c r="K123" s="39" t="str">
        <f>TEXT(Town_Team[[#This Row],[Date ]],"dddd")</f>
        <v>Monday</v>
      </c>
    </row>
    <row r="124" spans="2:11" hidden="1" x14ac:dyDescent="0.3">
      <c r="B124" s="20">
        <v>120</v>
      </c>
      <c r="C124" s="19">
        <v>43585</v>
      </c>
      <c r="D124" s="21" t="s">
        <v>9</v>
      </c>
      <c r="E124" s="21" t="s">
        <v>18</v>
      </c>
      <c r="F124" s="21" t="s">
        <v>17</v>
      </c>
      <c r="G124" s="22">
        <v>600</v>
      </c>
      <c r="H124" s="20">
        <v>1</v>
      </c>
      <c r="I124" s="32">
        <f>Town_Team[[#This Row],[Item quantity]]*Town_Team[[#This Row],[Selling price]]</f>
        <v>600</v>
      </c>
      <c r="J124" s="33">
        <f>IF(Town_Team[[#This Row],[Item name]]=" Jeans - Denim",Town_Team[[#This Row],[Item Amount]]*85%,Town_Team[[#This Row],[Item Amount]])</f>
        <v>600</v>
      </c>
      <c r="K124" s="39" t="str">
        <f>TEXT(Town_Team[[#This Row],[Date ]],"dddd")</f>
        <v>Tuesday</v>
      </c>
    </row>
    <row r="125" spans="2:11" hidden="1" x14ac:dyDescent="0.3">
      <c r="B125" s="20">
        <v>121</v>
      </c>
      <c r="C125" s="19">
        <v>43586</v>
      </c>
      <c r="D125" s="21" t="s">
        <v>9</v>
      </c>
      <c r="E125" s="21" t="s">
        <v>10</v>
      </c>
      <c r="F125" s="21" t="s">
        <v>11</v>
      </c>
      <c r="G125" s="22">
        <v>1100</v>
      </c>
      <c r="H125" s="20">
        <v>1</v>
      </c>
      <c r="I125" s="32">
        <f>Town_Team[[#This Row],[Item quantity]]*Town_Team[[#This Row],[Selling price]]</f>
        <v>1100</v>
      </c>
      <c r="J125" s="33">
        <f>IF(Town_Team[[#This Row],[Item name]]=" Jeans - Denim",Town_Team[[#This Row],[Item Amount]]*85%,Town_Team[[#This Row],[Item Amount]])</f>
        <v>1100</v>
      </c>
      <c r="K125" s="39" t="str">
        <f>TEXT(Town_Team[[#This Row],[Date ]],"dddd")</f>
        <v>Wednesday</v>
      </c>
    </row>
    <row r="126" spans="2:11" hidden="1" x14ac:dyDescent="0.3">
      <c r="B126" s="20">
        <v>122</v>
      </c>
      <c r="C126" s="19">
        <v>43587</v>
      </c>
      <c r="D126" s="21" t="s">
        <v>9</v>
      </c>
      <c r="E126" s="21" t="s">
        <v>18</v>
      </c>
      <c r="F126" s="21" t="s">
        <v>17</v>
      </c>
      <c r="G126" s="22">
        <v>600</v>
      </c>
      <c r="H126" s="20">
        <v>1</v>
      </c>
      <c r="I126" s="32">
        <f>Town_Team[[#This Row],[Item quantity]]*Town_Team[[#This Row],[Selling price]]</f>
        <v>600</v>
      </c>
      <c r="J126" s="33">
        <f>IF(Town_Team[[#This Row],[Item name]]=" Jeans - Denim",Town_Team[[#This Row],[Item Amount]]*85%,Town_Team[[#This Row],[Item Amount]])</f>
        <v>600</v>
      </c>
      <c r="K126" s="39" t="str">
        <f>TEXT(Town_Team[[#This Row],[Date ]],"dddd")</f>
        <v>Thursday</v>
      </c>
    </row>
    <row r="127" spans="2:11" hidden="1" x14ac:dyDescent="0.3">
      <c r="B127" s="20">
        <v>123</v>
      </c>
      <c r="C127" s="19">
        <v>43588</v>
      </c>
      <c r="D127" s="21" t="s">
        <v>9</v>
      </c>
      <c r="E127" s="21" t="s">
        <v>18</v>
      </c>
      <c r="F127" s="21" t="s">
        <v>17</v>
      </c>
      <c r="G127" s="22">
        <v>600</v>
      </c>
      <c r="H127" s="20">
        <v>1</v>
      </c>
      <c r="I127" s="32">
        <f>Town_Team[[#This Row],[Item quantity]]*Town_Team[[#This Row],[Selling price]]</f>
        <v>600</v>
      </c>
      <c r="J127" s="33">
        <f>IF(Town_Team[[#This Row],[Item name]]=" Jeans - Denim",Town_Team[[#This Row],[Item Amount]]*85%,Town_Team[[#This Row],[Item Amount]])</f>
        <v>600</v>
      </c>
      <c r="K127" s="39" t="str">
        <f>TEXT(Town_Team[[#This Row],[Date ]],"dddd")</f>
        <v>Friday</v>
      </c>
    </row>
    <row r="128" spans="2:11" hidden="1" x14ac:dyDescent="0.3">
      <c r="B128" s="20">
        <v>124</v>
      </c>
      <c r="C128" s="19">
        <v>43589</v>
      </c>
      <c r="D128" s="21" t="s">
        <v>9</v>
      </c>
      <c r="E128" s="21" t="s">
        <v>18</v>
      </c>
      <c r="F128" s="21" t="s">
        <v>17</v>
      </c>
      <c r="G128" s="22">
        <v>600</v>
      </c>
      <c r="H128" s="20">
        <v>1</v>
      </c>
      <c r="I128" s="32">
        <f>Town_Team[[#This Row],[Item quantity]]*Town_Team[[#This Row],[Selling price]]</f>
        <v>600</v>
      </c>
      <c r="J128" s="33">
        <f>IF(Town_Team[[#This Row],[Item name]]=" Jeans - Denim",Town_Team[[#This Row],[Item Amount]]*85%,Town_Team[[#This Row],[Item Amount]])</f>
        <v>600</v>
      </c>
      <c r="K128" s="39" t="str">
        <f>TEXT(Town_Team[[#This Row],[Date ]],"dddd")</f>
        <v>Saturday</v>
      </c>
    </row>
    <row r="129" spans="2:11" hidden="1" x14ac:dyDescent="0.3">
      <c r="B129" s="20">
        <v>125</v>
      </c>
      <c r="C129" s="19">
        <v>43590</v>
      </c>
      <c r="D129" s="21" t="s">
        <v>9</v>
      </c>
      <c r="E129" s="21" t="s">
        <v>12</v>
      </c>
      <c r="F129" s="21" t="s">
        <v>11</v>
      </c>
      <c r="G129" s="22">
        <v>900</v>
      </c>
      <c r="H129" s="20">
        <v>1</v>
      </c>
      <c r="I129" s="32">
        <f>Town_Team[[#This Row],[Item quantity]]*Town_Team[[#This Row],[Selling price]]</f>
        <v>900</v>
      </c>
      <c r="J129" s="33">
        <f>IF(Town_Team[[#This Row],[Item name]]=" Jeans - Denim",Town_Team[[#This Row],[Item Amount]]*85%,Town_Team[[#This Row],[Item Amount]])</f>
        <v>765</v>
      </c>
      <c r="K129" s="39" t="str">
        <f>TEXT(Town_Team[[#This Row],[Date ]],"dddd")</f>
        <v>Sunday</v>
      </c>
    </row>
    <row r="130" spans="2:11" hidden="1" x14ac:dyDescent="0.3">
      <c r="B130" s="20">
        <v>126</v>
      </c>
      <c r="C130" s="19">
        <v>43591</v>
      </c>
      <c r="D130" s="21" t="s">
        <v>9</v>
      </c>
      <c r="E130" s="21" t="s">
        <v>18</v>
      </c>
      <c r="F130" s="21" t="s">
        <v>17</v>
      </c>
      <c r="G130" s="22">
        <v>600</v>
      </c>
      <c r="H130" s="20">
        <v>1</v>
      </c>
      <c r="I130" s="32">
        <f>Town_Team[[#This Row],[Item quantity]]*Town_Team[[#This Row],[Selling price]]</f>
        <v>600</v>
      </c>
      <c r="J130" s="33">
        <f>IF(Town_Team[[#This Row],[Item name]]=" Jeans - Denim",Town_Team[[#This Row],[Item Amount]]*85%,Town_Team[[#This Row],[Item Amount]])</f>
        <v>600</v>
      </c>
      <c r="K130" s="39" t="str">
        <f>TEXT(Town_Team[[#This Row],[Date ]],"dddd")</f>
        <v>Monday</v>
      </c>
    </row>
    <row r="131" spans="2:11" hidden="1" x14ac:dyDescent="0.3">
      <c r="B131" s="20">
        <v>127</v>
      </c>
      <c r="C131" s="19">
        <v>43592</v>
      </c>
      <c r="D131" s="21" t="s">
        <v>9</v>
      </c>
      <c r="E131" s="21" t="s">
        <v>14</v>
      </c>
      <c r="F131" s="21" t="s">
        <v>11</v>
      </c>
      <c r="G131" s="22">
        <v>900</v>
      </c>
      <c r="H131" s="20">
        <v>1</v>
      </c>
      <c r="I131" s="32">
        <f>Town_Team[[#This Row],[Item quantity]]*Town_Team[[#This Row],[Selling price]]</f>
        <v>900</v>
      </c>
      <c r="J131" s="33">
        <f>IF(Town_Team[[#This Row],[Item name]]=" Jeans - Denim",Town_Team[[#This Row],[Item Amount]]*85%,Town_Team[[#This Row],[Item Amount]])</f>
        <v>900</v>
      </c>
      <c r="K131" s="39" t="str">
        <f>TEXT(Town_Team[[#This Row],[Date ]],"dddd")</f>
        <v>Tuesday</v>
      </c>
    </row>
    <row r="132" spans="2:11" hidden="1" x14ac:dyDescent="0.3">
      <c r="B132" s="20">
        <v>128</v>
      </c>
      <c r="C132" s="19">
        <v>43593</v>
      </c>
      <c r="D132" s="21" t="s">
        <v>9</v>
      </c>
      <c r="E132" s="21" t="s">
        <v>21</v>
      </c>
      <c r="F132" s="21" t="s">
        <v>20</v>
      </c>
      <c r="G132" s="22">
        <v>1200</v>
      </c>
      <c r="H132" s="20">
        <v>1</v>
      </c>
      <c r="I132" s="32">
        <f>Town_Team[[#This Row],[Item quantity]]*Town_Team[[#This Row],[Selling price]]</f>
        <v>1200</v>
      </c>
      <c r="J132" s="33">
        <f>IF(Town_Team[[#This Row],[Item name]]=" Jeans - Denim",Town_Team[[#This Row],[Item Amount]]*85%,Town_Team[[#This Row],[Item Amount]])</f>
        <v>1200</v>
      </c>
      <c r="K132" s="39" t="str">
        <f>TEXT(Town_Team[[#This Row],[Date ]],"dddd")</f>
        <v>Wednesday</v>
      </c>
    </row>
    <row r="133" spans="2:11" hidden="1" x14ac:dyDescent="0.3">
      <c r="B133" s="20">
        <v>129</v>
      </c>
      <c r="C133" s="19">
        <v>43594</v>
      </c>
      <c r="D133" s="21" t="s">
        <v>9</v>
      </c>
      <c r="E133" s="21" t="s">
        <v>10</v>
      </c>
      <c r="F133" s="21" t="s">
        <v>11</v>
      </c>
      <c r="G133" s="22">
        <v>1100</v>
      </c>
      <c r="H133" s="20">
        <v>1</v>
      </c>
      <c r="I133" s="32">
        <f>Town_Team[[#This Row],[Item quantity]]*Town_Team[[#This Row],[Selling price]]</f>
        <v>1100</v>
      </c>
      <c r="J133" s="33">
        <f>IF(Town_Team[[#This Row],[Item name]]=" Jeans - Denim",Town_Team[[#This Row],[Item Amount]]*85%,Town_Team[[#This Row],[Item Amount]])</f>
        <v>1100</v>
      </c>
      <c r="K133" s="39" t="str">
        <f>TEXT(Town_Team[[#This Row],[Date ]],"dddd")</f>
        <v>Thursday</v>
      </c>
    </row>
    <row r="134" spans="2:11" hidden="1" x14ac:dyDescent="0.3">
      <c r="B134" s="20">
        <v>130</v>
      </c>
      <c r="C134" s="19">
        <v>43595</v>
      </c>
      <c r="D134" s="21" t="s">
        <v>9</v>
      </c>
      <c r="E134" s="21" t="s">
        <v>10</v>
      </c>
      <c r="F134" s="21" t="s">
        <v>11</v>
      </c>
      <c r="G134" s="22">
        <v>1100</v>
      </c>
      <c r="H134" s="20">
        <v>1</v>
      </c>
      <c r="I134" s="32">
        <f>Town_Team[[#This Row],[Item quantity]]*Town_Team[[#This Row],[Selling price]]</f>
        <v>1100</v>
      </c>
      <c r="J134" s="33">
        <f>IF(Town_Team[[#This Row],[Item name]]=" Jeans - Denim",Town_Team[[#This Row],[Item Amount]]*85%,Town_Team[[#This Row],[Item Amount]])</f>
        <v>1100</v>
      </c>
      <c r="K134" s="39" t="str">
        <f>TEXT(Town_Team[[#This Row],[Date ]],"dddd")</f>
        <v>Friday</v>
      </c>
    </row>
    <row r="135" spans="2:11" hidden="1" x14ac:dyDescent="0.3">
      <c r="B135" s="20">
        <v>131</v>
      </c>
      <c r="C135" s="19">
        <v>43596</v>
      </c>
      <c r="D135" s="21" t="s">
        <v>9</v>
      </c>
      <c r="E135" s="21" t="s">
        <v>18</v>
      </c>
      <c r="F135" s="21" t="s">
        <v>17</v>
      </c>
      <c r="G135" s="22">
        <v>600</v>
      </c>
      <c r="H135" s="20">
        <v>1</v>
      </c>
      <c r="I135" s="32">
        <f>Town_Team[[#This Row],[Item quantity]]*Town_Team[[#This Row],[Selling price]]</f>
        <v>600</v>
      </c>
      <c r="J135" s="33">
        <f>IF(Town_Team[[#This Row],[Item name]]=" Jeans - Denim",Town_Team[[#This Row],[Item Amount]]*85%,Town_Team[[#This Row],[Item Amount]])</f>
        <v>600</v>
      </c>
      <c r="K135" s="39" t="str">
        <f>TEXT(Town_Team[[#This Row],[Date ]],"dddd")</f>
        <v>Saturday</v>
      </c>
    </row>
    <row r="136" spans="2:11" hidden="1" x14ac:dyDescent="0.3">
      <c r="B136" s="20">
        <v>132</v>
      </c>
      <c r="C136" s="19">
        <v>43597</v>
      </c>
      <c r="D136" s="21" t="s">
        <v>9</v>
      </c>
      <c r="E136" s="21" t="s">
        <v>18</v>
      </c>
      <c r="F136" s="21" t="s">
        <v>17</v>
      </c>
      <c r="G136" s="22">
        <v>600</v>
      </c>
      <c r="H136" s="20">
        <v>2</v>
      </c>
      <c r="I136" s="32">
        <f>Town_Team[[#This Row],[Item quantity]]*Town_Team[[#This Row],[Selling price]]</f>
        <v>1200</v>
      </c>
      <c r="J136" s="33">
        <f>IF(Town_Team[[#This Row],[Item name]]=" Jeans - Denim",Town_Team[[#This Row],[Item Amount]]*85%,Town_Team[[#This Row],[Item Amount]])</f>
        <v>1200</v>
      </c>
      <c r="K136" s="39" t="str">
        <f>TEXT(Town_Team[[#This Row],[Date ]],"dddd")</f>
        <v>Sunday</v>
      </c>
    </row>
    <row r="137" spans="2:11" hidden="1" x14ac:dyDescent="0.3">
      <c r="B137" s="20">
        <v>133</v>
      </c>
      <c r="C137" s="19">
        <v>43598</v>
      </c>
      <c r="D137" s="21" t="s">
        <v>9</v>
      </c>
      <c r="E137" s="21" t="s">
        <v>21</v>
      </c>
      <c r="F137" s="21" t="s">
        <v>20</v>
      </c>
      <c r="G137" s="22">
        <v>1200</v>
      </c>
      <c r="H137" s="20">
        <v>1</v>
      </c>
      <c r="I137" s="32">
        <f>Town_Team[[#This Row],[Item quantity]]*Town_Team[[#This Row],[Selling price]]</f>
        <v>1200</v>
      </c>
      <c r="J137" s="33">
        <f>IF(Town_Team[[#This Row],[Item name]]=" Jeans - Denim",Town_Team[[#This Row],[Item Amount]]*85%,Town_Team[[#This Row],[Item Amount]])</f>
        <v>1200</v>
      </c>
      <c r="K137" s="39" t="str">
        <f>TEXT(Town_Team[[#This Row],[Date ]],"dddd")</f>
        <v>Monday</v>
      </c>
    </row>
    <row r="138" spans="2:11" hidden="1" x14ac:dyDescent="0.3">
      <c r="B138" s="20">
        <v>134</v>
      </c>
      <c r="C138" s="19">
        <v>43599</v>
      </c>
      <c r="D138" s="21" t="s">
        <v>9</v>
      </c>
      <c r="E138" s="21" t="s">
        <v>21</v>
      </c>
      <c r="F138" s="21" t="s">
        <v>20</v>
      </c>
      <c r="G138" s="22">
        <v>1200</v>
      </c>
      <c r="H138" s="20">
        <v>1</v>
      </c>
      <c r="I138" s="32">
        <f>Town_Team[[#This Row],[Item quantity]]*Town_Team[[#This Row],[Selling price]]</f>
        <v>1200</v>
      </c>
      <c r="J138" s="33">
        <f>IF(Town_Team[[#This Row],[Item name]]=" Jeans - Denim",Town_Team[[#This Row],[Item Amount]]*85%,Town_Team[[#This Row],[Item Amount]])</f>
        <v>1200</v>
      </c>
      <c r="K138" s="39" t="str">
        <f>TEXT(Town_Team[[#This Row],[Date ]],"dddd")</f>
        <v>Tuesday</v>
      </c>
    </row>
    <row r="139" spans="2:11" hidden="1" x14ac:dyDescent="0.3">
      <c r="B139" s="20">
        <v>135</v>
      </c>
      <c r="C139" s="19">
        <v>43600</v>
      </c>
      <c r="D139" s="21" t="s">
        <v>9</v>
      </c>
      <c r="E139" s="21" t="s">
        <v>15</v>
      </c>
      <c r="F139" s="21" t="s">
        <v>11</v>
      </c>
      <c r="G139" s="22">
        <v>1000</v>
      </c>
      <c r="H139" s="20">
        <v>1</v>
      </c>
      <c r="I139" s="32">
        <f>Town_Team[[#This Row],[Item quantity]]*Town_Team[[#This Row],[Selling price]]</f>
        <v>1000</v>
      </c>
      <c r="J139" s="33">
        <f>IF(Town_Team[[#This Row],[Item name]]=" Jeans - Denim",Town_Team[[#This Row],[Item Amount]]*85%,Town_Team[[#This Row],[Item Amount]])</f>
        <v>1000</v>
      </c>
      <c r="K139" s="39" t="str">
        <f>TEXT(Town_Team[[#This Row],[Date ]],"dddd")</f>
        <v>Wednesday</v>
      </c>
    </row>
    <row r="140" spans="2:11" hidden="1" x14ac:dyDescent="0.3">
      <c r="B140" s="20">
        <v>136</v>
      </c>
      <c r="C140" s="19">
        <v>43601</v>
      </c>
      <c r="D140" s="21" t="s">
        <v>9</v>
      </c>
      <c r="E140" s="21" t="s">
        <v>16</v>
      </c>
      <c r="F140" s="21" t="s">
        <v>17</v>
      </c>
      <c r="G140" s="22">
        <v>800</v>
      </c>
      <c r="H140" s="20">
        <v>2</v>
      </c>
      <c r="I140" s="32">
        <f>Town_Team[[#This Row],[Item quantity]]*Town_Team[[#This Row],[Selling price]]</f>
        <v>1600</v>
      </c>
      <c r="J140" s="33">
        <f>IF(Town_Team[[#This Row],[Item name]]=" Jeans - Denim",Town_Team[[#This Row],[Item Amount]]*85%,Town_Team[[#This Row],[Item Amount]])</f>
        <v>1600</v>
      </c>
      <c r="K140" s="39" t="str">
        <f>TEXT(Town_Team[[#This Row],[Date ]],"dddd")</f>
        <v>Thursday</v>
      </c>
    </row>
    <row r="141" spans="2:11" hidden="1" x14ac:dyDescent="0.3">
      <c r="B141" s="20">
        <v>137</v>
      </c>
      <c r="C141" s="19">
        <v>43602</v>
      </c>
      <c r="D141" s="21" t="s">
        <v>9</v>
      </c>
      <c r="E141" s="21" t="s">
        <v>21</v>
      </c>
      <c r="F141" s="21" t="s">
        <v>20</v>
      </c>
      <c r="G141" s="22">
        <v>1200</v>
      </c>
      <c r="H141" s="20">
        <v>1</v>
      </c>
      <c r="I141" s="32">
        <f>Town_Team[[#This Row],[Item quantity]]*Town_Team[[#This Row],[Selling price]]</f>
        <v>1200</v>
      </c>
      <c r="J141" s="33">
        <f>IF(Town_Team[[#This Row],[Item name]]=" Jeans - Denim",Town_Team[[#This Row],[Item Amount]]*85%,Town_Team[[#This Row],[Item Amount]])</f>
        <v>1200</v>
      </c>
      <c r="K141" s="39" t="str">
        <f>TEXT(Town_Team[[#This Row],[Date ]],"dddd")</f>
        <v>Friday</v>
      </c>
    </row>
    <row r="142" spans="2:11" hidden="1" x14ac:dyDescent="0.3">
      <c r="B142" s="20">
        <v>138</v>
      </c>
      <c r="C142" s="19">
        <v>43603</v>
      </c>
      <c r="D142" s="21" t="s">
        <v>9</v>
      </c>
      <c r="E142" s="21" t="s">
        <v>14</v>
      </c>
      <c r="F142" s="21" t="s">
        <v>11</v>
      </c>
      <c r="G142" s="22">
        <v>900</v>
      </c>
      <c r="H142" s="20">
        <v>1</v>
      </c>
      <c r="I142" s="32">
        <f>Town_Team[[#This Row],[Item quantity]]*Town_Team[[#This Row],[Selling price]]</f>
        <v>900</v>
      </c>
      <c r="J142" s="33">
        <f>IF(Town_Team[[#This Row],[Item name]]=" Jeans - Denim",Town_Team[[#This Row],[Item Amount]]*85%,Town_Team[[#This Row],[Item Amount]])</f>
        <v>900</v>
      </c>
      <c r="K142" s="39" t="str">
        <f>TEXT(Town_Team[[#This Row],[Date ]],"dddd")</f>
        <v>Saturday</v>
      </c>
    </row>
    <row r="143" spans="2:11" hidden="1" x14ac:dyDescent="0.3">
      <c r="B143" s="20">
        <v>139</v>
      </c>
      <c r="C143" s="19">
        <v>43604</v>
      </c>
      <c r="D143" s="21" t="s">
        <v>9</v>
      </c>
      <c r="E143" s="21" t="s">
        <v>15</v>
      </c>
      <c r="F143" s="21" t="s">
        <v>11</v>
      </c>
      <c r="G143" s="22">
        <v>1000</v>
      </c>
      <c r="H143" s="20">
        <v>1</v>
      </c>
      <c r="I143" s="32">
        <f>Town_Team[[#This Row],[Item quantity]]*Town_Team[[#This Row],[Selling price]]</f>
        <v>1000</v>
      </c>
      <c r="J143" s="33">
        <f>IF(Town_Team[[#This Row],[Item name]]=" Jeans - Denim",Town_Team[[#This Row],[Item Amount]]*85%,Town_Team[[#This Row],[Item Amount]])</f>
        <v>1000</v>
      </c>
      <c r="K143" s="39" t="str">
        <f>TEXT(Town_Team[[#This Row],[Date ]],"dddd")</f>
        <v>Sunday</v>
      </c>
    </row>
    <row r="144" spans="2:11" hidden="1" x14ac:dyDescent="0.3">
      <c r="B144" s="20">
        <v>140</v>
      </c>
      <c r="C144" s="19">
        <v>43605</v>
      </c>
      <c r="D144" s="21" t="s">
        <v>9</v>
      </c>
      <c r="E144" s="21" t="s">
        <v>16</v>
      </c>
      <c r="F144" s="21" t="s">
        <v>17</v>
      </c>
      <c r="G144" s="22">
        <v>800</v>
      </c>
      <c r="H144" s="20">
        <v>1</v>
      </c>
      <c r="I144" s="32">
        <f>Town_Team[[#This Row],[Item quantity]]*Town_Team[[#This Row],[Selling price]]</f>
        <v>800</v>
      </c>
      <c r="J144" s="33">
        <f>IF(Town_Team[[#This Row],[Item name]]=" Jeans - Denim",Town_Team[[#This Row],[Item Amount]]*85%,Town_Team[[#This Row],[Item Amount]])</f>
        <v>800</v>
      </c>
      <c r="K144" s="39" t="str">
        <f>TEXT(Town_Team[[#This Row],[Date ]],"dddd")</f>
        <v>Monday</v>
      </c>
    </row>
    <row r="145" spans="2:11" hidden="1" x14ac:dyDescent="0.3">
      <c r="B145" s="20">
        <v>141</v>
      </c>
      <c r="C145" s="19">
        <v>43606</v>
      </c>
      <c r="D145" s="21" t="s">
        <v>9</v>
      </c>
      <c r="E145" s="21" t="s">
        <v>21</v>
      </c>
      <c r="F145" s="21" t="s">
        <v>20</v>
      </c>
      <c r="G145" s="22">
        <v>1200</v>
      </c>
      <c r="H145" s="20">
        <v>1</v>
      </c>
      <c r="I145" s="32">
        <f>Town_Team[[#This Row],[Item quantity]]*Town_Team[[#This Row],[Selling price]]</f>
        <v>1200</v>
      </c>
      <c r="J145" s="33">
        <f>IF(Town_Team[[#This Row],[Item name]]=" Jeans - Denim",Town_Team[[#This Row],[Item Amount]]*85%,Town_Team[[#This Row],[Item Amount]])</f>
        <v>1200</v>
      </c>
      <c r="K145" s="39" t="str">
        <f>TEXT(Town_Team[[#This Row],[Date ]],"dddd")</f>
        <v>Tuesday</v>
      </c>
    </row>
    <row r="146" spans="2:11" hidden="1" x14ac:dyDescent="0.3">
      <c r="B146" s="20">
        <v>142</v>
      </c>
      <c r="C146" s="19">
        <v>43607</v>
      </c>
      <c r="D146" s="21" t="s">
        <v>9</v>
      </c>
      <c r="E146" s="21" t="s">
        <v>21</v>
      </c>
      <c r="F146" s="21" t="s">
        <v>20</v>
      </c>
      <c r="G146" s="22">
        <v>1200</v>
      </c>
      <c r="H146" s="20">
        <v>1</v>
      </c>
      <c r="I146" s="32">
        <f>Town_Team[[#This Row],[Item quantity]]*Town_Team[[#This Row],[Selling price]]</f>
        <v>1200</v>
      </c>
      <c r="J146" s="33">
        <f>IF(Town_Team[[#This Row],[Item name]]=" Jeans - Denim",Town_Team[[#This Row],[Item Amount]]*85%,Town_Team[[#This Row],[Item Amount]])</f>
        <v>1200</v>
      </c>
      <c r="K146" s="39" t="str">
        <f>TEXT(Town_Team[[#This Row],[Date ]],"dddd")</f>
        <v>Wednesday</v>
      </c>
    </row>
    <row r="147" spans="2:11" hidden="1" x14ac:dyDescent="0.3">
      <c r="B147" s="20">
        <v>143</v>
      </c>
      <c r="C147" s="19">
        <v>43608</v>
      </c>
      <c r="D147" s="21" t="s">
        <v>9</v>
      </c>
      <c r="E147" s="21" t="s">
        <v>16</v>
      </c>
      <c r="F147" s="21" t="s">
        <v>17</v>
      </c>
      <c r="G147" s="22">
        <v>800</v>
      </c>
      <c r="H147" s="20">
        <v>2</v>
      </c>
      <c r="I147" s="32">
        <f>Town_Team[[#This Row],[Item quantity]]*Town_Team[[#This Row],[Selling price]]</f>
        <v>1600</v>
      </c>
      <c r="J147" s="33">
        <f>IF(Town_Team[[#This Row],[Item name]]=" Jeans - Denim",Town_Team[[#This Row],[Item Amount]]*85%,Town_Team[[#This Row],[Item Amount]])</f>
        <v>1600</v>
      </c>
      <c r="K147" s="39" t="str">
        <f>TEXT(Town_Team[[#This Row],[Date ]],"dddd")</f>
        <v>Thursday</v>
      </c>
    </row>
    <row r="148" spans="2:11" hidden="1" x14ac:dyDescent="0.3">
      <c r="B148" s="20">
        <v>144</v>
      </c>
      <c r="C148" s="19">
        <v>43609</v>
      </c>
      <c r="D148" s="21" t="s">
        <v>9</v>
      </c>
      <c r="E148" s="21" t="s">
        <v>12</v>
      </c>
      <c r="F148" s="21" t="s">
        <v>11</v>
      </c>
      <c r="G148" s="22">
        <v>900</v>
      </c>
      <c r="H148" s="20">
        <v>1</v>
      </c>
      <c r="I148" s="32">
        <f>Town_Team[[#This Row],[Item quantity]]*Town_Team[[#This Row],[Selling price]]</f>
        <v>900</v>
      </c>
      <c r="J148" s="33">
        <f>IF(Town_Team[[#This Row],[Item name]]=" Jeans - Denim",Town_Team[[#This Row],[Item Amount]]*85%,Town_Team[[#This Row],[Item Amount]])</f>
        <v>765</v>
      </c>
      <c r="K148" s="39" t="str">
        <f>TEXT(Town_Team[[#This Row],[Date ]],"dddd")</f>
        <v>Friday</v>
      </c>
    </row>
    <row r="149" spans="2:11" hidden="1" x14ac:dyDescent="0.3">
      <c r="B149" s="20">
        <v>145</v>
      </c>
      <c r="C149" s="19">
        <v>43610</v>
      </c>
      <c r="D149" s="21" t="s">
        <v>9</v>
      </c>
      <c r="E149" s="21" t="s">
        <v>15</v>
      </c>
      <c r="F149" s="21" t="s">
        <v>11</v>
      </c>
      <c r="G149" s="22">
        <v>1000</v>
      </c>
      <c r="H149" s="20">
        <v>1</v>
      </c>
      <c r="I149" s="32">
        <f>Town_Team[[#This Row],[Item quantity]]*Town_Team[[#This Row],[Selling price]]</f>
        <v>1000</v>
      </c>
      <c r="J149" s="33">
        <f>IF(Town_Team[[#This Row],[Item name]]=" Jeans - Denim",Town_Team[[#This Row],[Item Amount]]*85%,Town_Team[[#This Row],[Item Amount]])</f>
        <v>1000</v>
      </c>
      <c r="K149" s="39" t="str">
        <f>TEXT(Town_Team[[#This Row],[Date ]],"dddd")</f>
        <v>Saturday</v>
      </c>
    </row>
    <row r="150" spans="2:11" hidden="1" x14ac:dyDescent="0.3">
      <c r="B150" s="20">
        <v>146</v>
      </c>
      <c r="C150" s="19">
        <v>43611</v>
      </c>
      <c r="D150" s="21" t="s">
        <v>9</v>
      </c>
      <c r="E150" s="21" t="s">
        <v>15</v>
      </c>
      <c r="F150" s="21" t="s">
        <v>11</v>
      </c>
      <c r="G150" s="22">
        <v>1000</v>
      </c>
      <c r="H150" s="20">
        <v>1</v>
      </c>
      <c r="I150" s="32">
        <f>Town_Team[[#This Row],[Item quantity]]*Town_Team[[#This Row],[Selling price]]</f>
        <v>1000</v>
      </c>
      <c r="J150" s="33">
        <f>IF(Town_Team[[#This Row],[Item name]]=" Jeans - Denim",Town_Team[[#This Row],[Item Amount]]*85%,Town_Team[[#This Row],[Item Amount]])</f>
        <v>1000</v>
      </c>
      <c r="K150" s="39" t="str">
        <f>TEXT(Town_Team[[#This Row],[Date ]],"dddd")</f>
        <v>Sunday</v>
      </c>
    </row>
    <row r="151" spans="2:11" hidden="1" x14ac:dyDescent="0.3">
      <c r="B151" s="20">
        <v>147</v>
      </c>
      <c r="C151" s="19">
        <v>43612</v>
      </c>
      <c r="D151" s="21" t="s">
        <v>9</v>
      </c>
      <c r="E151" s="21" t="s">
        <v>18</v>
      </c>
      <c r="F151" s="21" t="s">
        <v>17</v>
      </c>
      <c r="G151" s="22">
        <v>600</v>
      </c>
      <c r="H151" s="20">
        <v>1</v>
      </c>
      <c r="I151" s="32">
        <f>Town_Team[[#This Row],[Item quantity]]*Town_Team[[#This Row],[Selling price]]</f>
        <v>600</v>
      </c>
      <c r="J151" s="33">
        <f>IF(Town_Team[[#This Row],[Item name]]=" Jeans - Denim",Town_Team[[#This Row],[Item Amount]]*85%,Town_Team[[#This Row],[Item Amount]])</f>
        <v>600</v>
      </c>
      <c r="K151" s="39" t="str">
        <f>TEXT(Town_Team[[#This Row],[Date ]],"dddd")</f>
        <v>Monday</v>
      </c>
    </row>
    <row r="152" spans="2:11" hidden="1" x14ac:dyDescent="0.3">
      <c r="B152" s="20">
        <v>148</v>
      </c>
      <c r="C152" s="19">
        <v>43613</v>
      </c>
      <c r="D152" s="21" t="s">
        <v>9</v>
      </c>
      <c r="E152" s="21" t="s">
        <v>19</v>
      </c>
      <c r="F152" s="21" t="s">
        <v>20</v>
      </c>
      <c r="G152" s="22">
        <v>850</v>
      </c>
      <c r="H152" s="20">
        <v>1</v>
      </c>
      <c r="I152" s="32">
        <f>Town_Team[[#This Row],[Item quantity]]*Town_Team[[#This Row],[Selling price]]</f>
        <v>850</v>
      </c>
      <c r="J152" s="33">
        <f>IF(Town_Team[[#This Row],[Item name]]=" Jeans - Denim",Town_Team[[#This Row],[Item Amount]]*85%,Town_Team[[#This Row],[Item Amount]])</f>
        <v>850</v>
      </c>
      <c r="K152" s="39" t="str">
        <f>TEXT(Town_Team[[#This Row],[Date ]],"dddd")</f>
        <v>Tuesday</v>
      </c>
    </row>
    <row r="153" spans="2:11" hidden="1" x14ac:dyDescent="0.3">
      <c r="B153" s="20">
        <v>149</v>
      </c>
      <c r="C153" s="19">
        <v>43614</v>
      </c>
      <c r="D153" s="21" t="s">
        <v>9</v>
      </c>
      <c r="E153" s="21" t="s">
        <v>18</v>
      </c>
      <c r="F153" s="21" t="s">
        <v>17</v>
      </c>
      <c r="G153" s="22">
        <v>600</v>
      </c>
      <c r="H153" s="20">
        <v>1</v>
      </c>
      <c r="I153" s="32">
        <f>Town_Team[[#This Row],[Item quantity]]*Town_Team[[#This Row],[Selling price]]</f>
        <v>600</v>
      </c>
      <c r="J153" s="33">
        <f>IF(Town_Team[[#This Row],[Item name]]=" Jeans - Denim",Town_Team[[#This Row],[Item Amount]]*85%,Town_Team[[#This Row],[Item Amount]])</f>
        <v>600</v>
      </c>
      <c r="K153" s="39" t="str">
        <f>TEXT(Town_Team[[#This Row],[Date ]],"dddd")</f>
        <v>Wednesday</v>
      </c>
    </row>
    <row r="154" spans="2:11" hidden="1" x14ac:dyDescent="0.3">
      <c r="B154" s="20">
        <v>150</v>
      </c>
      <c r="C154" s="19">
        <v>43615</v>
      </c>
      <c r="D154" s="21" t="s">
        <v>9</v>
      </c>
      <c r="E154" s="21" t="s">
        <v>19</v>
      </c>
      <c r="F154" s="21" t="s">
        <v>20</v>
      </c>
      <c r="G154" s="22">
        <v>850</v>
      </c>
      <c r="H154" s="20">
        <v>1</v>
      </c>
      <c r="I154" s="32">
        <f>Town_Team[[#This Row],[Item quantity]]*Town_Team[[#This Row],[Selling price]]</f>
        <v>850</v>
      </c>
      <c r="J154" s="33">
        <f>IF(Town_Team[[#This Row],[Item name]]=" Jeans - Denim",Town_Team[[#This Row],[Item Amount]]*85%,Town_Team[[#This Row],[Item Amount]])</f>
        <v>850</v>
      </c>
      <c r="K154" s="39" t="str">
        <f>TEXT(Town_Team[[#This Row],[Date ]],"dddd")</f>
        <v>Thursday</v>
      </c>
    </row>
    <row r="155" spans="2:11" hidden="1" x14ac:dyDescent="0.3">
      <c r="B155" s="20">
        <v>151</v>
      </c>
      <c r="C155" s="19">
        <v>43616</v>
      </c>
      <c r="D155" s="21" t="s">
        <v>9</v>
      </c>
      <c r="E155" s="21" t="s">
        <v>19</v>
      </c>
      <c r="F155" s="21" t="s">
        <v>20</v>
      </c>
      <c r="G155" s="22">
        <v>850</v>
      </c>
      <c r="H155" s="20">
        <v>1</v>
      </c>
      <c r="I155" s="32">
        <f>Town_Team[[#This Row],[Item quantity]]*Town_Team[[#This Row],[Selling price]]</f>
        <v>850</v>
      </c>
      <c r="J155" s="33">
        <f>IF(Town_Team[[#This Row],[Item name]]=" Jeans - Denim",Town_Team[[#This Row],[Item Amount]]*85%,Town_Team[[#This Row],[Item Amount]])</f>
        <v>850</v>
      </c>
      <c r="K155" s="39" t="str">
        <f>TEXT(Town_Team[[#This Row],[Date ]],"dddd")</f>
        <v>Friday</v>
      </c>
    </row>
    <row r="156" spans="2:11" hidden="1" x14ac:dyDescent="0.3">
      <c r="B156" s="20">
        <v>152</v>
      </c>
      <c r="C156" s="19">
        <v>43617</v>
      </c>
      <c r="D156" s="21" t="s">
        <v>9</v>
      </c>
      <c r="E156" s="21" t="s">
        <v>12</v>
      </c>
      <c r="F156" s="21" t="s">
        <v>11</v>
      </c>
      <c r="G156" s="22">
        <v>900</v>
      </c>
      <c r="H156" s="20">
        <v>1</v>
      </c>
      <c r="I156" s="32">
        <f>Town_Team[[#This Row],[Item quantity]]*Town_Team[[#This Row],[Selling price]]</f>
        <v>900</v>
      </c>
      <c r="J156" s="33">
        <f>IF(Town_Team[[#This Row],[Item name]]=" Jeans - Denim",Town_Team[[#This Row],[Item Amount]]*85%,Town_Team[[#This Row],[Item Amount]])</f>
        <v>765</v>
      </c>
      <c r="K156" s="39" t="str">
        <f>TEXT(Town_Team[[#This Row],[Date ]],"dddd")</f>
        <v>Saturday</v>
      </c>
    </row>
    <row r="157" spans="2:11" hidden="1" x14ac:dyDescent="0.3">
      <c r="B157" s="20">
        <v>153</v>
      </c>
      <c r="C157" s="19">
        <v>43618</v>
      </c>
      <c r="D157" s="21" t="s">
        <v>9</v>
      </c>
      <c r="E157" s="21" t="s">
        <v>21</v>
      </c>
      <c r="F157" s="21" t="s">
        <v>20</v>
      </c>
      <c r="G157" s="22">
        <v>1200</v>
      </c>
      <c r="H157" s="20">
        <v>2</v>
      </c>
      <c r="I157" s="32">
        <f>Town_Team[[#This Row],[Item quantity]]*Town_Team[[#This Row],[Selling price]]</f>
        <v>2400</v>
      </c>
      <c r="J157" s="33">
        <f>IF(Town_Team[[#This Row],[Item name]]=" Jeans - Denim",Town_Team[[#This Row],[Item Amount]]*85%,Town_Team[[#This Row],[Item Amount]])</f>
        <v>2400</v>
      </c>
      <c r="K157" s="39" t="str">
        <f>TEXT(Town_Team[[#This Row],[Date ]],"dddd")</f>
        <v>Sunday</v>
      </c>
    </row>
    <row r="158" spans="2:11" hidden="1" x14ac:dyDescent="0.3">
      <c r="B158" s="20">
        <v>154</v>
      </c>
      <c r="C158" s="19">
        <v>43619</v>
      </c>
      <c r="D158" s="21" t="s">
        <v>9</v>
      </c>
      <c r="E158" s="21" t="s">
        <v>16</v>
      </c>
      <c r="F158" s="21" t="s">
        <v>17</v>
      </c>
      <c r="G158" s="22">
        <v>800</v>
      </c>
      <c r="H158" s="20">
        <v>1</v>
      </c>
      <c r="I158" s="32">
        <f>Town_Team[[#This Row],[Item quantity]]*Town_Team[[#This Row],[Selling price]]</f>
        <v>800</v>
      </c>
      <c r="J158" s="33">
        <f>IF(Town_Team[[#This Row],[Item name]]=" Jeans - Denim",Town_Team[[#This Row],[Item Amount]]*85%,Town_Team[[#This Row],[Item Amount]])</f>
        <v>800</v>
      </c>
      <c r="K158" s="39" t="str">
        <f>TEXT(Town_Team[[#This Row],[Date ]],"dddd")</f>
        <v>Monday</v>
      </c>
    </row>
    <row r="159" spans="2:11" hidden="1" x14ac:dyDescent="0.3">
      <c r="B159" s="20">
        <v>155</v>
      </c>
      <c r="C159" s="19">
        <v>43620</v>
      </c>
      <c r="D159" s="21" t="s">
        <v>9</v>
      </c>
      <c r="E159" s="21" t="s">
        <v>16</v>
      </c>
      <c r="F159" s="21" t="s">
        <v>17</v>
      </c>
      <c r="G159" s="22">
        <v>800</v>
      </c>
      <c r="H159" s="20">
        <v>1</v>
      </c>
      <c r="I159" s="32">
        <f>Town_Team[[#This Row],[Item quantity]]*Town_Team[[#This Row],[Selling price]]</f>
        <v>800</v>
      </c>
      <c r="J159" s="33">
        <f>IF(Town_Team[[#This Row],[Item name]]=" Jeans - Denim",Town_Team[[#This Row],[Item Amount]]*85%,Town_Team[[#This Row],[Item Amount]])</f>
        <v>800</v>
      </c>
      <c r="K159" s="39" t="str">
        <f>TEXT(Town_Team[[#This Row],[Date ]],"dddd")</f>
        <v>Tuesday</v>
      </c>
    </row>
    <row r="160" spans="2:11" hidden="1" x14ac:dyDescent="0.3">
      <c r="B160" s="20">
        <v>156</v>
      </c>
      <c r="C160" s="19">
        <v>43621</v>
      </c>
      <c r="D160" s="21" t="s">
        <v>9</v>
      </c>
      <c r="E160" s="21" t="s">
        <v>14</v>
      </c>
      <c r="F160" s="21" t="s">
        <v>11</v>
      </c>
      <c r="G160" s="22">
        <v>900</v>
      </c>
      <c r="H160" s="20">
        <v>1</v>
      </c>
      <c r="I160" s="32">
        <f>Town_Team[[#This Row],[Item quantity]]*Town_Team[[#This Row],[Selling price]]</f>
        <v>900</v>
      </c>
      <c r="J160" s="33">
        <f>IF(Town_Team[[#This Row],[Item name]]=" Jeans - Denim",Town_Team[[#This Row],[Item Amount]]*85%,Town_Team[[#This Row],[Item Amount]])</f>
        <v>900</v>
      </c>
      <c r="K160" s="39" t="str">
        <f>TEXT(Town_Team[[#This Row],[Date ]],"dddd")</f>
        <v>Wednesday</v>
      </c>
    </row>
    <row r="161" spans="2:11" hidden="1" x14ac:dyDescent="0.3">
      <c r="B161" s="20">
        <v>157</v>
      </c>
      <c r="C161" s="19">
        <v>43622</v>
      </c>
      <c r="D161" s="21" t="s">
        <v>9</v>
      </c>
      <c r="E161" s="21" t="s">
        <v>16</v>
      </c>
      <c r="F161" s="21" t="s">
        <v>17</v>
      </c>
      <c r="G161" s="22">
        <v>800</v>
      </c>
      <c r="H161" s="20">
        <v>1</v>
      </c>
      <c r="I161" s="32">
        <f>Town_Team[[#This Row],[Item quantity]]*Town_Team[[#This Row],[Selling price]]</f>
        <v>800</v>
      </c>
      <c r="J161" s="33">
        <f>IF(Town_Team[[#This Row],[Item name]]=" Jeans - Denim",Town_Team[[#This Row],[Item Amount]]*85%,Town_Team[[#This Row],[Item Amount]])</f>
        <v>800</v>
      </c>
      <c r="K161" s="39" t="str">
        <f>TEXT(Town_Team[[#This Row],[Date ]],"dddd")</f>
        <v>Thursday</v>
      </c>
    </row>
    <row r="162" spans="2:11" hidden="1" x14ac:dyDescent="0.3">
      <c r="B162" s="20">
        <v>158</v>
      </c>
      <c r="C162" s="19">
        <v>43623</v>
      </c>
      <c r="D162" s="21" t="s">
        <v>9</v>
      </c>
      <c r="E162" s="21" t="s">
        <v>18</v>
      </c>
      <c r="F162" s="21" t="s">
        <v>17</v>
      </c>
      <c r="G162" s="22">
        <v>600</v>
      </c>
      <c r="H162" s="20">
        <v>1</v>
      </c>
      <c r="I162" s="32">
        <f>Town_Team[[#This Row],[Item quantity]]*Town_Team[[#This Row],[Selling price]]</f>
        <v>600</v>
      </c>
      <c r="J162" s="33">
        <f>IF(Town_Team[[#This Row],[Item name]]=" Jeans - Denim",Town_Team[[#This Row],[Item Amount]]*85%,Town_Team[[#This Row],[Item Amount]])</f>
        <v>600</v>
      </c>
      <c r="K162" s="39" t="str">
        <f>TEXT(Town_Team[[#This Row],[Date ]],"dddd")</f>
        <v>Friday</v>
      </c>
    </row>
    <row r="163" spans="2:11" hidden="1" x14ac:dyDescent="0.3">
      <c r="B163" s="20">
        <v>159</v>
      </c>
      <c r="C163" s="19">
        <v>43624</v>
      </c>
      <c r="D163" s="21" t="s">
        <v>9</v>
      </c>
      <c r="E163" s="21" t="s">
        <v>12</v>
      </c>
      <c r="F163" s="21" t="s">
        <v>11</v>
      </c>
      <c r="G163" s="22">
        <v>900</v>
      </c>
      <c r="H163" s="20">
        <v>3</v>
      </c>
      <c r="I163" s="32">
        <f>Town_Team[[#This Row],[Item quantity]]*Town_Team[[#This Row],[Selling price]]</f>
        <v>2700</v>
      </c>
      <c r="J163" s="33">
        <f>IF(Town_Team[[#This Row],[Item name]]=" Jeans - Denim",Town_Team[[#This Row],[Item Amount]]*85%,Town_Team[[#This Row],[Item Amount]])</f>
        <v>2295</v>
      </c>
      <c r="K163" s="39" t="str">
        <f>TEXT(Town_Team[[#This Row],[Date ]],"dddd")</f>
        <v>Saturday</v>
      </c>
    </row>
    <row r="164" spans="2:11" hidden="1" x14ac:dyDescent="0.3">
      <c r="B164" s="20">
        <v>160</v>
      </c>
      <c r="C164" s="19">
        <v>43625</v>
      </c>
      <c r="D164" s="21" t="s">
        <v>9</v>
      </c>
      <c r="E164" s="21" t="s">
        <v>18</v>
      </c>
      <c r="F164" s="21" t="s">
        <v>17</v>
      </c>
      <c r="G164" s="22">
        <v>600</v>
      </c>
      <c r="H164" s="20">
        <v>1</v>
      </c>
      <c r="I164" s="32">
        <f>Town_Team[[#This Row],[Item quantity]]*Town_Team[[#This Row],[Selling price]]</f>
        <v>600</v>
      </c>
      <c r="J164" s="33">
        <f>IF(Town_Team[[#This Row],[Item name]]=" Jeans - Denim",Town_Team[[#This Row],[Item Amount]]*85%,Town_Team[[#This Row],[Item Amount]])</f>
        <v>600</v>
      </c>
      <c r="K164" s="39" t="str">
        <f>TEXT(Town_Team[[#This Row],[Date ]],"dddd")</f>
        <v>Sunday</v>
      </c>
    </row>
    <row r="165" spans="2:11" hidden="1" x14ac:dyDescent="0.3">
      <c r="B165" s="20">
        <v>161</v>
      </c>
      <c r="C165" s="19">
        <v>43626</v>
      </c>
      <c r="D165" s="21" t="s">
        <v>9</v>
      </c>
      <c r="E165" s="21" t="s">
        <v>16</v>
      </c>
      <c r="F165" s="21" t="s">
        <v>17</v>
      </c>
      <c r="G165" s="22">
        <v>800</v>
      </c>
      <c r="H165" s="20">
        <v>1</v>
      </c>
      <c r="I165" s="32">
        <f>Town_Team[[#This Row],[Item quantity]]*Town_Team[[#This Row],[Selling price]]</f>
        <v>800</v>
      </c>
      <c r="J165" s="33">
        <f>IF(Town_Team[[#This Row],[Item name]]=" Jeans - Denim",Town_Team[[#This Row],[Item Amount]]*85%,Town_Team[[#This Row],[Item Amount]])</f>
        <v>800</v>
      </c>
      <c r="K165" s="39" t="str">
        <f>TEXT(Town_Team[[#This Row],[Date ]],"dddd")</f>
        <v>Monday</v>
      </c>
    </row>
    <row r="166" spans="2:11" hidden="1" x14ac:dyDescent="0.3">
      <c r="B166" s="20">
        <v>162</v>
      </c>
      <c r="C166" s="19">
        <v>43627</v>
      </c>
      <c r="D166" s="21" t="s">
        <v>9</v>
      </c>
      <c r="E166" s="21" t="s">
        <v>18</v>
      </c>
      <c r="F166" s="21" t="s">
        <v>17</v>
      </c>
      <c r="G166" s="22">
        <v>600</v>
      </c>
      <c r="H166" s="20">
        <v>1</v>
      </c>
      <c r="I166" s="32">
        <f>Town_Team[[#This Row],[Item quantity]]*Town_Team[[#This Row],[Selling price]]</f>
        <v>600</v>
      </c>
      <c r="J166" s="33">
        <f>IF(Town_Team[[#This Row],[Item name]]=" Jeans - Denim",Town_Team[[#This Row],[Item Amount]]*85%,Town_Team[[#This Row],[Item Amount]])</f>
        <v>600</v>
      </c>
      <c r="K166" s="39" t="str">
        <f>TEXT(Town_Team[[#This Row],[Date ]],"dddd")</f>
        <v>Tuesday</v>
      </c>
    </row>
    <row r="167" spans="2:11" hidden="1" x14ac:dyDescent="0.3">
      <c r="B167" s="20">
        <v>163</v>
      </c>
      <c r="C167" s="19">
        <v>43628</v>
      </c>
      <c r="D167" s="21" t="s">
        <v>9</v>
      </c>
      <c r="E167" s="21" t="s">
        <v>10</v>
      </c>
      <c r="F167" s="21" t="s">
        <v>11</v>
      </c>
      <c r="G167" s="22">
        <v>1100</v>
      </c>
      <c r="H167" s="20">
        <v>1</v>
      </c>
      <c r="I167" s="32">
        <f>Town_Team[[#This Row],[Item quantity]]*Town_Team[[#This Row],[Selling price]]</f>
        <v>1100</v>
      </c>
      <c r="J167" s="33">
        <f>IF(Town_Team[[#This Row],[Item name]]=" Jeans - Denim",Town_Team[[#This Row],[Item Amount]]*85%,Town_Team[[#This Row],[Item Amount]])</f>
        <v>1100</v>
      </c>
      <c r="K167" s="39" t="str">
        <f>TEXT(Town_Team[[#This Row],[Date ]],"dddd")</f>
        <v>Wednesday</v>
      </c>
    </row>
    <row r="168" spans="2:11" hidden="1" x14ac:dyDescent="0.3">
      <c r="B168" s="20">
        <v>164</v>
      </c>
      <c r="C168" s="19">
        <v>43629</v>
      </c>
      <c r="D168" s="21" t="s">
        <v>9</v>
      </c>
      <c r="E168" s="21" t="s">
        <v>14</v>
      </c>
      <c r="F168" s="21" t="s">
        <v>11</v>
      </c>
      <c r="G168" s="22">
        <v>900</v>
      </c>
      <c r="H168" s="20">
        <v>1</v>
      </c>
      <c r="I168" s="32">
        <f>Town_Team[[#This Row],[Item quantity]]*Town_Team[[#This Row],[Selling price]]</f>
        <v>900</v>
      </c>
      <c r="J168" s="33">
        <f>IF(Town_Team[[#This Row],[Item name]]=" Jeans - Denim",Town_Team[[#This Row],[Item Amount]]*85%,Town_Team[[#This Row],[Item Amount]])</f>
        <v>900</v>
      </c>
      <c r="K168" s="39" t="str">
        <f>TEXT(Town_Team[[#This Row],[Date ]],"dddd")</f>
        <v>Thursday</v>
      </c>
    </row>
    <row r="169" spans="2:11" hidden="1" x14ac:dyDescent="0.3">
      <c r="B169" s="20">
        <v>165</v>
      </c>
      <c r="C169" s="19">
        <v>43630</v>
      </c>
      <c r="D169" s="21" t="s">
        <v>9</v>
      </c>
      <c r="E169" s="21" t="s">
        <v>10</v>
      </c>
      <c r="F169" s="21" t="s">
        <v>11</v>
      </c>
      <c r="G169" s="22">
        <v>1100</v>
      </c>
      <c r="H169" s="20">
        <v>1</v>
      </c>
      <c r="I169" s="32">
        <f>Town_Team[[#This Row],[Item quantity]]*Town_Team[[#This Row],[Selling price]]</f>
        <v>1100</v>
      </c>
      <c r="J169" s="33">
        <f>IF(Town_Team[[#This Row],[Item name]]=" Jeans - Denim",Town_Team[[#This Row],[Item Amount]]*85%,Town_Team[[#This Row],[Item Amount]])</f>
        <v>1100</v>
      </c>
      <c r="K169" s="39" t="str">
        <f>TEXT(Town_Team[[#This Row],[Date ]],"dddd")</f>
        <v>Friday</v>
      </c>
    </row>
    <row r="170" spans="2:11" hidden="1" x14ac:dyDescent="0.3">
      <c r="B170" s="20">
        <v>166</v>
      </c>
      <c r="C170" s="19">
        <v>43631</v>
      </c>
      <c r="D170" s="21" t="s">
        <v>9</v>
      </c>
      <c r="E170" s="21" t="s">
        <v>10</v>
      </c>
      <c r="F170" s="21" t="s">
        <v>11</v>
      </c>
      <c r="G170" s="22">
        <v>1100</v>
      </c>
      <c r="H170" s="20">
        <v>1</v>
      </c>
      <c r="I170" s="32">
        <f>Town_Team[[#This Row],[Item quantity]]*Town_Team[[#This Row],[Selling price]]</f>
        <v>1100</v>
      </c>
      <c r="J170" s="33">
        <f>IF(Town_Team[[#This Row],[Item name]]=" Jeans - Denim",Town_Team[[#This Row],[Item Amount]]*85%,Town_Team[[#This Row],[Item Amount]])</f>
        <v>1100</v>
      </c>
      <c r="K170" s="39" t="str">
        <f>TEXT(Town_Team[[#This Row],[Date ]],"dddd")</f>
        <v>Saturday</v>
      </c>
    </row>
    <row r="171" spans="2:11" hidden="1" x14ac:dyDescent="0.3">
      <c r="B171" s="20">
        <v>167</v>
      </c>
      <c r="C171" s="19">
        <v>43632</v>
      </c>
      <c r="D171" s="21" t="s">
        <v>9</v>
      </c>
      <c r="E171" s="21" t="s">
        <v>21</v>
      </c>
      <c r="F171" s="21" t="s">
        <v>20</v>
      </c>
      <c r="G171" s="22">
        <v>1200</v>
      </c>
      <c r="H171" s="20">
        <v>1</v>
      </c>
      <c r="I171" s="32">
        <f>Town_Team[[#This Row],[Item quantity]]*Town_Team[[#This Row],[Selling price]]</f>
        <v>1200</v>
      </c>
      <c r="J171" s="33">
        <f>IF(Town_Team[[#This Row],[Item name]]=" Jeans - Denim",Town_Team[[#This Row],[Item Amount]]*85%,Town_Team[[#This Row],[Item Amount]])</f>
        <v>1200</v>
      </c>
      <c r="K171" s="39" t="str">
        <f>TEXT(Town_Team[[#This Row],[Date ]],"dddd")</f>
        <v>Sunday</v>
      </c>
    </row>
    <row r="172" spans="2:11" hidden="1" x14ac:dyDescent="0.3">
      <c r="B172" s="20">
        <v>168</v>
      </c>
      <c r="C172" s="19">
        <v>43633</v>
      </c>
      <c r="D172" s="21" t="s">
        <v>9</v>
      </c>
      <c r="E172" s="21" t="s">
        <v>21</v>
      </c>
      <c r="F172" s="21" t="s">
        <v>20</v>
      </c>
      <c r="G172" s="22">
        <v>1200</v>
      </c>
      <c r="H172" s="20">
        <v>1</v>
      </c>
      <c r="I172" s="32">
        <f>Town_Team[[#This Row],[Item quantity]]*Town_Team[[#This Row],[Selling price]]</f>
        <v>1200</v>
      </c>
      <c r="J172" s="33">
        <f>IF(Town_Team[[#This Row],[Item name]]=" Jeans - Denim",Town_Team[[#This Row],[Item Amount]]*85%,Town_Team[[#This Row],[Item Amount]])</f>
        <v>1200</v>
      </c>
      <c r="K172" s="39" t="str">
        <f>TEXT(Town_Team[[#This Row],[Date ]],"dddd")</f>
        <v>Monday</v>
      </c>
    </row>
    <row r="173" spans="2:11" hidden="1" x14ac:dyDescent="0.3">
      <c r="B173" s="20">
        <v>169</v>
      </c>
      <c r="C173" s="19">
        <v>43634</v>
      </c>
      <c r="D173" s="21" t="s">
        <v>9</v>
      </c>
      <c r="E173" s="21" t="s">
        <v>10</v>
      </c>
      <c r="F173" s="21" t="s">
        <v>11</v>
      </c>
      <c r="G173" s="22">
        <v>1100</v>
      </c>
      <c r="H173" s="20">
        <v>1</v>
      </c>
      <c r="I173" s="32">
        <f>Town_Team[[#This Row],[Item quantity]]*Town_Team[[#This Row],[Selling price]]</f>
        <v>1100</v>
      </c>
      <c r="J173" s="33">
        <f>IF(Town_Team[[#This Row],[Item name]]=" Jeans - Denim",Town_Team[[#This Row],[Item Amount]]*85%,Town_Team[[#This Row],[Item Amount]])</f>
        <v>1100</v>
      </c>
      <c r="K173" s="39" t="str">
        <f>TEXT(Town_Team[[#This Row],[Date ]],"dddd")</f>
        <v>Tuesday</v>
      </c>
    </row>
    <row r="174" spans="2:11" hidden="1" x14ac:dyDescent="0.3">
      <c r="B174" s="20">
        <v>170</v>
      </c>
      <c r="C174" s="19">
        <v>43635</v>
      </c>
      <c r="D174" s="21" t="s">
        <v>9</v>
      </c>
      <c r="E174" s="21" t="s">
        <v>10</v>
      </c>
      <c r="F174" s="21" t="s">
        <v>11</v>
      </c>
      <c r="G174" s="22">
        <v>1100</v>
      </c>
      <c r="H174" s="20">
        <v>1</v>
      </c>
      <c r="I174" s="32">
        <f>Town_Team[[#This Row],[Item quantity]]*Town_Team[[#This Row],[Selling price]]</f>
        <v>1100</v>
      </c>
      <c r="J174" s="33">
        <f>IF(Town_Team[[#This Row],[Item name]]=" Jeans - Denim",Town_Team[[#This Row],[Item Amount]]*85%,Town_Team[[#This Row],[Item Amount]])</f>
        <v>1100</v>
      </c>
      <c r="K174" s="39" t="str">
        <f>TEXT(Town_Team[[#This Row],[Date ]],"dddd")</f>
        <v>Wednesday</v>
      </c>
    </row>
    <row r="175" spans="2:11" hidden="1" x14ac:dyDescent="0.3">
      <c r="B175" s="20">
        <v>171</v>
      </c>
      <c r="C175" s="19">
        <v>43636</v>
      </c>
      <c r="D175" s="21" t="s">
        <v>9</v>
      </c>
      <c r="E175" s="21" t="s">
        <v>22</v>
      </c>
      <c r="F175" s="21" t="s">
        <v>23</v>
      </c>
      <c r="G175" s="22">
        <v>900</v>
      </c>
      <c r="H175" s="20">
        <v>1</v>
      </c>
      <c r="I175" s="32">
        <f>Town_Team[[#This Row],[Item quantity]]*Town_Team[[#This Row],[Selling price]]</f>
        <v>900</v>
      </c>
      <c r="J175" s="33">
        <f>IF(Town_Team[[#This Row],[Item name]]=" Jeans - Denim",Town_Team[[#This Row],[Item Amount]]*85%,Town_Team[[#This Row],[Item Amount]])</f>
        <v>900</v>
      </c>
      <c r="K175" s="39" t="str">
        <f>TEXT(Town_Team[[#This Row],[Date ]],"dddd")</f>
        <v>Thursday</v>
      </c>
    </row>
    <row r="176" spans="2:11" hidden="1" x14ac:dyDescent="0.3">
      <c r="B176" s="20">
        <v>172</v>
      </c>
      <c r="C176" s="19">
        <v>43637</v>
      </c>
      <c r="D176" s="21" t="s">
        <v>9</v>
      </c>
      <c r="E176" s="21" t="s">
        <v>14</v>
      </c>
      <c r="F176" s="21" t="s">
        <v>11</v>
      </c>
      <c r="G176" s="22">
        <v>900</v>
      </c>
      <c r="H176" s="20">
        <v>1</v>
      </c>
      <c r="I176" s="32">
        <f>Town_Team[[#This Row],[Item quantity]]*Town_Team[[#This Row],[Selling price]]</f>
        <v>900</v>
      </c>
      <c r="J176" s="33">
        <f>IF(Town_Team[[#This Row],[Item name]]=" Jeans - Denim",Town_Team[[#This Row],[Item Amount]]*85%,Town_Team[[#This Row],[Item Amount]])</f>
        <v>900</v>
      </c>
      <c r="K176" s="39" t="str">
        <f>TEXT(Town_Team[[#This Row],[Date ]],"dddd")</f>
        <v>Friday</v>
      </c>
    </row>
    <row r="177" spans="2:11" hidden="1" x14ac:dyDescent="0.3">
      <c r="B177" s="20">
        <v>173</v>
      </c>
      <c r="C177" s="19">
        <v>43638</v>
      </c>
      <c r="D177" s="21" t="s">
        <v>9</v>
      </c>
      <c r="E177" s="21" t="s">
        <v>22</v>
      </c>
      <c r="F177" s="21" t="s">
        <v>23</v>
      </c>
      <c r="G177" s="22">
        <v>800</v>
      </c>
      <c r="H177" s="20">
        <v>1</v>
      </c>
      <c r="I177" s="32">
        <f>Town_Team[[#This Row],[Item quantity]]*Town_Team[[#This Row],[Selling price]]</f>
        <v>800</v>
      </c>
      <c r="J177" s="33">
        <f>IF(Town_Team[[#This Row],[Item name]]=" Jeans - Denim",Town_Team[[#This Row],[Item Amount]]*85%,Town_Team[[#This Row],[Item Amount]])</f>
        <v>800</v>
      </c>
      <c r="K177" s="39" t="str">
        <f>TEXT(Town_Team[[#This Row],[Date ]],"dddd")</f>
        <v>Saturday</v>
      </c>
    </row>
    <row r="178" spans="2:11" hidden="1" x14ac:dyDescent="0.3">
      <c r="B178" s="20">
        <v>174</v>
      </c>
      <c r="C178" s="19">
        <v>43639</v>
      </c>
      <c r="D178" s="21" t="s">
        <v>9</v>
      </c>
      <c r="E178" s="21" t="s">
        <v>18</v>
      </c>
      <c r="F178" s="21" t="s">
        <v>17</v>
      </c>
      <c r="G178" s="22">
        <v>600</v>
      </c>
      <c r="H178" s="20">
        <v>1</v>
      </c>
      <c r="I178" s="32">
        <f>Town_Team[[#This Row],[Item quantity]]*Town_Team[[#This Row],[Selling price]]</f>
        <v>600</v>
      </c>
      <c r="J178" s="33">
        <f>IF(Town_Team[[#This Row],[Item name]]=" Jeans - Denim",Town_Team[[#This Row],[Item Amount]]*85%,Town_Team[[#This Row],[Item Amount]])</f>
        <v>600</v>
      </c>
      <c r="K178" s="39" t="str">
        <f>TEXT(Town_Team[[#This Row],[Date ]],"dddd")</f>
        <v>Sunday</v>
      </c>
    </row>
    <row r="179" spans="2:11" hidden="1" x14ac:dyDescent="0.3">
      <c r="B179" s="20">
        <v>175</v>
      </c>
      <c r="C179" s="19">
        <v>43640</v>
      </c>
      <c r="D179" s="21" t="s">
        <v>9</v>
      </c>
      <c r="E179" s="21" t="s">
        <v>22</v>
      </c>
      <c r="F179" s="21" t="s">
        <v>23</v>
      </c>
      <c r="G179" s="22">
        <v>800</v>
      </c>
      <c r="H179" s="20">
        <v>1</v>
      </c>
      <c r="I179" s="32">
        <f>Town_Team[[#This Row],[Item quantity]]*Town_Team[[#This Row],[Selling price]]</f>
        <v>800</v>
      </c>
      <c r="J179" s="33">
        <f>IF(Town_Team[[#This Row],[Item name]]=" Jeans - Denim",Town_Team[[#This Row],[Item Amount]]*85%,Town_Team[[#This Row],[Item Amount]])</f>
        <v>800</v>
      </c>
      <c r="K179" s="39" t="str">
        <f>TEXT(Town_Team[[#This Row],[Date ]],"dddd")</f>
        <v>Monday</v>
      </c>
    </row>
    <row r="180" spans="2:11" hidden="1" x14ac:dyDescent="0.3">
      <c r="B180" s="20">
        <v>176</v>
      </c>
      <c r="C180" s="19">
        <v>43641</v>
      </c>
      <c r="D180" s="21" t="s">
        <v>9</v>
      </c>
      <c r="E180" s="21" t="s">
        <v>14</v>
      </c>
      <c r="F180" s="21" t="s">
        <v>11</v>
      </c>
      <c r="G180" s="22">
        <v>900</v>
      </c>
      <c r="H180" s="20">
        <v>1</v>
      </c>
      <c r="I180" s="32">
        <f>Town_Team[[#This Row],[Item quantity]]*Town_Team[[#This Row],[Selling price]]</f>
        <v>900</v>
      </c>
      <c r="J180" s="33">
        <f>IF(Town_Team[[#This Row],[Item name]]=" Jeans - Denim",Town_Team[[#This Row],[Item Amount]]*85%,Town_Team[[#This Row],[Item Amount]])</f>
        <v>900</v>
      </c>
      <c r="K180" s="39" t="str">
        <f>TEXT(Town_Team[[#This Row],[Date ]],"dddd")</f>
        <v>Tuesday</v>
      </c>
    </row>
    <row r="181" spans="2:11" hidden="1" x14ac:dyDescent="0.3">
      <c r="B181" s="20">
        <v>177</v>
      </c>
      <c r="C181" s="19">
        <v>43642</v>
      </c>
      <c r="D181" s="21" t="s">
        <v>9</v>
      </c>
      <c r="E181" s="21" t="s">
        <v>21</v>
      </c>
      <c r="F181" s="21" t="s">
        <v>20</v>
      </c>
      <c r="G181" s="22">
        <v>1200</v>
      </c>
      <c r="H181" s="20">
        <v>1</v>
      </c>
      <c r="I181" s="32">
        <f>Town_Team[[#This Row],[Item quantity]]*Town_Team[[#This Row],[Selling price]]</f>
        <v>1200</v>
      </c>
      <c r="J181" s="33">
        <f>IF(Town_Team[[#This Row],[Item name]]=" Jeans - Denim",Town_Team[[#This Row],[Item Amount]]*85%,Town_Team[[#This Row],[Item Amount]])</f>
        <v>1200</v>
      </c>
      <c r="K181" s="39" t="str">
        <f>TEXT(Town_Team[[#This Row],[Date ]],"dddd")</f>
        <v>Wednesday</v>
      </c>
    </row>
    <row r="182" spans="2:11" hidden="1" x14ac:dyDescent="0.3">
      <c r="B182" s="20">
        <v>178</v>
      </c>
      <c r="C182" s="19">
        <v>43643</v>
      </c>
      <c r="D182" s="21" t="s">
        <v>9</v>
      </c>
      <c r="E182" s="21" t="s">
        <v>22</v>
      </c>
      <c r="F182" s="21" t="s">
        <v>23</v>
      </c>
      <c r="G182" s="22">
        <v>800</v>
      </c>
      <c r="H182" s="20">
        <v>1</v>
      </c>
      <c r="I182" s="32">
        <f>Town_Team[[#This Row],[Item quantity]]*Town_Team[[#This Row],[Selling price]]</f>
        <v>800</v>
      </c>
      <c r="J182" s="33">
        <f>IF(Town_Team[[#This Row],[Item name]]=" Jeans - Denim",Town_Team[[#This Row],[Item Amount]]*85%,Town_Team[[#This Row],[Item Amount]])</f>
        <v>800</v>
      </c>
      <c r="K182" s="39" t="str">
        <f>TEXT(Town_Team[[#This Row],[Date ]],"dddd")</f>
        <v>Thursday</v>
      </c>
    </row>
    <row r="183" spans="2:11" hidden="1" x14ac:dyDescent="0.3">
      <c r="B183" s="20">
        <v>179</v>
      </c>
      <c r="C183" s="19">
        <v>43644</v>
      </c>
      <c r="D183" s="21" t="s">
        <v>9</v>
      </c>
      <c r="E183" s="21" t="s">
        <v>12</v>
      </c>
      <c r="F183" s="21" t="s">
        <v>11</v>
      </c>
      <c r="G183" s="22">
        <v>900</v>
      </c>
      <c r="H183" s="20">
        <v>1</v>
      </c>
      <c r="I183" s="32">
        <f>Town_Team[[#This Row],[Item quantity]]*Town_Team[[#This Row],[Selling price]]</f>
        <v>900</v>
      </c>
      <c r="J183" s="33">
        <f>IF(Town_Team[[#This Row],[Item name]]=" Jeans - Denim",Town_Team[[#This Row],[Item Amount]]*85%,Town_Team[[#This Row],[Item Amount]])</f>
        <v>765</v>
      </c>
      <c r="K183" s="39" t="str">
        <f>TEXT(Town_Team[[#This Row],[Date ]],"dddd")</f>
        <v>Friday</v>
      </c>
    </row>
    <row r="184" spans="2:11" hidden="1" x14ac:dyDescent="0.3">
      <c r="B184" s="20">
        <v>180</v>
      </c>
      <c r="C184" s="19">
        <v>43645</v>
      </c>
      <c r="D184" s="21" t="s">
        <v>9</v>
      </c>
      <c r="E184" s="21" t="s">
        <v>21</v>
      </c>
      <c r="F184" s="21" t="s">
        <v>20</v>
      </c>
      <c r="G184" s="22">
        <v>1200</v>
      </c>
      <c r="H184" s="20">
        <v>1</v>
      </c>
      <c r="I184" s="32">
        <f>Town_Team[[#This Row],[Item quantity]]*Town_Team[[#This Row],[Selling price]]</f>
        <v>1200</v>
      </c>
      <c r="J184" s="33">
        <f>IF(Town_Team[[#This Row],[Item name]]=" Jeans - Denim",Town_Team[[#This Row],[Item Amount]]*85%,Town_Team[[#This Row],[Item Amount]])</f>
        <v>1200</v>
      </c>
      <c r="K184" s="39" t="str">
        <f>TEXT(Town_Team[[#This Row],[Date ]],"dddd")</f>
        <v>Saturday</v>
      </c>
    </row>
    <row r="185" spans="2:11" hidden="1" x14ac:dyDescent="0.3">
      <c r="B185" s="20">
        <v>181</v>
      </c>
      <c r="C185" s="19">
        <v>43646</v>
      </c>
      <c r="D185" s="21" t="s">
        <v>9</v>
      </c>
      <c r="E185" s="21" t="s">
        <v>10</v>
      </c>
      <c r="F185" s="21" t="s">
        <v>11</v>
      </c>
      <c r="G185" s="22">
        <v>1100</v>
      </c>
      <c r="H185" s="20">
        <v>1</v>
      </c>
      <c r="I185" s="32">
        <f>Town_Team[[#This Row],[Item quantity]]*Town_Team[[#This Row],[Selling price]]</f>
        <v>1100</v>
      </c>
      <c r="J185" s="33">
        <f>IF(Town_Team[[#This Row],[Item name]]=" Jeans - Denim",Town_Team[[#This Row],[Item Amount]]*85%,Town_Team[[#This Row],[Item Amount]])</f>
        <v>1100</v>
      </c>
      <c r="K185" s="39" t="str">
        <f>TEXT(Town_Team[[#This Row],[Date ]],"dddd")</f>
        <v>Sunday</v>
      </c>
    </row>
    <row r="186" spans="2:11" hidden="1" x14ac:dyDescent="0.3">
      <c r="B186" s="20">
        <v>182</v>
      </c>
      <c r="C186" s="19">
        <v>43647</v>
      </c>
      <c r="D186" s="21" t="s">
        <v>9</v>
      </c>
      <c r="E186" s="21" t="s">
        <v>21</v>
      </c>
      <c r="F186" s="21" t="s">
        <v>20</v>
      </c>
      <c r="G186" s="22">
        <v>1200</v>
      </c>
      <c r="H186" s="20">
        <v>1</v>
      </c>
      <c r="I186" s="32">
        <f>Town_Team[[#This Row],[Item quantity]]*Town_Team[[#This Row],[Selling price]]</f>
        <v>1200</v>
      </c>
      <c r="J186" s="33">
        <f>IF(Town_Team[[#This Row],[Item name]]=" Jeans - Denim",Town_Team[[#This Row],[Item Amount]]*85%,Town_Team[[#This Row],[Item Amount]])</f>
        <v>1200</v>
      </c>
      <c r="K186" s="39" t="str">
        <f>TEXT(Town_Team[[#This Row],[Date ]],"dddd")</f>
        <v>Monday</v>
      </c>
    </row>
    <row r="187" spans="2:11" hidden="1" x14ac:dyDescent="0.3">
      <c r="B187" s="20">
        <v>183</v>
      </c>
      <c r="C187" s="19">
        <v>43648</v>
      </c>
      <c r="D187" s="21" t="s">
        <v>9</v>
      </c>
      <c r="E187" s="21" t="s">
        <v>14</v>
      </c>
      <c r="F187" s="21" t="s">
        <v>11</v>
      </c>
      <c r="G187" s="22">
        <v>900</v>
      </c>
      <c r="H187" s="20">
        <v>1</v>
      </c>
      <c r="I187" s="32">
        <f>Town_Team[[#This Row],[Item quantity]]*Town_Team[[#This Row],[Selling price]]</f>
        <v>900</v>
      </c>
      <c r="J187" s="33">
        <f>IF(Town_Team[[#This Row],[Item name]]=" Jeans - Denim",Town_Team[[#This Row],[Item Amount]]*85%,Town_Team[[#This Row],[Item Amount]])</f>
        <v>900</v>
      </c>
      <c r="K187" s="39" t="str">
        <f>TEXT(Town_Team[[#This Row],[Date ]],"dddd")</f>
        <v>Tuesday</v>
      </c>
    </row>
    <row r="188" spans="2:11" hidden="1" x14ac:dyDescent="0.3">
      <c r="B188" s="20">
        <v>184</v>
      </c>
      <c r="C188" s="19">
        <v>43649</v>
      </c>
      <c r="D188" s="21" t="s">
        <v>9</v>
      </c>
      <c r="E188" s="21" t="s">
        <v>10</v>
      </c>
      <c r="F188" s="21" t="s">
        <v>11</v>
      </c>
      <c r="G188" s="22">
        <v>1100</v>
      </c>
      <c r="H188" s="20">
        <v>2</v>
      </c>
      <c r="I188" s="32">
        <f>Town_Team[[#This Row],[Item quantity]]*Town_Team[[#This Row],[Selling price]]</f>
        <v>2200</v>
      </c>
      <c r="J188" s="33">
        <f>IF(Town_Team[[#This Row],[Item name]]=" Jeans - Denim",Town_Team[[#This Row],[Item Amount]]*85%,Town_Team[[#This Row],[Item Amount]])</f>
        <v>2200</v>
      </c>
      <c r="K188" s="39" t="str">
        <f>TEXT(Town_Team[[#This Row],[Date ]],"dddd")</f>
        <v>Wednesday</v>
      </c>
    </row>
    <row r="189" spans="2:11" hidden="1" x14ac:dyDescent="0.3">
      <c r="B189" s="20">
        <v>185</v>
      </c>
      <c r="C189" s="19">
        <v>43650</v>
      </c>
      <c r="D189" s="21" t="s">
        <v>9</v>
      </c>
      <c r="E189" s="21" t="s">
        <v>21</v>
      </c>
      <c r="F189" s="21" t="s">
        <v>20</v>
      </c>
      <c r="G189" s="22">
        <v>1200</v>
      </c>
      <c r="H189" s="20">
        <v>1</v>
      </c>
      <c r="I189" s="32">
        <f>Town_Team[[#This Row],[Item quantity]]*Town_Team[[#This Row],[Selling price]]</f>
        <v>1200</v>
      </c>
      <c r="J189" s="33">
        <f>IF(Town_Team[[#This Row],[Item name]]=" Jeans - Denim",Town_Team[[#This Row],[Item Amount]]*85%,Town_Team[[#This Row],[Item Amount]])</f>
        <v>1200</v>
      </c>
      <c r="K189" s="39" t="str">
        <f>TEXT(Town_Team[[#This Row],[Date ]],"dddd")</f>
        <v>Thursday</v>
      </c>
    </row>
    <row r="190" spans="2:11" hidden="1" x14ac:dyDescent="0.3">
      <c r="B190" s="20">
        <v>186</v>
      </c>
      <c r="C190" s="19">
        <v>43651</v>
      </c>
      <c r="D190" s="21" t="s">
        <v>9</v>
      </c>
      <c r="E190" s="21" t="s">
        <v>10</v>
      </c>
      <c r="F190" s="21" t="s">
        <v>11</v>
      </c>
      <c r="G190" s="22">
        <v>1100</v>
      </c>
      <c r="H190" s="20">
        <v>1</v>
      </c>
      <c r="I190" s="32">
        <f>Town_Team[[#This Row],[Item quantity]]*Town_Team[[#This Row],[Selling price]]</f>
        <v>1100</v>
      </c>
      <c r="J190" s="33">
        <f>IF(Town_Team[[#This Row],[Item name]]=" Jeans - Denim",Town_Team[[#This Row],[Item Amount]]*85%,Town_Team[[#This Row],[Item Amount]])</f>
        <v>1100</v>
      </c>
      <c r="K190" s="39" t="str">
        <f>TEXT(Town_Team[[#This Row],[Date ]],"dddd")</f>
        <v>Friday</v>
      </c>
    </row>
    <row r="191" spans="2:11" hidden="1" x14ac:dyDescent="0.3">
      <c r="B191" s="20">
        <v>187</v>
      </c>
      <c r="C191" s="19">
        <v>43652</v>
      </c>
      <c r="D191" s="21" t="s">
        <v>9</v>
      </c>
      <c r="E191" s="21" t="s">
        <v>12</v>
      </c>
      <c r="F191" s="21" t="s">
        <v>11</v>
      </c>
      <c r="G191" s="22">
        <v>900</v>
      </c>
      <c r="H191" s="20">
        <v>1</v>
      </c>
      <c r="I191" s="32">
        <f>Town_Team[[#This Row],[Item quantity]]*Town_Team[[#This Row],[Selling price]]</f>
        <v>900</v>
      </c>
      <c r="J191" s="33">
        <f>IF(Town_Team[[#This Row],[Item name]]=" Jeans - Denim",Town_Team[[#This Row],[Item Amount]]*85%,Town_Team[[#This Row],[Item Amount]])</f>
        <v>765</v>
      </c>
      <c r="K191" s="39" t="str">
        <f>TEXT(Town_Team[[#This Row],[Date ]],"dddd")</f>
        <v>Saturday</v>
      </c>
    </row>
    <row r="192" spans="2:11" hidden="1" x14ac:dyDescent="0.3">
      <c r="B192" s="20">
        <v>188</v>
      </c>
      <c r="C192" s="19">
        <v>43653</v>
      </c>
      <c r="D192" s="21" t="s">
        <v>9</v>
      </c>
      <c r="E192" s="21" t="s">
        <v>18</v>
      </c>
      <c r="F192" s="21" t="s">
        <v>17</v>
      </c>
      <c r="G192" s="22">
        <v>600</v>
      </c>
      <c r="H192" s="20">
        <v>1</v>
      </c>
      <c r="I192" s="32">
        <f>Town_Team[[#This Row],[Item quantity]]*Town_Team[[#This Row],[Selling price]]</f>
        <v>600</v>
      </c>
      <c r="J192" s="33">
        <f>IF(Town_Team[[#This Row],[Item name]]=" Jeans - Denim",Town_Team[[#This Row],[Item Amount]]*85%,Town_Team[[#This Row],[Item Amount]])</f>
        <v>600</v>
      </c>
      <c r="K192" s="39" t="str">
        <f>TEXT(Town_Team[[#This Row],[Date ]],"dddd")</f>
        <v>Sunday</v>
      </c>
    </row>
    <row r="193" spans="2:11" hidden="1" x14ac:dyDescent="0.3">
      <c r="B193" s="20">
        <v>189</v>
      </c>
      <c r="C193" s="19">
        <v>43654</v>
      </c>
      <c r="D193" s="21" t="s">
        <v>9</v>
      </c>
      <c r="E193" s="21" t="s">
        <v>22</v>
      </c>
      <c r="F193" s="21" t="s">
        <v>23</v>
      </c>
      <c r="G193" s="22">
        <v>900</v>
      </c>
      <c r="H193" s="20">
        <v>1</v>
      </c>
      <c r="I193" s="32">
        <f>Town_Team[[#This Row],[Item quantity]]*Town_Team[[#This Row],[Selling price]]</f>
        <v>900</v>
      </c>
      <c r="J193" s="33">
        <f>IF(Town_Team[[#This Row],[Item name]]=" Jeans - Denim",Town_Team[[#This Row],[Item Amount]]*85%,Town_Team[[#This Row],[Item Amount]])</f>
        <v>900</v>
      </c>
      <c r="K193" s="39" t="str">
        <f>TEXT(Town_Team[[#This Row],[Date ]],"dddd")</f>
        <v>Monday</v>
      </c>
    </row>
    <row r="194" spans="2:11" hidden="1" x14ac:dyDescent="0.3">
      <c r="B194" s="20">
        <v>190</v>
      </c>
      <c r="C194" s="19">
        <v>43655</v>
      </c>
      <c r="D194" s="21" t="s">
        <v>9</v>
      </c>
      <c r="E194" s="21" t="s">
        <v>16</v>
      </c>
      <c r="F194" s="21" t="s">
        <v>17</v>
      </c>
      <c r="G194" s="22">
        <v>800</v>
      </c>
      <c r="H194" s="20">
        <v>1</v>
      </c>
      <c r="I194" s="32">
        <f>Town_Team[[#This Row],[Item quantity]]*Town_Team[[#This Row],[Selling price]]</f>
        <v>800</v>
      </c>
      <c r="J194" s="33">
        <f>IF(Town_Team[[#This Row],[Item name]]=" Jeans - Denim",Town_Team[[#This Row],[Item Amount]]*85%,Town_Team[[#This Row],[Item Amount]])</f>
        <v>800</v>
      </c>
      <c r="K194" s="39" t="str">
        <f>TEXT(Town_Team[[#This Row],[Date ]],"dddd")</f>
        <v>Tuesday</v>
      </c>
    </row>
    <row r="195" spans="2:11" hidden="1" x14ac:dyDescent="0.3">
      <c r="B195" s="20">
        <v>191</v>
      </c>
      <c r="C195" s="19">
        <v>43656</v>
      </c>
      <c r="D195" s="21" t="s">
        <v>9</v>
      </c>
      <c r="E195" s="21" t="s">
        <v>10</v>
      </c>
      <c r="F195" s="21" t="s">
        <v>11</v>
      </c>
      <c r="G195" s="22">
        <v>1100</v>
      </c>
      <c r="H195" s="20">
        <v>1</v>
      </c>
      <c r="I195" s="32">
        <f>Town_Team[[#This Row],[Item quantity]]*Town_Team[[#This Row],[Selling price]]</f>
        <v>1100</v>
      </c>
      <c r="J195" s="33">
        <f>IF(Town_Team[[#This Row],[Item name]]=" Jeans - Denim",Town_Team[[#This Row],[Item Amount]]*85%,Town_Team[[#This Row],[Item Amount]])</f>
        <v>1100</v>
      </c>
      <c r="K195" s="39" t="str">
        <f>TEXT(Town_Team[[#This Row],[Date ]],"dddd")</f>
        <v>Wednesday</v>
      </c>
    </row>
    <row r="196" spans="2:11" hidden="1" x14ac:dyDescent="0.3">
      <c r="B196" s="20">
        <v>192</v>
      </c>
      <c r="C196" s="19">
        <v>43657</v>
      </c>
      <c r="D196" s="21" t="s">
        <v>9</v>
      </c>
      <c r="E196" s="21" t="s">
        <v>14</v>
      </c>
      <c r="F196" s="21" t="s">
        <v>11</v>
      </c>
      <c r="G196" s="22">
        <v>900</v>
      </c>
      <c r="H196" s="20">
        <v>1</v>
      </c>
      <c r="I196" s="32">
        <f>Town_Team[[#This Row],[Item quantity]]*Town_Team[[#This Row],[Selling price]]</f>
        <v>900</v>
      </c>
      <c r="J196" s="33">
        <f>IF(Town_Team[[#This Row],[Item name]]=" Jeans - Denim",Town_Team[[#This Row],[Item Amount]]*85%,Town_Team[[#This Row],[Item Amount]])</f>
        <v>900</v>
      </c>
      <c r="K196" s="39" t="str">
        <f>TEXT(Town_Team[[#This Row],[Date ]],"dddd")</f>
        <v>Thursday</v>
      </c>
    </row>
    <row r="197" spans="2:11" hidden="1" x14ac:dyDescent="0.3">
      <c r="B197" s="20">
        <v>193</v>
      </c>
      <c r="C197" s="19">
        <v>43658</v>
      </c>
      <c r="D197" s="21" t="s">
        <v>9</v>
      </c>
      <c r="E197" s="21" t="s">
        <v>15</v>
      </c>
      <c r="F197" s="21" t="s">
        <v>11</v>
      </c>
      <c r="G197" s="22">
        <v>1000</v>
      </c>
      <c r="H197" s="20">
        <v>1</v>
      </c>
      <c r="I197" s="32">
        <f>Town_Team[[#This Row],[Item quantity]]*Town_Team[[#This Row],[Selling price]]</f>
        <v>1000</v>
      </c>
      <c r="J197" s="33">
        <f>IF(Town_Team[[#This Row],[Item name]]=" Jeans - Denim",Town_Team[[#This Row],[Item Amount]]*85%,Town_Team[[#This Row],[Item Amount]])</f>
        <v>1000</v>
      </c>
      <c r="K197" s="39" t="str">
        <f>TEXT(Town_Team[[#This Row],[Date ]],"dddd")</f>
        <v>Friday</v>
      </c>
    </row>
    <row r="198" spans="2:11" hidden="1" x14ac:dyDescent="0.3">
      <c r="B198" s="20">
        <v>194</v>
      </c>
      <c r="C198" s="19">
        <v>43659</v>
      </c>
      <c r="D198" s="21" t="s">
        <v>9</v>
      </c>
      <c r="E198" s="21" t="s">
        <v>19</v>
      </c>
      <c r="F198" s="21" t="s">
        <v>20</v>
      </c>
      <c r="G198" s="22">
        <v>850</v>
      </c>
      <c r="H198" s="20">
        <v>1</v>
      </c>
      <c r="I198" s="32">
        <f>Town_Team[[#This Row],[Item quantity]]*Town_Team[[#This Row],[Selling price]]</f>
        <v>850</v>
      </c>
      <c r="J198" s="33">
        <f>IF(Town_Team[[#This Row],[Item name]]=" Jeans - Denim",Town_Team[[#This Row],[Item Amount]]*85%,Town_Team[[#This Row],[Item Amount]])</f>
        <v>850</v>
      </c>
      <c r="K198" s="39" t="str">
        <f>TEXT(Town_Team[[#This Row],[Date ]],"dddd")</f>
        <v>Saturday</v>
      </c>
    </row>
    <row r="199" spans="2:11" hidden="1" x14ac:dyDescent="0.3">
      <c r="B199" s="20">
        <v>195</v>
      </c>
      <c r="C199" s="19">
        <v>43660</v>
      </c>
      <c r="D199" s="21" t="s">
        <v>9</v>
      </c>
      <c r="E199" s="21" t="s">
        <v>18</v>
      </c>
      <c r="F199" s="21" t="s">
        <v>17</v>
      </c>
      <c r="G199" s="22">
        <v>600</v>
      </c>
      <c r="H199" s="20">
        <v>1</v>
      </c>
      <c r="I199" s="32">
        <f>Town_Team[[#This Row],[Item quantity]]*Town_Team[[#This Row],[Selling price]]</f>
        <v>600</v>
      </c>
      <c r="J199" s="33">
        <f>IF(Town_Team[[#This Row],[Item name]]=" Jeans - Denim",Town_Team[[#This Row],[Item Amount]]*85%,Town_Team[[#This Row],[Item Amount]])</f>
        <v>600</v>
      </c>
      <c r="K199" s="39" t="str">
        <f>TEXT(Town_Team[[#This Row],[Date ]],"dddd")</f>
        <v>Sunday</v>
      </c>
    </row>
    <row r="200" spans="2:11" hidden="1" x14ac:dyDescent="0.3">
      <c r="B200" s="20">
        <v>196</v>
      </c>
      <c r="C200" s="19">
        <v>43661</v>
      </c>
      <c r="D200" s="21" t="s">
        <v>9</v>
      </c>
      <c r="E200" s="21" t="s">
        <v>14</v>
      </c>
      <c r="F200" s="21" t="s">
        <v>11</v>
      </c>
      <c r="G200" s="22">
        <v>900</v>
      </c>
      <c r="H200" s="20">
        <v>1</v>
      </c>
      <c r="I200" s="32">
        <f>Town_Team[[#This Row],[Item quantity]]*Town_Team[[#This Row],[Selling price]]</f>
        <v>900</v>
      </c>
      <c r="J200" s="33">
        <f>IF(Town_Team[[#This Row],[Item name]]=" Jeans - Denim",Town_Team[[#This Row],[Item Amount]]*85%,Town_Team[[#This Row],[Item Amount]])</f>
        <v>900</v>
      </c>
      <c r="K200" s="39" t="str">
        <f>TEXT(Town_Team[[#This Row],[Date ]],"dddd")</f>
        <v>Monday</v>
      </c>
    </row>
    <row r="201" spans="2:11" hidden="1" x14ac:dyDescent="0.3">
      <c r="B201" s="20">
        <v>197</v>
      </c>
      <c r="C201" s="19">
        <v>43662</v>
      </c>
      <c r="D201" s="21" t="s">
        <v>9</v>
      </c>
      <c r="E201" s="21" t="s">
        <v>15</v>
      </c>
      <c r="F201" s="21" t="s">
        <v>11</v>
      </c>
      <c r="G201" s="22">
        <v>1000</v>
      </c>
      <c r="H201" s="20">
        <v>1</v>
      </c>
      <c r="I201" s="32">
        <f>Town_Team[[#This Row],[Item quantity]]*Town_Team[[#This Row],[Selling price]]</f>
        <v>1000</v>
      </c>
      <c r="J201" s="33">
        <f>IF(Town_Team[[#This Row],[Item name]]=" Jeans - Denim",Town_Team[[#This Row],[Item Amount]]*85%,Town_Team[[#This Row],[Item Amount]])</f>
        <v>1000</v>
      </c>
      <c r="K201" s="39" t="str">
        <f>TEXT(Town_Team[[#This Row],[Date ]],"dddd")</f>
        <v>Tuesday</v>
      </c>
    </row>
    <row r="202" spans="2:11" hidden="1" x14ac:dyDescent="0.3">
      <c r="B202" s="20">
        <v>198</v>
      </c>
      <c r="C202" s="19">
        <v>43663</v>
      </c>
      <c r="D202" s="21" t="s">
        <v>9</v>
      </c>
      <c r="E202" s="21" t="s">
        <v>14</v>
      </c>
      <c r="F202" s="21" t="s">
        <v>11</v>
      </c>
      <c r="G202" s="22">
        <v>900</v>
      </c>
      <c r="H202" s="20">
        <v>1</v>
      </c>
      <c r="I202" s="32">
        <f>Town_Team[[#This Row],[Item quantity]]*Town_Team[[#This Row],[Selling price]]</f>
        <v>900</v>
      </c>
      <c r="J202" s="33">
        <f>IF(Town_Team[[#This Row],[Item name]]=" Jeans - Denim",Town_Team[[#This Row],[Item Amount]]*85%,Town_Team[[#This Row],[Item Amount]])</f>
        <v>900</v>
      </c>
      <c r="K202" s="39" t="str">
        <f>TEXT(Town_Team[[#This Row],[Date ]],"dddd")</f>
        <v>Wednesday</v>
      </c>
    </row>
    <row r="203" spans="2:11" hidden="1" x14ac:dyDescent="0.3">
      <c r="B203" s="20">
        <v>199</v>
      </c>
      <c r="C203" s="19">
        <v>43664</v>
      </c>
      <c r="D203" s="21" t="s">
        <v>9</v>
      </c>
      <c r="E203" s="21" t="s">
        <v>12</v>
      </c>
      <c r="F203" s="21" t="s">
        <v>11</v>
      </c>
      <c r="G203" s="22">
        <v>900</v>
      </c>
      <c r="H203" s="20">
        <v>1</v>
      </c>
      <c r="I203" s="32">
        <f>Town_Team[[#This Row],[Item quantity]]*Town_Team[[#This Row],[Selling price]]</f>
        <v>900</v>
      </c>
      <c r="J203" s="33">
        <f>IF(Town_Team[[#This Row],[Item name]]=" Jeans - Denim",Town_Team[[#This Row],[Item Amount]]*85%,Town_Team[[#This Row],[Item Amount]])</f>
        <v>765</v>
      </c>
      <c r="K203" s="39" t="str">
        <f>TEXT(Town_Team[[#This Row],[Date ]],"dddd")</f>
        <v>Thursday</v>
      </c>
    </row>
    <row r="204" spans="2:11" hidden="1" x14ac:dyDescent="0.3">
      <c r="B204" s="20">
        <v>200</v>
      </c>
      <c r="C204" s="19">
        <v>43665</v>
      </c>
      <c r="D204" s="21" t="s">
        <v>9</v>
      </c>
      <c r="E204" s="21" t="s">
        <v>18</v>
      </c>
      <c r="F204" s="21" t="s">
        <v>17</v>
      </c>
      <c r="G204" s="22">
        <v>600</v>
      </c>
      <c r="H204" s="20">
        <v>1</v>
      </c>
      <c r="I204" s="32">
        <f>Town_Team[[#This Row],[Item quantity]]*Town_Team[[#This Row],[Selling price]]</f>
        <v>600</v>
      </c>
      <c r="J204" s="33">
        <f>IF(Town_Team[[#This Row],[Item name]]=" Jeans - Denim",Town_Team[[#This Row],[Item Amount]]*85%,Town_Team[[#This Row],[Item Amount]])</f>
        <v>600</v>
      </c>
      <c r="K204" s="39" t="str">
        <f>TEXT(Town_Team[[#This Row],[Date ]],"dddd")</f>
        <v>Friday</v>
      </c>
    </row>
    <row r="205" spans="2:11" hidden="1" x14ac:dyDescent="0.3">
      <c r="B205" s="20">
        <v>201</v>
      </c>
      <c r="C205" s="19">
        <v>43666</v>
      </c>
      <c r="D205" s="21" t="s">
        <v>9</v>
      </c>
      <c r="E205" s="21" t="s">
        <v>22</v>
      </c>
      <c r="F205" s="21" t="s">
        <v>23</v>
      </c>
      <c r="G205" s="22">
        <v>900</v>
      </c>
      <c r="H205" s="20">
        <v>1</v>
      </c>
      <c r="I205" s="32">
        <f>Town_Team[[#This Row],[Item quantity]]*Town_Team[[#This Row],[Selling price]]</f>
        <v>900</v>
      </c>
      <c r="J205" s="33">
        <f>IF(Town_Team[[#This Row],[Item name]]=" Jeans - Denim",Town_Team[[#This Row],[Item Amount]]*85%,Town_Team[[#This Row],[Item Amount]])</f>
        <v>900</v>
      </c>
      <c r="K205" s="39" t="str">
        <f>TEXT(Town_Team[[#This Row],[Date ]],"dddd")</f>
        <v>Saturday</v>
      </c>
    </row>
    <row r="206" spans="2:11" hidden="1" x14ac:dyDescent="0.3">
      <c r="B206" s="20">
        <v>202</v>
      </c>
      <c r="C206" s="19">
        <v>43667</v>
      </c>
      <c r="D206" s="21" t="s">
        <v>9</v>
      </c>
      <c r="E206" s="21" t="s">
        <v>22</v>
      </c>
      <c r="F206" s="21" t="s">
        <v>23</v>
      </c>
      <c r="G206" s="22">
        <v>800</v>
      </c>
      <c r="H206" s="20">
        <v>1</v>
      </c>
      <c r="I206" s="32">
        <f>Town_Team[[#This Row],[Item quantity]]*Town_Team[[#This Row],[Selling price]]</f>
        <v>800</v>
      </c>
      <c r="J206" s="33">
        <f>IF(Town_Team[[#This Row],[Item name]]=" Jeans - Denim",Town_Team[[#This Row],[Item Amount]]*85%,Town_Team[[#This Row],[Item Amount]])</f>
        <v>800</v>
      </c>
      <c r="K206" s="39" t="str">
        <f>TEXT(Town_Team[[#This Row],[Date ]],"dddd")</f>
        <v>Sunday</v>
      </c>
    </row>
    <row r="207" spans="2:11" hidden="1" x14ac:dyDescent="0.3">
      <c r="B207" s="20">
        <v>203</v>
      </c>
      <c r="C207" s="19">
        <v>43668</v>
      </c>
      <c r="D207" s="21" t="s">
        <v>9</v>
      </c>
      <c r="E207" s="21" t="s">
        <v>16</v>
      </c>
      <c r="F207" s="21" t="s">
        <v>17</v>
      </c>
      <c r="G207" s="22">
        <v>800</v>
      </c>
      <c r="H207" s="20">
        <v>1</v>
      </c>
      <c r="I207" s="32">
        <f>Town_Team[[#This Row],[Item quantity]]*Town_Team[[#This Row],[Selling price]]</f>
        <v>800</v>
      </c>
      <c r="J207" s="33">
        <f>IF(Town_Team[[#This Row],[Item name]]=" Jeans - Denim",Town_Team[[#This Row],[Item Amount]]*85%,Town_Team[[#This Row],[Item Amount]])</f>
        <v>800</v>
      </c>
      <c r="K207" s="39" t="str">
        <f>TEXT(Town_Team[[#This Row],[Date ]],"dddd")</f>
        <v>Monday</v>
      </c>
    </row>
    <row r="208" spans="2:11" hidden="1" x14ac:dyDescent="0.3">
      <c r="B208" s="20">
        <v>204</v>
      </c>
      <c r="C208" s="19">
        <v>43669</v>
      </c>
      <c r="D208" s="21" t="s">
        <v>9</v>
      </c>
      <c r="E208" s="21" t="s">
        <v>18</v>
      </c>
      <c r="F208" s="21" t="s">
        <v>17</v>
      </c>
      <c r="G208" s="22">
        <v>600</v>
      </c>
      <c r="H208" s="20">
        <v>1</v>
      </c>
      <c r="I208" s="32">
        <f>Town_Team[[#This Row],[Item quantity]]*Town_Team[[#This Row],[Selling price]]</f>
        <v>600</v>
      </c>
      <c r="J208" s="33">
        <f>IF(Town_Team[[#This Row],[Item name]]=" Jeans - Denim",Town_Team[[#This Row],[Item Amount]]*85%,Town_Team[[#This Row],[Item Amount]])</f>
        <v>600</v>
      </c>
      <c r="K208" s="39" t="str">
        <f>TEXT(Town_Team[[#This Row],[Date ]],"dddd")</f>
        <v>Tuesday</v>
      </c>
    </row>
    <row r="209" spans="2:11" hidden="1" x14ac:dyDescent="0.3">
      <c r="B209" s="20">
        <v>205</v>
      </c>
      <c r="C209" s="19">
        <v>43670</v>
      </c>
      <c r="D209" s="21" t="s">
        <v>9</v>
      </c>
      <c r="E209" s="21" t="s">
        <v>22</v>
      </c>
      <c r="F209" s="21" t="s">
        <v>23</v>
      </c>
      <c r="G209" s="22">
        <v>500</v>
      </c>
      <c r="H209" s="20">
        <v>1</v>
      </c>
      <c r="I209" s="32">
        <f>Town_Team[[#This Row],[Item quantity]]*Town_Team[[#This Row],[Selling price]]</f>
        <v>500</v>
      </c>
      <c r="J209" s="33">
        <f>IF(Town_Team[[#This Row],[Item name]]=" Jeans - Denim",Town_Team[[#This Row],[Item Amount]]*85%,Town_Team[[#This Row],[Item Amount]])</f>
        <v>500</v>
      </c>
      <c r="K209" s="39" t="str">
        <f>TEXT(Town_Team[[#This Row],[Date ]],"dddd")</f>
        <v>Wednesday</v>
      </c>
    </row>
    <row r="210" spans="2:11" hidden="1" x14ac:dyDescent="0.3">
      <c r="B210" s="20">
        <v>206</v>
      </c>
      <c r="C210" s="19">
        <v>43671</v>
      </c>
      <c r="D210" s="21" t="s">
        <v>9</v>
      </c>
      <c r="E210" s="21" t="s">
        <v>14</v>
      </c>
      <c r="F210" s="21" t="s">
        <v>11</v>
      </c>
      <c r="G210" s="22">
        <v>900</v>
      </c>
      <c r="H210" s="20">
        <v>1</v>
      </c>
      <c r="I210" s="32">
        <f>Town_Team[[#This Row],[Item quantity]]*Town_Team[[#This Row],[Selling price]]</f>
        <v>900</v>
      </c>
      <c r="J210" s="33">
        <f>IF(Town_Team[[#This Row],[Item name]]=" Jeans - Denim",Town_Team[[#This Row],[Item Amount]]*85%,Town_Team[[#This Row],[Item Amount]])</f>
        <v>900</v>
      </c>
      <c r="K210" s="39" t="str">
        <f>TEXT(Town_Team[[#This Row],[Date ]],"dddd")</f>
        <v>Thursday</v>
      </c>
    </row>
    <row r="211" spans="2:11" hidden="1" x14ac:dyDescent="0.3">
      <c r="B211" s="20">
        <v>207</v>
      </c>
      <c r="C211" s="19">
        <v>43672</v>
      </c>
      <c r="D211" s="21" t="s">
        <v>9</v>
      </c>
      <c r="E211" s="21" t="s">
        <v>10</v>
      </c>
      <c r="F211" s="21" t="s">
        <v>11</v>
      </c>
      <c r="G211" s="22">
        <v>1100</v>
      </c>
      <c r="H211" s="20">
        <v>1</v>
      </c>
      <c r="I211" s="32">
        <f>Town_Team[[#This Row],[Item quantity]]*Town_Team[[#This Row],[Selling price]]</f>
        <v>1100</v>
      </c>
      <c r="J211" s="33">
        <f>IF(Town_Team[[#This Row],[Item name]]=" Jeans - Denim",Town_Team[[#This Row],[Item Amount]]*85%,Town_Team[[#This Row],[Item Amount]])</f>
        <v>1100</v>
      </c>
      <c r="K211" s="39" t="str">
        <f>TEXT(Town_Team[[#This Row],[Date ]],"dddd")</f>
        <v>Friday</v>
      </c>
    </row>
    <row r="212" spans="2:11" hidden="1" x14ac:dyDescent="0.3">
      <c r="B212" s="20">
        <v>208</v>
      </c>
      <c r="C212" s="19">
        <v>43673</v>
      </c>
      <c r="D212" s="21" t="s">
        <v>9</v>
      </c>
      <c r="E212" s="21" t="s">
        <v>22</v>
      </c>
      <c r="F212" s="21" t="s">
        <v>23</v>
      </c>
      <c r="G212" s="22">
        <v>500</v>
      </c>
      <c r="H212" s="20">
        <v>1</v>
      </c>
      <c r="I212" s="32">
        <f>Town_Team[[#This Row],[Item quantity]]*Town_Team[[#This Row],[Selling price]]</f>
        <v>500</v>
      </c>
      <c r="J212" s="33">
        <f>IF(Town_Team[[#This Row],[Item name]]=" Jeans - Denim",Town_Team[[#This Row],[Item Amount]]*85%,Town_Team[[#This Row],[Item Amount]])</f>
        <v>500</v>
      </c>
      <c r="K212" s="39" t="str">
        <f>TEXT(Town_Team[[#This Row],[Date ]],"dddd")</f>
        <v>Saturday</v>
      </c>
    </row>
    <row r="213" spans="2:11" hidden="1" x14ac:dyDescent="0.3">
      <c r="B213" s="20">
        <v>209</v>
      </c>
      <c r="C213" s="19">
        <v>43674</v>
      </c>
      <c r="D213" s="21" t="s">
        <v>9</v>
      </c>
      <c r="E213" s="21" t="s">
        <v>18</v>
      </c>
      <c r="F213" s="21" t="s">
        <v>17</v>
      </c>
      <c r="G213" s="22">
        <v>600</v>
      </c>
      <c r="H213" s="20">
        <v>1</v>
      </c>
      <c r="I213" s="32">
        <f>Town_Team[[#This Row],[Item quantity]]*Town_Team[[#This Row],[Selling price]]</f>
        <v>600</v>
      </c>
      <c r="J213" s="33">
        <f>IF(Town_Team[[#This Row],[Item name]]=" Jeans - Denim",Town_Team[[#This Row],[Item Amount]]*85%,Town_Team[[#This Row],[Item Amount]])</f>
        <v>600</v>
      </c>
      <c r="K213" s="39" t="str">
        <f>TEXT(Town_Team[[#This Row],[Date ]],"dddd")</f>
        <v>Sunday</v>
      </c>
    </row>
    <row r="214" spans="2:11" hidden="1" x14ac:dyDescent="0.3">
      <c r="B214" s="20">
        <v>210</v>
      </c>
      <c r="C214" s="19">
        <v>43675</v>
      </c>
      <c r="D214" s="21" t="s">
        <v>9</v>
      </c>
      <c r="E214" s="21" t="s">
        <v>14</v>
      </c>
      <c r="F214" s="21" t="s">
        <v>11</v>
      </c>
      <c r="G214" s="22">
        <v>900</v>
      </c>
      <c r="H214" s="20">
        <v>1</v>
      </c>
      <c r="I214" s="32">
        <f>Town_Team[[#This Row],[Item quantity]]*Town_Team[[#This Row],[Selling price]]</f>
        <v>900</v>
      </c>
      <c r="J214" s="33">
        <f>IF(Town_Team[[#This Row],[Item name]]=" Jeans - Denim",Town_Team[[#This Row],[Item Amount]]*85%,Town_Team[[#This Row],[Item Amount]])</f>
        <v>900</v>
      </c>
      <c r="K214" s="39" t="str">
        <f>TEXT(Town_Team[[#This Row],[Date ]],"dddd")</f>
        <v>Monday</v>
      </c>
    </row>
    <row r="215" spans="2:11" hidden="1" x14ac:dyDescent="0.3">
      <c r="B215" s="20">
        <v>211</v>
      </c>
      <c r="C215" s="19">
        <v>43676</v>
      </c>
      <c r="D215" s="21" t="s">
        <v>9</v>
      </c>
      <c r="E215" s="21" t="s">
        <v>22</v>
      </c>
      <c r="F215" s="21" t="s">
        <v>23</v>
      </c>
      <c r="G215" s="22">
        <v>500</v>
      </c>
      <c r="H215" s="20">
        <v>1</v>
      </c>
      <c r="I215" s="32">
        <f>Town_Team[[#This Row],[Item quantity]]*Town_Team[[#This Row],[Selling price]]</f>
        <v>500</v>
      </c>
      <c r="J215" s="33">
        <f>IF(Town_Team[[#This Row],[Item name]]=" Jeans - Denim",Town_Team[[#This Row],[Item Amount]]*85%,Town_Team[[#This Row],[Item Amount]])</f>
        <v>500</v>
      </c>
      <c r="K215" s="39" t="str">
        <f>TEXT(Town_Team[[#This Row],[Date ]],"dddd")</f>
        <v>Tuesday</v>
      </c>
    </row>
    <row r="216" spans="2:11" hidden="1" x14ac:dyDescent="0.3">
      <c r="B216" s="20">
        <v>212</v>
      </c>
      <c r="C216" s="19">
        <v>43677</v>
      </c>
      <c r="D216" s="21" t="s">
        <v>9</v>
      </c>
      <c r="E216" s="21" t="s">
        <v>22</v>
      </c>
      <c r="F216" s="21" t="s">
        <v>23</v>
      </c>
      <c r="G216" s="22">
        <v>500</v>
      </c>
      <c r="H216" s="20">
        <v>1</v>
      </c>
      <c r="I216" s="32">
        <f>Town_Team[[#This Row],[Item quantity]]*Town_Team[[#This Row],[Selling price]]</f>
        <v>500</v>
      </c>
      <c r="J216" s="33">
        <f>IF(Town_Team[[#This Row],[Item name]]=" Jeans - Denim",Town_Team[[#This Row],[Item Amount]]*85%,Town_Team[[#This Row],[Item Amount]])</f>
        <v>500</v>
      </c>
      <c r="K216" s="39" t="str">
        <f>TEXT(Town_Team[[#This Row],[Date ]],"dddd")</f>
        <v>Wednesday</v>
      </c>
    </row>
    <row r="217" spans="2:11" hidden="1" x14ac:dyDescent="0.3">
      <c r="B217" s="20">
        <v>213</v>
      </c>
      <c r="C217" s="19">
        <v>43678</v>
      </c>
      <c r="D217" s="21" t="s">
        <v>9</v>
      </c>
      <c r="E217" s="21" t="s">
        <v>18</v>
      </c>
      <c r="F217" s="21" t="s">
        <v>17</v>
      </c>
      <c r="G217" s="22">
        <v>600</v>
      </c>
      <c r="H217" s="20">
        <v>1</v>
      </c>
      <c r="I217" s="32">
        <f>Town_Team[[#This Row],[Item quantity]]*Town_Team[[#This Row],[Selling price]]</f>
        <v>600</v>
      </c>
      <c r="J217" s="33">
        <f>IF(Town_Team[[#This Row],[Item name]]=" Jeans - Denim",Town_Team[[#This Row],[Item Amount]]*85%,Town_Team[[#This Row],[Item Amount]])</f>
        <v>600</v>
      </c>
      <c r="K217" s="39" t="str">
        <f>TEXT(Town_Team[[#This Row],[Date ]],"dddd")</f>
        <v>Thursday</v>
      </c>
    </row>
    <row r="218" spans="2:11" hidden="1" x14ac:dyDescent="0.3">
      <c r="B218" s="20">
        <v>214</v>
      </c>
      <c r="C218" s="19">
        <v>43679</v>
      </c>
      <c r="D218" s="21" t="s">
        <v>9</v>
      </c>
      <c r="E218" s="21" t="s">
        <v>18</v>
      </c>
      <c r="F218" s="21" t="s">
        <v>17</v>
      </c>
      <c r="G218" s="22">
        <v>600</v>
      </c>
      <c r="H218" s="20">
        <v>1</v>
      </c>
      <c r="I218" s="32">
        <f>Town_Team[[#This Row],[Item quantity]]*Town_Team[[#This Row],[Selling price]]</f>
        <v>600</v>
      </c>
      <c r="J218" s="33">
        <f>IF(Town_Team[[#This Row],[Item name]]=" Jeans - Denim",Town_Team[[#This Row],[Item Amount]]*85%,Town_Team[[#This Row],[Item Amount]])</f>
        <v>600</v>
      </c>
      <c r="K218" s="39" t="str">
        <f>TEXT(Town_Team[[#This Row],[Date ]],"dddd")</f>
        <v>Friday</v>
      </c>
    </row>
    <row r="219" spans="2:11" hidden="1" x14ac:dyDescent="0.3">
      <c r="B219" s="20">
        <v>215</v>
      </c>
      <c r="C219" s="19">
        <v>43680</v>
      </c>
      <c r="D219" s="21" t="s">
        <v>9</v>
      </c>
      <c r="E219" s="21" t="s">
        <v>16</v>
      </c>
      <c r="F219" s="21" t="s">
        <v>17</v>
      </c>
      <c r="G219" s="22">
        <v>800</v>
      </c>
      <c r="H219" s="20">
        <v>1</v>
      </c>
      <c r="I219" s="32">
        <f>Town_Team[[#This Row],[Item quantity]]*Town_Team[[#This Row],[Selling price]]</f>
        <v>800</v>
      </c>
      <c r="J219" s="33">
        <f>IF(Town_Team[[#This Row],[Item name]]=" Jeans - Denim",Town_Team[[#This Row],[Item Amount]]*85%,Town_Team[[#This Row],[Item Amount]])</f>
        <v>800</v>
      </c>
      <c r="K219" s="39" t="str">
        <f>TEXT(Town_Team[[#This Row],[Date ]],"dddd")</f>
        <v>Saturday</v>
      </c>
    </row>
    <row r="220" spans="2:11" hidden="1" x14ac:dyDescent="0.3">
      <c r="B220" s="20">
        <v>216</v>
      </c>
      <c r="C220" s="19">
        <v>43681</v>
      </c>
      <c r="D220" s="21" t="s">
        <v>9</v>
      </c>
      <c r="E220" s="21" t="s">
        <v>19</v>
      </c>
      <c r="F220" s="21" t="s">
        <v>20</v>
      </c>
      <c r="G220" s="22">
        <v>850</v>
      </c>
      <c r="H220" s="20">
        <v>1</v>
      </c>
      <c r="I220" s="32">
        <f>Town_Team[[#This Row],[Item quantity]]*Town_Team[[#This Row],[Selling price]]</f>
        <v>850</v>
      </c>
      <c r="J220" s="33">
        <f>IF(Town_Team[[#This Row],[Item name]]=" Jeans - Denim",Town_Team[[#This Row],[Item Amount]]*85%,Town_Team[[#This Row],[Item Amount]])</f>
        <v>850</v>
      </c>
      <c r="K220" s="39" t="str">
        <f>TEXT(Town_Team[[#This Row],[Date ]],"dddd")</f>
        <v>Sunday</v>
      </c>
    </row>
    <row r="221" spans="2:11" hidden="1" x14ac:dyDescent="0.3">
      <c r="B221" s="20">
        <v>217</v>
      </c>
      <c r="C221" s="19">
        <v>43682</v>
      </c>
      <c r="D221" s="21" t="s">
        <v>9</v>
      </c>
      <c r="E221" s="21" t="s">
        <v>22</v>
      </c>
      <c r="F221" s="21" t="s">
        <v>23</v>
      </c>
      <c r="G221" s="22">
        <v>500</v>
      </c>
      <c r="H221" s="20">
        <v>1</v>
      </c>
      <c r="I221" s="32">
        <f>Town_Team[[#This Row],[Item quantity]]*Town_Team[[#This Row],[Selling price]]</f>
        <v>500</v>
      </c>
      <c r="J221" s="33">
        <f>IF(Town_Team[[#This Row],[Item name]]=" Jeans - Denim",Town_Team[[#This Row],[Item Amount]]*85%,Town_Team[[#This Row],[Item Amount]])</f>
        <v>500</v>
      </c>
      <c r="K221" s="39" t="str">
        <f>TEXT(Town_Team[[#This Row],[Date ]],"dddd")</f>
        <v>Monday</v>
      </c>
    </row>
    <row r="222" spans="2:11" hidden="1" x14ac:dyDescent="0.3">
      <c r="B222" s="20">
        <v>218</v>
      </c>
      <c r="C222" s="19">
        <v>43683</v>
      </c>
      <c r="D222" s="21" t="s">
        <v>9</v>
      </c>
      <c r="E222" s="21" t="s">
        <v>22</v>
      </c>
      <c r="F222" s="21" t="s">
        <v>23</v>
      </c>
      <c r="G222" s="22">
        <v>500</v>
      </c>
      <c r="H222" s="20">
        <v>1</v>
      </c>
      <c r="I222" s="32">
        <f>Town_Team[[#This Row],[Item quantity]]*Town_Team[[#This Row],[Selling price]]</f>
        <v>500</v>
      </c>
      <c r="J222" s="33">
        <f>IF(Town_Team[[#This Row],[Item name]]=" Jeans - Denim",Town_Team[[#This Row],[Item Amount]]*85%,Town_Team[[#This Row],[Item Amount]])</f>
        <v>500</v>
      </c>
      <c r="K222" s="39" t="str">
        <f>TEXT(Town_Team[[#This Row],[Date ]],"dddd")</f>
        <v>Tuesday</v>
      </c>
    </row>
    <row r="223" spans="2:11" hidden="1" x14ac:dyDescent="0.3">
      <c r="B223" s="20">
        <v>219</v>
      </c>
      <c r="C223" s="19">
        <v>43684</v>
      </c>
      <c r="D223" s="21" t="s">
        <v>9</v>
      </c>
      <c r="E223" s="21" t="s">
        <v>10</v>
      </c>
      <c r="F223" s="21" t="s">
        <v>11</v>
      </c>
      <c r="G223" s="22">
        <v>1100</v>
      </c>
      <c r="H223" s="20">
        <v>1</v>
      </c>
      <c r="I223" s="32">
        <f>Town_Team[[#This Row],[Item quantity]]*Town_Team[[#This Row],[Selling price]]</f>
        <v>1100</v>
      </c>
      <c r="J223" s="33">
        <f>IF(Town_Team[[#This Row],[Item name]]=" Jeans - Denim",Town_Team[[#This Row],[Item Amount]]*85%,Town_Team[[#This Row],[Item Amount]])</f>
        <v>1100</v>
      </c>
      <c r="K223" s="39" t="str">
        <f>TEXT(Town_Team[[#This Row],[Date ]],"dddd")</f>
        <v>Wednesday</v>
      </c>
    </row>
    <row r="224" spans="2:11" hidden="1" x14ac:dyDescent="0.3">
      <c r="B224" s="20">
        <v>220</v>
      </c>
      <c r="C224" s="19">
        <v>43685</v>
      </c>
      <c r="D224" s="21" t="s">
        <v>9</v>
      </c>
      <c r="E224" s="21" t="s">
        <v>22</v>
      </c>
      <c r="F224" s="21" t="s">
        <v>23</v>
      </c>
      <c r="G224" s="22">
        <v>500</v>
      </c>
      <c r="H224" s="20">
        <v>1</v>
      </c>
      <c r="I224" s="32">
        <f>Town_Team[[#This Row],[Item quantity]]*Town_Team[[#This Row],[Selling price]]</f>
        <v>500</v>
      </c>
      <c r="J224" s="33">
        <f>IF(Town_Team[[#This Row],[Item name]]=" Jeans - Denim",Town_Team[[#This Row],[Item Amount]]*85%,Town_Team[[#This Row],[Item Amount]])</f>
        <v>500</v>
      </c>
      <c r="K224" s="39" t="str">
        <f>TEXT(Town_Team[[#This Row],[Date ]],"dddd")</f>
        <v>Thursday</v>
      </c>
    </row>
    <row r="225" spans="2:11" hidden="1" x14ac:dyDescent="0.3">
      <c r="B225" s="20">
        <v>221</v>
      </c>
      <c r="C225" s="19">
        <v>43686</v>
      </c>
      <c r="D225" s="21" t="s">
        <v>9</v>
      </c>
      <c r="E225" s="21" t="s">
        <v>15</v>
      </c>
      <c r="F225" s="21" t="s">
        <v>11</v>
      </c>
      <c r="G225" s="22">
        <v>1000</v>
      </c>
      <c r="H225" s="20">
        <v>1</v>
      </c>
      <c r="I225" s="32">
        <f>Town_Team[[#This Row],[Item quantity]]*Town_Team[[#This Row],[Selling price]]</f>
        <v>1000</v>
      </c>
      <c r="J225" s="33">
        <f>IF(Town_Team[[#This Row],[Item name]]=" Jeans - Denim",Town_Team[[#This Row],[Item Amount]]*85%,Town_Team[[#This Row],[Item Amount]])</f>
        <v>1000</v>
      </c>
      <c r="K225" s="39" t="str">
        <f>TEXT(Town_Team[[#This Row],[Date ]],"dddd")</f>
        <v>Friday</v>
      </c>
    </row>
    <row r="226" spans="2:11" hidden="1" x14ac:dyDescent="0.3">
      <c r="B226" s="20">
        <v>222</v>
      </c>
      <c r="C226" s="19">
        <v>43687</v>
      </c>
      <c r="D226" s="21" t="s">
        <v>9</v>
      </c>
      <c r="E226" s="21" t="s">
        <v>16</v>
      </c>
      <c r="F226" s="21" t="s">
        <v>17</v>
      </c>
      <c r="G226" s="22">
        <v>800</v>
      </c>
      <c r="H226" s="20">
        <v>1</v>
      </c>
      <c r="I226" s="32">
        <f>Town_Team[[#This Row],[Item quantity]]*Town_Team[[#This Row],[Selling price]]</f>
        <v>800</v>
      </c>
      <c r="J226" s="33">
        <f>IF(Town_Team[[#This Row],[Item name]]=" Jeans - Denim",Town_Team[[#This Row],[Item Amount]]*85%,Town_Team[[#This Row],[Item Amount]])</f>
        <v>800</v>
      </c>
      <c r="K226" s="39" t="str">
        <f>TEXT(Town_Team[[#This Row],[Date ]],"dddd")</f>
        <v>Saturday</v>
      </c>
    </row>
    <row r="227" spans="2:11" hidden="1" x14ac:dyDescent="0.3">
      <c r="B227" s="20">
        <v>223</v>
      </c>
      <c r="C227" s="19">
        <v>43688</v>
      </c>
      <c r="D227" s="21" t="s">
        <v>9</v>
      </c>
      <c r="E227" s="21" t="s">
        <v>24</v>
      </c>
      <c r="F227" s="21" t="s">
        <v>23</v>
      </c>
      <c r="G227" s="22">
        <v>600</v>
      </c>
      <c r="H227" s="20">
        <v>1</v>
      </c>
      <c r="I227" s="32">
        <f>Town_Team[[#This Row],[Item quantity]]*Town_Team[[#This Row],[Selling price]]</f>
        <v>600</v>
      </c>
      <c r="J227" s="33">
        <f>IF(Town_Team[[#This Row],[Item name]]=" Jeans - Denim",Town_Team[[#This Row],[Item Amount]]*85%,Town_Team[[#This Row],[Item Amount]])</f>
        <v>600</v>
      </c>
      <c r="K227" s="39" t="str">
        <f>TEXT(Town_Team[[#This Row],[Date ]],"dddd")</f>
        <v>Sunday</v>
      </c>
    </row>
    <row r="228" spans="2:11" hidden="1" x14ac:dyDescent="0.3">
      <c r="B228" s="20">
        <v>224</v>
      </c>
      <c r="C228" s="19">
        <v>43689</v>
      </c>
      <c r="D228" s="21" t="s">
        <v>9</v>
      </c>
      <c r="E228" s="21" t="s">
        <v>24</v>
      </c>
      <c r="F228" s="21" t="s">
        <v>23</v>
      </c>
      <c r="G228" s="22">
        <v>600</v>
      </c>
      <c r="H228" s="20">
        <v>1</v>
      </c>
      <c r="I228" s="32">
        <f>Town_Team[[#This Row],[Item quantity]]*Town_Team[[#This Row],[Selling price]]</f>
        <v>600</v>
      </c>
      <c r="J228" s="33">
        <f>IF(Town_Team[[#This Row],[Item name]]=" Jeans - Denim",Town_Team[[#This Row],[Item Amount]]*85%,Town_Team[[#This Row],[Item Amount]])</f>
        <v>600</v>
      </c>
      <c r="K228" s="39" t="str">
        <f>TEXT(Town_Team[[#This Row],[Date ]],"dddd")</f>
        <v>Monday</v>
      </c>
    </row>
    <row r="229" spans="2:11" hidden="1" x14ac:dyDescent="0.3">
      <c r="B229" s="20">
        <v>225</v>
      </c>
      <c r="C229" s="19">
        <v>43690</v>
      </c>
      <c r="D229" s="21" t="s">
        <v>9</v>
      </c>
      <c r="E229" s="21" t="s">
        <v>19</v>
      </c>
      <c r="F229" s="21" t="s">
        <v>20</v>
      </c>
      <c r="G229" s="22">
        <v>850</v>
      </c>
      <c r="H229" s="20">
        <v>1</v>
      </c>
      <c r="I229" s="32">
        <f>Town_Team[[#This Row],[Item quantity]]*Town_Team[[#This Row],[Selling price]]</f>
        <v>850</v>
      </c>
      <c r="J229" s="33">
        <f>IF(Town_Team[[#This Row],[Item name]]=" Jeans - Denim",Town_Team[[#This Row],[Item Amount]]*85%,Town_Team[[#This Row],[Item Amount]])</f>
        <v>850</v>
      </c>
      <c r="K229" s="39" t="str">
        <f>TEXT(Town_Team[[#This Row],[Date ]],"dddd")</f>
        <v>Tuesday</v>
      </c>
    </row>
    <row r="230" spans="2:11" hidden="1" x14ac:dyDescent="0.3">
      <c r="B230" s="20">
        <v>226</v>
      </c>
      <c r="C230" s="19">
        <v>43691</v>
      </c>
      <c r="D230" s="21" t="s">
        <v>9</v>
      </c>
      <c r="E230" s="21" t="s">
        <v>24</v>
      </c>
      <c r="F230" s="21" t="s">
        <v>23</v>
      </c>
      <c r="G230" s="22">
        <v>600</v>
      </c>
      <c r="H230" s="20">
        <v>1</v>
      </c>
      <c r="I230" s="32">
        <f>Town_Team[[#This Row],[Item quantity]]*Town_Team[[#This Row],[Selling price]]</f>
        <v>600</v>
      </c>
      <c r="J230" s="33">
        <f>IF(Town_Team[[#This Row],[Item name]]=" Jeans - Denim",Town_Team[[#This Row],[Item Amount]]*85%,Town_Team[[#This Row],[Item Amount]])</f>
        <v>600</v>
      </c>
      <c r="K230" s="39" t="str">
        <f>TEXT(Town_Team[[#This Row],[Date ]],"dddd")</f>
        <v>Wednesday</v>
      </c>
    </row>
    <row r="231" spans="2:11" hidden="1" x14ac:dyDescent="0.3">
      <c r="B231" s="20">
        <v>227</v>
      </c>
      <c r="C231" s="19">
        <v>43692</v>
      </c>
      <c r="D231" s="21" t="s">
        <v>9</v>
      </c>
      <c r="E231" s="21" t="s">
        <v>18</v>
      </c>
      <c r="F231" s="21" t="s">
        <v>17</v>
      </c>
      <c r="G231" s="22">
        <v>600</v>
      </c>
      <c r="H231" s="20">
        <v>1</v>
      </c>
      <c r="I231" s="32">
        <f>Town_Team[[#This Row],[Item quantity]]*Town_Team[[#This Row],[Selling price]]</f>
        <v>600</v>
      </c>
      <c r="J231" s="33">
        <f>IF(Town_Team[[#This Row],[Item name]]=" Jeans - Denim",Town_Team[[#This Row],[Item Amount]]*85%,Town_Team[[#This Row],[Item Amount]])</f>
        <v>600</v>
      </c>
      <c r="K231" s="39" t="str">
        <f>TEXT(Town_Team[[#This Row],[Date ]],"dddd")</f>
        <v>Thursday</v>
      </c>
    </row>
    <row r="232" spans="2:11" hidden="1" x14ac:dyDescent="0.3">
      <c r="B232" s="20">
        <v>228</v>
      </c>
      <c r="C232" s="19">
        <v>43693</v>
      </c>
      <c r="D232" s="21" t="s">
        <v>9</v>
      </c>
      <c r="E232" s="21" t="s">
        <v>24</v>
      </c>
      <c r="F232" s="21" t="s">
        <v>23</v>
      </c>
      <c r="G232" s="22">
        <v>600</v>
      </c>
      <c r="H232" s="20">
        <v>1</v>
      </c>
      <c r="I232" s="32">
        <f>Town_Team[[#This Row],[Item quantity]]*Town_Team[[#This Row],[Selling price]]</f>
        <v>600</v>
      </c>
      <c r="J232" s="33">
        <f>IF(Town_Team[[#This Row],[Item name]]=" Jeans - Denim",Town_Team[[#This Row],[Item Amount]]*85%,Town_Team[[#This Row],[Item Amount]])</f>
        <v>600</v>
      </c>
      <c r="K232" s="39" t="str">
        <f>TEXT(Town_Team[[#This Row],[Date ]],"dddd")</f>
        <v>Friday</v>
      </c>
    </row>
    <row r="233" spans="2:11" hidden="1" x14ac:dyDescent="0.3">
      <c r="B233" s="20">
        <v>229</v>
      </c>
      <c r="C233" s="19">
        <v>43694</v>
      </c>
      <c r="D233" s="21" t="s">
        <v>9</v>
      </c>
      <c r="E233" s="21" t="s">
        <v>10</v>
      </c>
      <c r="F233" s="21" t="s">
        <v>11</v>
      </c>
      <c r="G233" s="22">
        <v>1100</v>
      </c>
      <c r="H233" s="20">
        <v>1</v>
      </c>
      <c r="I233" s="32">
        <f>Town_Team[[#This Row],[Item quantity]]*Town_Team[[#This Row],[Selling price]]</f>
        <v>1100</v>
      </c>
      <c r="J233" s="33">
        <f>IF(Town_Team[[#This Row],[Item name]]=" Jeans - Denim",Town_Team[[#This Row],[Item Amount]]*85%,Town_Team[[#This Row],[Item Amount]])</f>
        <v>1100</v>
      </c>
      <c r="K233" s="39" t="str">
        <f>TEXT(Town_Team[[#This Row],[Date ]],"dddd")</f>
        <v>Saturday</v>
      </c>
    </row>
    <row r="234" spans="2:11" hidden="1" x14ac:dyDescent="0.3">
      <c r="B234" s="20">
        <v>230</v>
      </c>
      <c r="C234" s="19">
        <v>43695</v>
      </c>
      <c r="D234" s="21" t="s">
        <v>9</v>
      </c>
      <c r="E234" s="21" t="s">
        <v>18</v>
      </c>
      <c r="F234" s="21" t="s">
        <v>17</v>
      </c>
      <c r="G234" s="22">
        <v>600</v>
      </c>
      <c r="H234" s="20">
        <v>1</v>
      </c>
      <c r="I234" s="32">
        <f>Town_Team[[#This Row],[Item quantity]]*Town_Team[[#This Row],[Selling price]]</f>
        <v>600</v>
      </c>
      <c r="J234" s="33">
        <f>IF(Town_Team[[#This Row],[Item name]]=" Jeans - Denim",Town_Team[[#This Row],[Item Amount]]*85%,Town_Team[[#This Row],[Item Amount]])</f>
        <v>600</v>
      </c>
      <c r="K234" s="39" t="str">
        <f>TEXT(Town_Team[[#This Row],[Date ]],"dddd")</f>
        <v>Sunday</v>
      </c>
    </row>
    <row r="235" spans="2:11" hidden="1" x14ac:dyDescent="0.3">
      <c r="B235" s="20">
        <v>231</v>
      </c>
      <c r="C235" s="19">
        <v>43696</v>
      </c>
      <c r="D235" s="21" t="s">
        <v>9</v>
      </c>
      <c r="E235" s="21" t="s">
        <v>10</v>
      </c>
      <c r="F235" s="21" t="s">
        <v>11</v>
      </c>
      <c r="G235" s="22">
        <v>1100</v>
      </c>
      <c r="H235" s="20">
        <v>1</v>
      </c>
      <c r="I235" s="32">
        <f>Town_Team[[#This Row],[Item quantity]]*Town_Team[[#This Row],[Selling price]]</f>
        <v>1100</v>
      </c>
      <c r="J235" s="33">
        <f>IF(Town_Team[[#This Row],[Item name]]=" Jeans - Denim",Town_Team[[#This Row],[Item Amount]]*85%,Town_Team[[#This Row],[Item Amount]])</f>
        <v>1100</v>
      </c>
      <c r="K235" s="39" t="str">
        <f>TEXT(Town_Team[[#This Row],[Date ]],"dddd")</f>
        <v>Monday</v>
      </c>
    </row>
    <row r="236" spans="2:11" hidden="1" x14ac:dyDescent="0.3">
      <c r="B236" s="20">
        <v>232</v>
      </c>
      <c r="C236" s="19">
        <v>43697</v>
      </c>
      <c r="D236" s="21" t="s">
        <v>9</v>
      </c>
      <c r="E236" s="21" t="s">
        <v>10</v>
      </c>
      <c r="F236" s="21" t="s">
        <v>11</v>
      </c>
      <c r="G236" s="22">
        <v>1100</v>
      </c>
      <c r="H236" s="20">
        <v>1</v>
      </c>
      <c r="I236" s="32">
        <f>Town_Team[[#This Row],[Item quantity]]*Town_Team[[#This Row],[Selling price]]</f>
        <v>1100</v>
      </c>
      <c r="J236" s="33">
        <f>IF(Town_Team[[#This Row],[Item name]]=" Jeans - Denim",Town_Team[[#This Row],[Item Amount]]*85%,Town_Team[[#This Row],[Item Amount]])</f>
        <v>1100</v>
      </c>
      <c r="K236" s="39" t="str">
        <f>TEXT(Town_Team[[#This Row],[Date ]],"dddd")</f>
        <v>Tuesday</v>
      </c>
    </row>
    <row r="237" spans="2:11" hidden="1" x14ac:dyDescent="0.3">
      <c r="B237" s="20">
        <v>233</v>
      </c>
      <c r="C237" s="19">
        <v>43698</v>
      </c>
      <c r="D237" s="21" t="s">
        <v>9</v>
      </c>
      <c r="E237" s="21" t="s">
        <v>10</v>
      </c>
      <c r="F237" s="21" t="s">
        <v>11</v>
      </c>
      <c r="G237" s="22">
        <v>1100</v>
      </c>
      <c r="H237" s="20">
        <v>1</v>
      </c>
      <c r="I237" s="32">
        <f>Town_Team[[#This Row],[Item quantity]]*Town_Team[[#This Row],[Selling price]]</f>
        <v>1100</v>
      </c>
      <c r="J237" s="33">
        <f>IF(Town_Team[[#This Row],[Item name]]=" Jeans - Denim",Town_Team[[#This Row],[Item Amount]]*85%,Town_Team[[#This Row],[Item Amount]])</f>
        <v>1100</v>
      </c>
      <c r="K237" s="39" t="str">
        <f>TEXT(Town_Team[[#This Row],[Date ]],"dddd")</f>
        <v>Wednesday</v>
      </c>
    </row>
    <row r="238" spans="2:11" hidden="1" x14ac:dyDescent="0.3">
      <c r="B238" s="20">
        <v>234</v>
      </c>
      <c r="C238" s="19">
        <v>43699</v>
      </c>
      <c r="D238" s="21" t="s">
        <v>9</v>
      </c>
      <c r="E238" s="21" t="s">
        <v>19</v>
      </c>
      <c r="F238" s="21" t="s">
        <v>20</v>
      </c>
      <c r="G238" s="22">
        <v>850</v>
      </c>
      <c r="H238" s="20">
        <v>1</v>
      </c>
      <c r="I238" s="32">
        <f>Town_Team[[#This Row],[Item quantity]]*Town_Team[[#This Row],[Selling price]]</f>
        <v>850</v>
      </c>
      <c r="J238" s="33">
        <f>IF(Town_Team[[#This Row],[Item name]]=" Jeans - Denim",Town_Team[[#This Row],[Item Amount]]*85%,Town_Team[[#This Row],[Item Amount]])</f>
        <v>850</v>
      </c>
      <c r="K238" s="39" t="str">
        <f>TEXT(Town_Team[[#This Row],[Date ]],"dddd")</f>
        <v>Thursday</v>
      </c>
    </row>
    <row r="239" spans="2:11" hidden="1" x14ac:dyDescent="0.3">
      <c r="B239" s="20">
        <v>235</v>
      </c>
      <c r="C239" s="19">
        <v>43700</v>
      </c>
      <c r="D239" s="21" t="s">
        <v>9</v>
      </c>
      <c r="E239" s="21" t="s">
        <v>18</v>
      </c>
      <c r="F239" s="21" t="s">
        <v>17</v>
      </c>
      <c r="G239" s="22">
        <v>600</v>
      </c>
      <c r="H239" s="20">
        <v>1</v>
      </c>
      <c r="I239" s="32">
        <f>Town_Team[[#This Row],[Item quantity]]*Town_Team[[#This Row],[Selling price]]</f>
        <v>600</v>
      </c>
      <c r="J239" s="33">
        <f>IF(Town_Team[[#This Row],[Item name]]=" Jeans - Denim",Town_Team[[#This Row],[Item Amount]]*85%,Town_Team[[#This Row],[Item Amount]])</f>
        <v>600</v>
      </c>
      <c r="K239" s="39" t="str">
        <f>TEXT(Town_Team[[#This Row],[Date ]],"dddd")</f>
        <v>Friday</v>
      </c>
    </row>
    <row r="240" spans="2:11" hidden="1" x14ac:dyDescent="0.3">
      <c r="B240" s="20">
        <v>236</v>
      </c>
      <c r="C240" s="19">
        <v>43701</v>
      </c>
      <c r="D240" s="21" t="s">
        <v>9</v>
      </c>
      <c r="E240" s="21" t="s">
        <v>18</v>
      </c>
      <c r="F240" s="21" t="s">
        <v>17</v>
      </c>
      <c r="G240" s="22">
        <v>600</v>
      </c>
      <c r="H240" s="20">
        <v>1</v>
      </c>
      <c r="I240" s="32">
        <f>Town_Team[[#This Row],[Item quantity]]*Town_Team[[#This Row],[Selling price]]</f>
        <v>600</v>
      </c>
      <c r="J240" s="33">
        <f>IF(Town_Team[[#This Row],[Item name]]=" Jeans - Denim",Town_Team[[#This Row],[Item Amount]]*85%,Town_Team[[#This Row],[Item Amount]])</f>
        <v>600</v>
      </c>
      <c r="K240" s="39" t="str">
        <f>TEXT(Town_Team[[#This Row],[Date ]],"dddd")</f>
        <v>Saturday</v>
      </c>
    </row>
    <row r="241" spans="2:11" hidden="1" x14ac:dyDescent="0.3">
      <c r="B241" s="20">
        <v>237</v>
      </c>
      <c r="C241" s="19">
        <v>43702</v>
      </c>
      <c r="D241" s="21" t="s">
        <v>9</v>
      </c>
      <c r="E241" s="21" t="s">
        <v>16</v>
      </c>
      <c r="F241" s="21" t="s">
        <v>17</v>
      </c>
      <c r="G241" s="22">
        <v>800</v>
      </c>
      <c r="H241" s="20">
        <v>1</v>
      </c>
      <c r="I241" s="32">
        <f>Town_Team[[#This Row],[Item quantity]]*Town_Team[[#This Row],[Selling price]]</f>
        <v>800</v>
      </c>
      <c r="J241" s="33">
        <f>IF(Town_Team[[#This Row],[Item name]]=" Jeans - Denim",Town_Team[[#This Row],[Item Amount]]*85%,Town_Team[[#This Row],[Item Amount]])</f>
        <v>800</v>
      </c>
      <c r="K241" s="39" t="str">
        <f>TEXT(Town_Team[[#This Row],[Date ]],"dddd")</f>
        <v>Sunday</v>
      </c>
    </row>
    <row r="242" spans="2:11" hidden="1" x14ac:dyDescent="0.3">
      <c r="B242" s="20">
        <v>238</v>
      </c>
      <c r="C242" s="19">
        <v>43703</v>
      </c>
      <c r="D242" s="21" t="s">
        <v>9</v>
      </c>
      <c r="E242" s="21" t="s">
        <v>21</v>
      </c>
      <c r="F242" s="21" t="s">
        <v>20</v>
      </c>
      <c r="G242" s="22">
        <v>1200</v>
      </c>
      <c r="H242" s="20">
        <v>1</v>
      </c>
      <c r="I242" s="32">
        <f>Town_Team[[#This Row],[Item quantity]]*Town_Team[[#This Row],[Selling price]]</f>
        <v>1200</v>
      </c>
      <c r="J242" s="33">
        <f>IF(Town_Team[[#This Row],[Item name]]=" Jeans - Denim",Town_Team[[#This Row],[Item Amount]]*85%,Town_Team[[#This Row],[Item Amount]])</f>
        <v>1200</v>
      </c>
      <c r="K242" s="39" t="str">
        <f>TEXT(Town_Team[[#This Row],[Date ]],"dddd")</f>
        <v>Monday</v>
      </c>
    </row>
    <row r="243" spans="2:11" hidden="1" x14ac:dyDescent="0.3">
      <c r="B243" s="20">
        <v>239</v>
      </c>
      <c r="C243" s="19">
        <v>43704</v>
      </c>
      <c r="D243" s="21" t="s">
        <v>9</v>
      </c>
      <c r="E243" s="21" t="s">
        <v>15</v>
      </c>
      <c r="F243" s="21" t="s">
        <v>11</v>
      </c>
      <c r="G243" s="22">
        <v>1000</v>
      </c>
      <c r="H243" s="20">
        <v>1</v>
      </c>
      <c r="I243" s="32">
        <f>Town_Team[[#This Row],[Item quantity]]*Town_Team[[#This Row],[Selling price]]</f>
        <v>1000</v>
      </c>
      <c r="J243" s="33">
        <f>IF(Town_Team[[#This Row],[Item name]]=" Jeans - Denim",Town_Team[[#This Row],[Item Amount]]*85%,Town_Team[[#This Row],[Item Amount]])</f>
        <v>1000</v>
      </c>
      <c r="K243" s="39" t="str">
        <f>TEXT(Town_Team[[#This Row],[Date ]],"dddd")</f>
        <v>Tuesday</v>
      </c>
    </row>
    <row r="244" spans="2:11" hidden="1" x14ac:dyDescent="0.3">
      <c r="B244" s="20">
        <v>240</v>
      </c>
      <c r="C244" s="19">
        <v>43705</v>
      </c>
      <c r="D244" s="21" t="s">
        <v>9</v>
      </c>
      <c r="E244" s="21" t="s">
        <v>24</v>
      </c>
      <c r="F244" s="21" t="s">
        <v>23</v>
      </c>
      <c r="G244" s="22">
        <v>600</v>
      </c>
      <c r="H244" s="20">
        <v>1</v>
      </c>
      <c r="I244" s="32">
        <f>Town_Team[[#This Row],[Item quantity]]*Town_Team[[#This Row],[Selling price]]</f>
        <v>600</v>
      </c>
      <c r="J244" s="33">
        <f>IF(Town_Team[[#This Row],[Item name]]=" Jeans - Denim",Town_Team[[#This Row],[Item Amount]]*85%,Town_Team[[#This Row],[Item Amount]])</f>
        <v>600</v>
      </c>
      <c r="K244" s="39" t="str">
        <f>TEXT(Town_Team[[#This Row],[Date ]],"dddd")</f>
        <v>Wednesday</v>
      </c>
    </row>
    <row r="245" spans="2:11" hidden="1" x14ac:dyDescent="0.3">
      <c r="B245" s="20">
        <v>241</v>
      </c>
      <c r="C245" s="19">
        <v>43706</v>
      </c>
      <c r="D245" s="21" t="s">
        <v>9</v>
      </c>
      <c r="E245" s="21" t="s">
        <v>14</v>
      </c>
      <c r="F245" s="21" t="s">
        <v>11</v>
      </c>
      <c r="G245" s="22">
        <v>900</v>
      </c>
      <c r="H245" s="20">
        <v>1</v>
      </c>
      <c r="I245" s="32">
        <f>Town_Team[[#This Row],[Item quantity]]*Town_Team[[#This Row],[Selling price]]</f>
        <v>900</v>
      </c>
      <c r="J245" s="33">
        <f>IF(Town_Team[[#This Row],[Item name]]=" Jeans - Denim",Town_Team[[#This Row],[Item Amount]]*85%,Town_Team[[#This Row],[Item Amount]])</f>
        <v>900</v>
      </c>
      <c r="K245" s="39" t="str">
        <f>TEXT(Town_Team[[#This Row],[Date ]],"dddd")</f>
        <v>Thursday</v>
      </c>
    </row>
    <row r="246" spans="2:11" hidden="1" x14ac:dyDescent="0.3">
      <c r="B246" s="20">
        <v>242</v>
      </c>
      <c r="C246" s="19">
        <v>43707</v>
      </c>
      <c r="D246" s="21" t="s">
        <v>9</v>
      </c>
      <c r="E246" s="21" t="s">
        <v>18</v>
      </c>
      <c r="F246" s="21" t="s">
        <v>17</v>
      </c>
      <c r="G246" s="22">
        <v>600</v>
      </c>
      <c r="H246" s="20">
        <v>1</v>
      </c>
      <c r="I246" s="32">
        <f>Town_Team[[#This Row],[Item quantity]]*Town_Team[[#This Row],[Selling price]]</f>
        <v>600</v>
      </c>
      <c r="J246" s="33">
        <f>IF(Town_Team[[#This Row],[Item name]]=" Jeans - Denim",Town_Team[[#This Row],[Item Amount]]*85%,Town_Team[[#This Row],[Item Amount]])</f>
        <v>600</v>
      </c>
      <c r="K246" s="39" t="str">
        <f>TEXT(Town_Team[[#This Row],[Date ]],"dddd")</f>
        <v>Friday</v>
      </c>
    </row>
    <row r="247" spans="2:11" hidden="1" x14ac:dyDescent="0.3">
      <c r="B247" s="20">
        <v>243</v>
      </c>
      <c r="C247" s="19">
        <v>43708</v>
      </c>
      <c r="D247" s="21" t="s">
        <v>9</v>
      </c>
      <c r="E247" s="21" t="s">
        <v>12</v>
      </c>
      <c r="F247" s="21" t="s">
        <v>11</v>
      </c>
      <c r="G247" s="22">
        <v>900</v>
      </c>
      <c r="H247" s="20">
        <v>1</v>
      </c>
      <c r="I247" s="32">
        <f>Town_Team[[#This Row],[Item quantity]]*Town_Team[[#This Row],[Selling price]]</f>
        <v>900</v>
      </c>
      <c r="J247" s="33">
        <f>IF(Town_Team[[#This Row],[Item name]]=" Jeans - Denim",Town_Team[[#This Row],[Item Amount]]*85%,Town_Team[[#This Row],[Item Amount]])</f>
        <v>765</v>
      </c>
      <c r="K247" s="39" t="str">
        <f>TEXT(Town_Team[[#This Row],[Date ]],"dddd")</f>
        <v>Saturday</v>
      </c>
    </row>
    <row r="248" spans="2:11" hidden="1" x14ac:dyDescent="0.3">
      <c r="B248" s="20">
        <v>244</v>
      </c>
      <c r="C248" s="19">
        <v>43709</v>
      </c>
      <c r="D248" s="21" t="s">
        <v>9</v>
      </c>
      <c r="E248" s="21" t="s">
        <v>24</v>
      </c>
      <c r="F248" s="21" t="s">
        <v>23</v>
      </c>
      <c r="G248" s="22">
        <v>600</v>
      </c>
      <c r="H248" s="20">
        <v>1</v>
      </c>
      <c r="I248" s="32">
        <f>Town_Team[[#This Row],[Item quantity]]*Town_Team[[#This Row],[Selling price]]</f>
        <v>600</v>
      </c>
      <c r="J248" s="33">
        <f>IF(Town_Team[[#This Row],[Item name]]=" Jeans - Denim",Town_Team[[#This Row],[Item Amount]]*85%,Town_Team[[#This Row],[Item Amount]])</f>
        <v>600</v>
      </c>
      <c r="K248" s="39" t="str">
        <f>TEXT(Town_Team[[#This Row],[Date ]],"dddd")</f>
        <v>Sunday</v>
      </c>
    </row>
    <row r="249" spans="2:11" hidden="1" x14ac:dyDescent="0.3">
      <c r="B249" s="20">
        <v>245</v>
      </c>
      <c r="C249" s="19">
        <v>43710</v>
      </c>
      <c r="D249" s="21" t="s">
        <v>9</v>
      </c>
      <c r="E249" s="21" t="s">
        <v>19</v>
      </c>
      <c r="F249" s="21" t="s">
        <v>20</v>
      </c>
      <c r="G249" s="22">
        <v>850</v>
      </c>
      <c r="H249" s="20">
        <v>1</v>
      </c>
      <c r="I249" s="32">
        <f>Town_Team[[#This Row],[Item quantity]]*Town_Team[[#This Row],[Selling price]]</f>
        <v>850</v>
      </c>
      <c r="J249" s="33">
        <f>IF(Town_Team[[#This Row],[Item name]]=" Jeans - Denim",Town_Team[[#This Row],[Item Amount]]*85%,Town_Team[[#This Row],[Item Amount]])</f>
        <v>850</v>
      </c>
      <c r="K249" s="39" t="str">
        <f>TEXT(Town_Team[[#This Row],[Date ]],"dddd")</f>
        <v>Monday</v>
      </c>
    </row>
    <row r="250" spans="2:11" hidden="1" x14ac:dyDescent="0.3">
      <c r="B250" s="20">
        <v>246</v>
      </c>
      <c r="C250" s="19">
        <v>43711</v>
      </c>
      <c r="D250" s="21" t="s">
        <v>9</v>
      </c>
      <c r="E250" s="21" t="s">
        <v>14</v>
      </c>
      <c r="F250" s="21" t="s">
        <v>11</v>
      </c>
      <c r="G250" s="22">
        <v>900</v>
      </c>
      <c r="H250" s="20">
        <v>1</v>
      </c>
      <c r="I250" s="32">
        <f>Town_Team[[#This Row],[Item quantity]]*Town_Team[[#This Row],[Selling price]]</f>
        <v>900</v>
      </c>
      <c r="J250" s="33">
        <f>IF(Town_Team[[#This Row],[Item name]]=" Jeans - Denim",Town_Team[[#This Row],[Item Amount]]*85%,Town_Team[[#This Row],[Item Amount]])</f>
        <v>900</v>
      </c>
      <c r="K250" s="39" t="str">
        <f>TEXT(Town_Team[[#This Row],[Date ]],"dddd")</f>
        <v>Tuesday</v>
      </c>
    </row>
    <row r="251" spans="2:11" hidden="1" x14ac:dyDescent="0.3">
      <c r="B251" s="20">
        <v>247</v>
      </c>
      <c r="C251" s="19">
        <v>43712</v>
      </c>
      <c r="D251" s="21" t="s">
        <v>9</v>
      </c>
      <c r="E251" s="21" t="s">
        <v>10</v>
      </c>
      <c r="F251" s="21" t="s">
        <v>11</v>
      </c>
      <c r="G251" s="22">
        <v>1100</v>
      </c>
      <c r="H251" s="20">
        <v>1</v>
      </c>
      <c r="I251" s="32">
        <f>Town_Team[[#This Row],[Item quantity]]*Town_Team[[#This Row],[Selling price]]</f>
        <v>1100</v>
      </c>
      <c r="J251" s="33">
        <f>IF(Town_Team[[#This Row],[Item name]]=" Jeans - Denim",Town_Team[[#This Row],[Item Amount]]*85%,Town_Team[[#This Row],[Item Amount]])</f>
        <v>1100</v>
      </c>
      <c r="K251" s="39" t="str">
        <f>TEXT(Town_Team[[#This Row],[Date ]],"dddd")</f>
        <v>Wednesday</v>
      </c>
    </row>
    <row r="252" spans="2:11" hidden="1" x14ac:dyDescent="0.3">
      <c r="B252" s="20">
        <v>248</v>
      </c>
      <c r="C252" s="19">
        <v>43713</v>
      </c>
      <c r="D252" s="21" t="s">
        <v>9</v>
      </c>
      <c r="E252" s="21" t="s">
        <v>14</v>
      </c>
      <c r="F252" s="21" t="s">
        <v>11</v>
      </c>
      <c r="G252" s="22">
        <v>900</v>
      </c>
      <c r="H252" s="20">
        <v>1</v>
      </c>
      <c r="I252" s="32">
        <f>Town_Team[[#This Row],[Item quantity]]*Town_Team[[#This Row],[Selling price]]</f>
        <v>900</v>
      </c>
      <c r="J252" s="33">
        <f>IF(Town_Team[[#This Row],[Item name]]=" Jeans - Denim",Town_Team[[#This Row],[Item Amount]]*85%,Town_Team[[#This Row],[Item Amount]])</f>
        <v>900</v>
      </c>
      <c r="K252" s="39" t="str">
        <f>TEXT(Town_Team[[#This Row],[Date ]],"dddd")</f>
        <v>Thursday</v>
      </c>
    </row>
    <row r="253" spans="2:11" hidden="1" x14ac:dyDescent="0.3">
      <c r="B253" s="20">
        <v>249</v>
      </c>
      <c r="C253" s="19">
        <v>43714</v>
      </c>
      <c r="D253" s="21" t="s">
        <v>9</v>
      </c>
      <c r="E253" s="21" t="s">
        <v>15</v>
      </c>
      <c r="F253" s="21" t="s">
        <v>11</v>
      </c>
      <c r="G253" s="22">
        <v>1000</v>
      </c>
      <c r="H253" s="20">
        <v>1</v>
      </c>
      <c r="I253" s="32">
        <f>Town_Team[[#This Row],[Item quantity]]*Town_Team[[#This Row],[Selling price]]</f>
        <v>1000</v>
      </c>
      <c r="J253" s="33">
        <f>IF(Town_Team[[#This Row],[Item name]]=" Jeans - Denim",Town_Team[[#This Row],[Item Amount]]*85%,Town_Team[[#This Row],[Item Amount]])</f>
        <v>1000</v>
      </c>
      <c r="K253" s="39" t="str">
        <f>TEXT(Town_Team[[#This Row],[Date ]],"dddd")</f>
        <v>Friday</v>
      </c>
    </row>
    <row r="254" spans="2:11" hidden="1" x14ac:dyDescent="0.3">
      <c r="B254" s="20">
        <v>250</v>
      </c>
      <c r="C254" s="19">
        <v>43715</v>
      </c>
      <c r="D254" s="21" t="s">
        <v>9</v>
      </c>
      <c r="E254" s="21" t="s">
        <v>10</v>
      </c>
      <c r="F254" s="21" t="s">
        <v>11</v>
      </c>
      <c r="G254" s="22">
        <v>1100</v>
      </c>
      <c r="H254" s="20">
        <v>1</v>
      </c>
      <c r="I254" s="32">
        <f>Town_Team[[#This Row],[Item quantity]]*Town_Team[[#This Row],[Selling price]]</f>
        <v>1100</v>
      </c>
      <c r="J254" s="33">
        <f>IF(Town_Team[[#This Row],[Item name]]=" Jeans - Denim",Town_Team[[#This Row],[Item Amount]]*85%,Town_Team[[#This Row],[Item Amount]])</f>
        <v>1100</v>
      </c>
      <c r="K254" s="39" t="str">
        <f>TEXT(Town_Team[[#This Row],[Date ]],"dddd")</f>
        <v>Saturday</v>
      </c>
    </row>
    <row r="255" spans="2:11" hidden="1" x14ac:dyDescent="0.3">
      <c r="B255" s="20">
        <v>251</v>
      </c>
      <c r="C255" s="19">
        <v>43716</v>
      </c>
      <c r="D255" s="21" t="s">
        <v>9</v>
      </c>
      <c r="E255" s="21" t="s">
        <v>15</v>
      </c>
      <c r="F255" s="21" t="s">
        <v>11</v>
      </c>
      <c r="G255" s="22">
        <v>1000</v>
      </c>
      <c r="H255" s="20">
        <v>1</v>
      </c>
      <c r="I255" s="32">
        <f>Town_Team[[#This Row],[Item quantity]]*Town_Team[[#This Row],[Selling price]]</f>
        <v>1000</v>
      </c>
      <c r="J255" s="33">
        <f>IF(Town_Team[[#This Row],[Item name]]=" Jeans - Denim",Town_Team[[#This Row],[Item Amount]]*85%,Town_Team[[#This Row],[Item Amount]])</f>
        <v>1000</v>
      </c>
      <c r="K255" s="39" t="str">
        <f>TEXT(Town_Team[[#This Row],[Date ]],"dddd")</f>
        <v>Sunday</v>
      </c>
    </row>
    <row r="256" spans="2:11" hidden="1" x14ac:dyDescent="0.3">
      <c r="B256" s="20">
        <v>252</v>
      </c>
      <c r="C256" s="19">
        <v>43717</v>
      </c>
      <c r="D256" s="21" t="s">
        <v>9</v>
      </c>
      <c r="E256" s="21" t="s">
        <v>10</v>
      </c>
      <c r="F256" s="21" t="s">
        <v>11</v>
      </c>
      <c r="G256" s="22">
        <v>1100</v>
      </c>
      <c r="H256" s="20">
        <v>1</v>
      </c>
      <c r="I256" s="32">
        <f>Town_Team[[#This Row],[Item quantity]]*Town_Team[[#This Row],[Selling price]]</f>
        <v>1100</v>
      </c>
      <c r="J256" s="33">
        <f>IF(Town_Team[[#This Row],[Item name]]=" Jeans - Denim",Town_Team[[#This Row],[Item Amount]]*85%,Town_Team[[#This Row],[Item Amount]])</f>
        <v>1100</v>
      </c>
      <c r="K256" s="39" t="str">
        <f>TEXT(Town_Team[[#This Row],[Date ]],"dddd")</f>
        <v>Monday</v>
      </c>
    </row>
    <row r="257" spans="2:11" hidden="1" x14ac:dyDescent="0.3">
      <c r="B257" s="20">
        <v>253</v>
      </c>
      <c r="C257" s="19">
        <v>43718</v>
      </c>
      <c r="D257" s="21" t="s">
        <v>9</v>
      </c>
      <c r="E257" s="21" t="s">
        <v>14</v>
      </c>
      <c r="F257" s="21" t="s">
        <v>11</v>
      </c>
      <c r="G257" s="22">
        <v>900</v>
      </c>
      <c r="H257" s="20">
        <v>1</v>
      </c>
      <c r="I257" s="32">
        <f>Town_Team[[#This Row],[Item quantity]]*Town_Team[[#This Row],[Selling price]]</f>
        <v>900</v>
      </c>
      <c r="J257" s="33">
        <f>IF(Town_Team[[#This Row],[Item name]]=" Jeans - Denim",Town_Team[[#This Row],[Item Amount]]*85%,Town_Team[[#This Row],[Item Amount]])</f>
        <v>900</v>
      </c>
      <c r="K257" s="39" t="str">
        <f>TEXT(Town_Team[[#This Row],[Date ]],"dddd")</f>
        <v>Tuesday</v>
      </c>
    </row>
    <row r="258" spans="2:11" hidden="1" x14ac:dyDescent="0.3">
      <c r="B258" s="20">
        <v>254</v>
      </c>
      <c r="C258" s="19">
        <v>43719</v>
      </c>
      <c r="D258" s="21" t="s">
        <v>9</v>
      </c>
      <c r="E258" s="21" t="s">
        <v>12</v>
      </c>
      <c r="F258" s="21" t="s">
        <v>11</v>
      </c>
      <c r="G258" s="22">
        <v>900</v>
      </c>
      <c r="H258" s="20">
        <v>1</v>
      </c>
      <c r="I258" s="32">
        <f>Town_Team[[#This Row],[Item quantity]]*Town_Team[[#This Row],[Selling price]]</f>
        <v>900</v>
      </c>
      <c r="J258" s="33">
        <f>IF(Town_Team[[#This Row],[Item name]]=" Jeans - Denim",Town_Team[[#This Row],[Item Amount]]*85%,Town_Team[[#This Row],[Item Amount]])</f>
        <v>765</v>
      </c>
      <c r="K258" s="39" t="str">
        <f>TEXT(Town_Team[[#This Row],[Date ]],"dddd")</f>
        <v>Wednesday</v>
      </c>
    </row>
    <row r="259" spans="2:11" hidden="1" x14ac:dyDescent="0.3">
      <c r="B259" s="20">
        <v>255</v>
      </c>
      <c r="C259" s="19">
        <v>43720</v>
      </c>
      <c r="D259" s="21" t="s">
        <v>9</v>
      </c>
      <c r="E259" s="21" t="s">
        <v>10</v>
      </c>
      <c r="F259" s="21" t="s">
        <v>11</v>
      </c>
      <c r="G259" s="22">
        <v>1100</v>
      </c>
      <c r="H259" s="20">
        <v>1</v>
      </c>
      <c r="I259" s="32">
        <f>Town_Team[[#This Row],[Item quantity]]*Town_Team[[#This Row],[Selling price]]</f>
        <v>1100</v>
      </c>
      <c r="J259" s="33">
        <f>IF(Town_Team[[#This Row],[Item name]]=" Jeans - Denim",Town_Team[[#This Row],[Item Amount]]*85%,Town_Team[[#This Row],[Item Amount]])</f>
        <v>1100</v>
      </c>
      <c r="K259" s="39" t="str">
        <f>TEXT(Town_Team[[#This Row],[Date ]],"dddd")</f>
        <v>Thursday</v>
      </c>
    </row>
    <row r="260" spans="2:11" hidden="1" x14ac:dyDescent="0.3">
      <c r="B260" s="20">
        <v>256</v>
      </c>
      <c r="C260" s="19">
        <v>43721</v>
      </c>
      <c r="D260" s="21" t="s">
        <v>9</v>
      </c>
      <c r="E260" s="21" t="s">
        <v>10</v>
      </c>
      <c r="F260" s="21" t="s">
        <v>11</v>
      </c>
      <c r="G260" s="22">
        <v>1100</v>
      </c>
      <c r="H260" s="20">
        <v>1</v>
      </c>
      <c r="I260" s="32">
        <f>Town_Team[[#This Row],[Item quantity]]*Town_Team[[#This Row],[Selling price]]</f>
        <v>1100</v>
      </c>
      <c r="J260" s="33">
        <f>IF(Town_Team[[#This Row],[Item name]]=" Jeans - Denim",Town_Team[[#This Row],[Item Amount]]*85%,Town_Team[[#This Row],[Item Amount]])</f>
        <v>1100</v>
      </c>
      <c r="K260" s="39" t="str">
        <f>TEXT(Town_Team[[#This Row],[Date ]],"dddd")</f>
        <v>Friday</v>
      </c>
    </row>
    <row r="261" spans="2:11" hidden="1" x14ac:dyDescent="0.3">
      <c r="B261" s="20">
        <v>257</v>
      </c>
      <c r="C261" s="19">
        <v>43722</v>
      </c>
      <c r="D261" s="21" t="s">
        <v>9</v>
      </c>
      <c r="E261" s="21" t="s">
        <v>15</v>
      </c>
      <c r="F261" s="21" t="s">
        <v>11</v>
      </c>
      <c r="G261" s="22">
        <v>1000</v>
      </c>
      <c r="H261" s="20">
        <v>1</v>
      </c>
      <c r="I261" s="32">
        <f>Town_Team[[#This Row],[Item quantity]]*Town_Team[[#This Row],[Selling price]]</f>
        <v>1000</v>
      </c>
      <c r="J261" s="33">
        <f>IF(Town_Team[[#This Row],[Item name]]=" Jeans - Denim",Town_Team[[#This Row],[Item Amount]]*85%,Town_Team[[#This Row],[Item Amount]])</f>
        <v>1000</v>
      </c>
      <c r="K261" s="39" t="str">
        <f>TEXT(Town_Team[[#This Row],[Date ]],"dddd")</f>
        <v>Saturday</v>
      </c>
    </row>
    <row r="262" spans="2:11" hidden="1" x14ac:dyDescent="0.3">
      <c r="B262" s="20">
        <v>258</v>
      </c>
      <c r="C262" s="19">
        <v>43723</v>
      </c>
      <c r="D262" s="21" t="s">
        <v>9</v>
      </c>
      <c r="E262" s="21" t="s">
        <v>12</v>
      </c>
      <c r="F262" s="21" t="s">
        <v>11</v>
      </c>
      <c r="G262" s="22">
        <v>900</v>
      </c>
      <c r="H262" s="20">
        <v>1</v>
      </c>
      <c r="I262" s="32">
        <f>Town_Team[[#This Row],[Item quantity]]*Town_Team[[#This Row],[Selling price]]</f>
        <v>900</v>
      </c>
      <c r="J262" s="33">
        <f>IF(Town_Team[[#This Row],[Item name]]=" Jeans - Denim",Town_Team[[#This Row],[Item Amount]]*85%,Town_Team[[#This Row],[Item Amount]])</f>
        <v>765</v>
      </c>
      <c r="K262" s="39" t="str">
        <f>TEXT(Town_Team[[#This Row],[Date ]],"dddd")</f>
        <v>Sunday</v>
      </c>
    </row>
    <row r="263" spans="2:11" hidden="1" x14ac:dyDescent="0.3">
      <c r="B263" s="20">
        <v>259</v>
      </c>
      <c r="C263" s="19">
        <v>43724</v>
      </c>
      <c r="D263" s="21" t="s">
        <v>9</v>
      </c>
      <c r="E263" s="21" t="s">
        <v>18</v>
      </c>
      <c r="F263" s="21" t="s">
        <v>17</v>
      </c>
      <c r="G263" s="22">
        <v>600</v>
      </c>
      <c r="H263" s="20">
        <v>1</v>
      </c>
      <c r="I263" s="32">
        <f>Town_Team[[#This Row],[Item quantity]]*Town_Team[[#This Row],[Selling price]]</f>
        <v>600</v>
      </c>
      <c r="J263" s="33">
        <f>IF(Town_Team[[#This Row],[Item name]]=" Jeans - Denim",Town_Team[[#This Row],[Item Amount]]*85%,Town_Team[[#This Row],[Item Amount]])</f>
        <v>600</v>
      </c>
      <c r="K263" s="39" t="str">
        <f>TEXT(Town_Team[[#This Row],[Date ]],"dddd")</f>
        <v>Monday</v>
      </c>
    </row>
    <row r="264" spans="2:11" hidden="1" x14ac:dyDescent="0.3">
      <c r="B264" s="20">
        <v>260</v>
      </c>
      <c r="C264" s="19">
        <v>43725</v>
      </c>
      <c r="D264" s="21" t="s">
        <v>9</v>
      </c>
      <c r="E264" s="21" t="s">
        <v>12</v>
      </c>
      <c r="F264" s="21" t="s">
        <v>11</v>
      </c>
      <c r="G264" s="22">
        <v>900</v>
      </c>
      <c r="H264" s="20">
        <v>1</v>
      </c>
      <c r="I264" s="32">
        <f>Town_Team[[#This Row],[Item quantity]]*Town_Team[[#This Row],[Selling price]]</f>
        <v>900</v>
      </c>
      <c r="J264" s="33">
        <f>IF(Town_Team[[#This Row],[Item name]]=" Jeans - Denim",Town_Team[[#This Row],[Item Amount]]*85%,Town_Team[[#This Row],[Item Amount]])</f>
        <v>765</v>
      </c>
      <c r="K264" s="39" t="str">
        <f>TEXT(Town_Team[[#This Row],[Date ]],"dddd")</f>
        <v>Tuesday</v>
      </c>
    </row>
    <row r="265" spans="2:11" hidden="1" x14ac:dyDescent="0.3">
      <c r="B265" s="20">
        <v>261</v>
      </c>
      <c r="C265" s="19">
        <v>43726</v>
      </c>
      <c r="D265" s="21" t="s">
        <v>9</v>
      </c>
      <c r="E265" s="21" t="s">
        <v>18</v>
      </c>
      <c r="F265" s="21" t="s">
        <v>17</v>
      </c>
      <c r="G265" s="22">
        <v>600</v>
      </c>
      <c r="H265" s="20">
        <v>1</v>
      </c>
      <c r="I265" s="32">
        <f>Town_Team[[#This Row],[Item quantity]]*Town_Team[[#This Row],[Selling price]]</f>
        <v>600</v>
      </c>
      <c r="J265" s="33">
        <f>IF(Town_Team[[#This Row],[Item name]]=" Jeans - Denim",Town_Team[[#This Row],[Item Amount]]*85%,Town_Team[[#This Row],[Item Amount]])</f>
        <v>600</v>
      </c>
      <c r="K265" s="39" t="str">
        <f>TEXT(Town_Team[[#This Row],[Date ]],"dddd")</f>
        <v>Wednesday</v>
      </c>
    </row>
    <row r="266" spans="2:11" hidden="1" x14ac:dyDescent="0.3">
      <c r="B266" s="20">
        <v>262</v>
      </c>
      <c r="C266" s="19">
        <v>43727</v>
      </c>
      <c r="D266" s="21" t="s">
        <v>9</v>
      </c>
      <c r="E266" s="21" t="s">
        <v>14</v>
      </c>
      <c r="F266" s="21" t="s">
        <v>11</v>
      </c>
      <c r="G266" s="22">
        <v>900</v>
      </c>
      <c r="H266" s="20">
        <v>1</v>
      </c>
      <c r="I266" s="32">
        <f>Town_Team[[#This Row],[Item quantity]]*Town_Team[[#This Row],[Selling price]]</f>
        <v>900</v>
      </c>
      <c r="J266" s="33">
        <f>IF(Town_Team[[#This Row],[Item name]]=" Jeans - Denim",Town_Team[[#This Row],[Item Amount]]*85%,Town_Team[[#This Row],[Item Amount]])</f>
        <v>900</v>
      </c>
      <c r="K266" s="39" t="str">
        <f>TEXT(Town_Team[[#This Row],[Date ]],"dddd")</f>
        <v>Thursday</v>
      </c>
    </row>
    <row r="267" spans="2:11" hidden="1" x14ac:dyDescent="0.3">
      <c r="B267" s="20">
        <v>263</v>
      </c>
      <c r="C267" s="19">
        <v>43728</v>
      </c>
      <c r="D267" s="21" t="s">
        <v>9</v>
      </c>
      <c r="E267" s="21" t="s">
        <v>10</v>
      </c>
      <c r="F267" s="21" t="s">
        <v>11</v>
      </c>
      <c r="G267" s="22">
        <v>1100</v>
      </c>
      <c r="H267" s="20">
        <v>2</v>
      </c>
      <c r="I267" s="32">
        <f>Town_Team[[#This Row],[Item quantity]]*Town_Team[[#This Row],[Selling price]]</f>
        <v>2200</v>
      </c>
      <c r="J267" s="33">
        <f>IF(Town_Team[[#This Row],[Item name]]=" Jeans - Denim",Town_Team[[#This Row],[Item Amount]]*85%,Town_Team[[#This Row],[Item Amount]])</f>
        <v>2200</v>
      </c>
      <c r="K267" s="39" t="str">
        <f>TEXT(Town_Team[[#This Row],[Date ]],"dddd")</f>
        <v>Friday</v>
      </c>
    </row>
    <row r="268" spans="2:11" hidden="1" x14ac:dyDescent="0.3">
      <c r="B268" s="20">
        <v>264</v>
      </c>
      <c r="C268" s="19">
        <v>43729</v>
      </c>
      <c r="D268" s="21" t="s">
        <v>9</v>
      </c>
      <c r="E268" s="21" t="s">
        <v>18</v>
      </c>
      <c r="F268" s="21" t="s">
        <v>17</v>
      </c>
      <c r="G268" s="22">
        <v>600</v>
      </c>
      <c r="H268" s="20">
        <v>1</v>
      </c>
      <c r="I268" s="32">
        <f>Town_Team[[#This Row],[Item quantity]]*Town_Team[[#This Row],[Selling price]]</f>
        <v>600</v>
      </c>
      <c r="J268" s="33">
        <f>IF(Town_Team[[#This Row],[Item name]]=" Jeans - Denim",Town_Team[[#This Row],[Item Amount]]*85%,Town_Team[[#This Row],[Item Amount]])</f>
        <v>600</v>
      </c>
      <c r="K268" s="39" t="str">
        <f>TEXT(Town_Team[[#This Row],[Date ]],"dddd")</f>
        <v>Saturday</v>
      </c>
    </row>
    <row r="269" spans="2:11" hidden="1" x14ac:dyDescent="0.3">
      <c r="B269" s="20">
        <v>265</v>
      </c>
      <c r="C269" s="19">
        <v>43730</v>
      </c>
      <c r="D269" s="21" t="s">
        <v>9</v>
      </c>
      <c r="E269" s="21" t="s">
        <v>18</v>
      </c>
      <c r="F269" s="21" t="s">
        <v>17</v>
      </c>
      <c r="G269" s="22">
        <v>600</v>
      </c>
      <c r="H269" s="20">
        <v>1</v>
      </c>
      <c r="I269" s="32">
        <f>Town_Team[[#This Row],[Item quantity]]*Town_Team[[#This Row],[Selling price]]</f>
        <v>600</v>
      </c>
      <c r="J269" s="33">
        <f>IF(Town_Team[[#This Row],[Item name]]=" Jeans - Denim",Town_Team[[#This Row],[Item Amount]]*85%,Town_Team[[#This Row],[Item Amount]])</f>
        <v>600</v>
      </c>
      <c r="K269" s="39" t="str">
        <f>TEXT(Town_Team[[#This Row],[Date ]],"dddd")</f>
        <v>Sunday</v>
      </c>
    </row>
    <row r="270" spans="2:11" hidden="1" x14ac:dyDescent="0.3">
      <c r="B270" s="20">
        <v>266</v>
      </c>
      <c r="C270" s="19">
        <v>43731</v>
      </c>
      <c r="D270" s="21" t="s">
        <v>9</v>
      </c>
      <c r="E270" s="21" t="s">
        <v>14</v>
      </c>
      <c r="F270" s="21" t="s">
        <v>11</v>
      </c>
      <c r="G270" s="22">
        <v>900</v>
      </c>
      <c r="H270" s="20">
        <v>1</v>
      </c>
      <c r="I270" s="32">
        <f>Town_Team[[#This Row],[Item quantity]]*Town_Team[[#This Row],[Selling price]]</f>
        <v>900</v>
      </c>
      <c r="J270" s="33">
        <f>IF(Town_Team[[#This Row],[Item name]]=" Jeans - Denim",Town_Team[[#This Row],[Item Amount]]*85%,Town_Team[[#This Row],[Item Amount]])</f>
        <v>900</v>
      </c>
      <c r="K270" s="39" t="str">
        <f>TEXT(Town_Team[[#This Row],[Date ]],"dddd")</f>
        <v>Monday</v>
      </c>
    </row>
    <row r="271" spans="2:11" hidden="1" x14ac:dyDescent="0.3">
      <c r="B271" s="20">
        <v>267</v>
      </c>
      <c r="C271" s="19">
        <v>43732</v>
      </c>
      <c r="D271" s="21" t="s">
        <v>9</v>
      </c>
      <c r="E271" s="21" t="s">
        <v>10</v>
      </c>
      <c r="F271" s="21" t="s">
        <v>11</v>
      </c>
      <c r="G271" s="22">
        <v>1100</v>
      </c>
      <c r="H271" s="20">
        <v>1</v>
      </c>
      <c r="I271" s="32">
        <f>Town_Team[[#This Row],[Item quantity]]*Town_Team[[#This Row],[Selling price]]</f>
        <v>1100</v>
      </c>
      <c r="J271" s="33">
        <f>IF(Town_Team[[#This Row],[Item name]]=" Jeans - Denim",Town_Team[[#This Row],[Item Amount]]*85%,Town_Team[[#This Row],[Item Amount]])</f>
        <v>1100</v>
      </c>
      <c r="K271" s="39" t="str">
        <f>TEXT(Town_Team[[#This Row],[Date ]],"dddd")</f>
        <v>Tuesday</v>
      </c>
    </row>
    <row r="272" spans="2:11" hidden="1" x14ac:dyDescent="0.3">
      <c r="B272" s="20">
        <v>268</v>
      </c>
      <c r="C272" s="19">
        <v>43733</v>
      </c>
      <c r="D272" s="21" t="s">
        <v>9</v>
      </c>
      <c r="E272" s="21" t="s">
        <v>18</v>
      </c>
      <c r="F272" s="21" t="s">
        <v>17</v>
      </c>
      <c r="G272" s="22">
        <v>600</v>
      </c>
      <c r="H272" s="20">
        <v>1</v>
      </c>
      <c r="I272" s="32">
        <f>Town_Team[[#This Row],[Item quantity]]*Town_Team[[#This Row],[Selling price]]</f>
        <v>600</v>
      </c>
      <c r="J272" s="33">
        <f>IF(Town_Team[[#This Row],[Item name]]=" Jeans - Denim",Town_Team[[#This Row],[Item Amount]]*85%,Town_Team[[#This Row],[Item Amount]])</f>
        <v>600</v>
      </c>
      <c r="K272" s="39" t="str">
        <f>TEXT(Town_Team[[#This Row],[Date ]],"dddd")</f>
        <v>Wednesday</v>
      </c>
    </row>
    <row r="273" spans="2:11" hidden="1" x14ac:dyDescent="0.3">
      <c r="B273" s="20">
        <v>269</v>
      </c>
      <c r="C273" s="19">
        <v>43734</v>
      </c>
      <c r="D273" s="21" t="s">
        <v>9</v>
      </c>
      <c r="E273" s="21" t="s">
        <v>24</v>
      </c>
      <c r="F273" s="21" t="s">
        <v>23</v>
      </c>
      <c r="G273" s="22">
        <v>600</v>
      </c>
      <c r="H273" s="20">
        <v>1</v>
      </c>
      <c r="I273" s="32">
        <f>Town_Team[[#This Row],[Item quantity]]*Town_Team[[#This Row],[Selling price]]</f>
        <v>600</v>
      </c>
      <c r="J273" s="33">
        <f>IF(Town_Team[[#This Row],[Item name]]=" Jeans - Denim",Town_Team[[#This Row],[Item Amount]]*85%,Town_Team[[#This Row],[Item Amount]])</f>
        <v>600</v>
      </c>
      <c r="K273" s="39" t="str">
        <f>TEXT(Town_Team[[#This Row],[Date ]],"dddd")</f>
        <v>Thursday</v>
      </c>
    </row>
    <row r="274" spans="2:11" hidden="1" x14ac:dyDescent="0.3">
      <c r="B274" s="20">
        <v>270</v>
      </c>
      <c r="C274" s="19">
        <v>43735</v>
      </c>
      <c r="D274" s="21" t="s">
        <v>9</v>
      </c>
      <c r="E274" s="21" t="s">
        <v>18</v>
      </c>
      <c r="F274" s="21" t="s">
        <v>17</v>
      </c>
      <c r="G274" s="22">
        <v>600</v>
      </c>
      <c r="H274" s="20">
        <v>1</v>
      </c>
      <c r="I274" s="32">
        <f>Town_Team[[#This Row],[Item quantity]]*Town_Team[[#This Row],[Selling price]]</f>
        <v>600</v>
      </c>
      <c r="J274" s="33">
        <f>IF(Town_Team[[#This Row],[Item name]]=" Jeans - Denim",Town_Team[[#This Row],[Item Amount]]*85%,Town_Team[[#This Row],[Item Amount]])</f>
        <v>600</v>
      </c>
      <c r="K274" s="39" t="str">
        <f>TEXT(Town_Team[[#This Row],[Date ]],"dddd")</f>
        <v>Friday</v>
      </c>
    </row>
    <row r="275" spans="2:11" hidden="1" x14ac:dyDescent="0.3">
      <c r="B275" s="20">
        <v>271</v>
      </c>
      <c r="C275" s="19">
        <v>43736</v>
      </c>
      <c r="D275" s="21" t="s">
        <v>9</v>
      </c>
      <c r="E275" s="21" t="s">
        <v>24</v>
      </c>
      <c r="F275" s="21" t="s">
        <v>23</v>
      </c>
      <c r="G275" s="22">
        <v>600</v>
      </c>
      <c r="H275" s="20">
        <v>1</v>
      </c>
      <c r="I275" s="32">
        <f>Town_Team[[#This Row],[Item quantity]]*Town_Team[[#This Row],[Selling price]]</f>
        <v>600</v>
      </c>
      <c r="J275" s="33">
        <f>IF(Town_Team[[#This Row],[Item name]]=" Jeans - Denim",Town_Team[[#This Row],[Item Amount]]*85%,Town_Team[[#This Row],[Item Amount]])</f>
        <v>600</v>
      </c>
      <c r="K275" s="39" t="str">
        <f>TEXT(Town_Team[[#This Row],[Date ]],"dddd")</f>
        <v>Saturday</v>
      </c>
    </row>
    <row r="276" spans="2:11" hidden="1" x14ac:dyDescent="0.3">
      <c r="B276" s="20">
        <v>272</v>
      </c>
      <c r="C276" s="19">
        <v>43737</v>
      </c>
      <c r="D276" s="21" t="s">
        <v>9</v>
      </c>
      <c r="E276" s="21" t="s">
        <v>24</v>
      </c>
      <c r="F276" s="21" t="s">
        <v>23</v>
      </c>
      <c r="G276" s="22">
        <v>600</v>
      </c>
      <c r="H276" s="20">
        <v>2</v>
      </c>
      <c r="I276" s="32">
        <f>Town_Team[[#This Row],[Item quantity]]*Town_Team[[#This Row],[Selling price]]</f>
        <v>1200</v>
      </c>
      <c r="J276" s="33">
        <f>IF(Town_Team[[#This Row],[Item name]]=" Jeans - Denim",Town_Team[[#This Row],[Item Amount]]*85%,Town_Team[[#This Row],[Item Amount]])</f>
        <v>1200</v>
      </c>
      <c r="K276" s="39" t="str">
        <f>TEXT(Town_Team[[#This Row],[Date ]],"dddd")</f>
        <v>Sunday</v>
      </c>
    </row>
    <row r="277" spans="2:11" hidden="1" x14ac:dyDescent="0.3">
      <c r="B277" s="20">
        <v>273</v>
      </c>
      <c r="C277" s="19">
        <v>43738</v>
      </c>
      <c r="D277" s="21" t="s">
        <v>9</v>
      </c>
      <c r="E277" s="21" t="s">
        <v>18</v>
      </c>
      <c r="F277" s="21" t="s">
        <v>17</v>
      </c>
      <c r="G277" s="22">
        <v>600</v>
      </c>
      <c r="H277" s="20">
        <v>1</v>
      </c>
      <c r="I277" s="32">
        <f>Town_Team[[#This Row],[Item quantity]]*Town_Team[[#This Row],[Selling price]]</f>
        <v>600</v>
      </c>
      <c r="J277" s="33">
        <f>IF(Town_Team[[#This Row],[Item name]]=" Jeans - Denim",Town_Team[[#This Row],[Item Amount]]*85%,Town_Team[[#This Row],[Item Amount]])</f>
        <v>600</v>
      </c>
      <c r="K277" s="39" t="str">
        <f>TEXT(Town_Team[[#This Row],[Date ]],"dddd")</f>
        <v>Monday</v>
      </c>
    </row>
    <row r="278" spans="2:11" hidden="1" x14ac:dyDescent="0.3">
      <c r="B278" s="20">
        <v>274</v>
      </c>
      <c r="C278" s="19">
        <v>43739</v>
      </c>
      <c r="D278" s="21" t="s">
        <v>9</v>
      </c>
      <c r="E278" s="21" t="s">
        <v>10</v>
      </c>
      <c r="F278" s="21" t="s">
        <v>11</v>
      </c>
      <c r="G278" s="22">
        <v>1100</v>
      </c>
      <c r="H278" s="20">
        <v>3</v>
      </c>
      <c r="I278" s="32">
        <f>Town_Team[[#This Row],[Item quantity]]*Town_Team[[#This Row],[Selling price]]</f>
        <v>3300</v>
      </c>
      <c r="J278" s="33">
        <f>IF(Town_Team[[#This Row],[Item name]]=" Jeans - Denim",Town_Team[[#This Row],[Item Amount]]*85%,Town_Team[[#This Row],[Item Amount]])</f>
        <v>3300</v>
      </c>
      <c r="K278" s="39" t="str">
        <f>TEXT(Town_Team[[#This Row],[Date ]],"dddd")</f>
        <v>Tuesday</v>
      </c>
    </row>
    <row r="279" spans="2:11" hidden="1" x14ac:dyDescent="0.3">
      <c r="B279" s="20">
        <v>275</v>
      </c>
      <c r="C279" s="19">
        <v>43740</v>
      </c>
      <c r="D279" s="21" t="s">
        <v>9</v>
      </c>
      <c r="E279" s="21" t="s">
        <v>10</v>
      </c>
      <c r="F279" s="21" t="s">
        <v>11</v>
      </c>
      <c r="G279" s="22">
        <v>1100</v>
      </c>
      <c r="H279" s="20">
        <v>1</v>
      </c>
      <c r="I279" s="32">
        <f>Town_Team[[#This Row],[Item quantity]]*Town_Team[[#This Row],[Selling price]]</f>
        <v>1100</v>
      </c>
      <c r="J279" s="33">
        <f>IF(Town_Team[[#This Row],[Item name]]=" Jeans - Denim",Town_Team[[#This Row],[Item Amount]]*85%,Town_Team[[#This Row],[Item Amount]])</f>
        <v>1100</v>
      </c>
      <c r="K279" s="39" t="str">
        <f>TEXT(Town_Team[[#This Row],[Date ]],"dddd")</f>
        <v>Wednesday</v>
      </c>
    </row>
    <row r="280" spans="2:11" hidden="1" x14ac:dyDescent="0.3">
      <c r="B280" s="20">
        <v>276</v>
      </c>
      <c r="C280" s="19">
        <v>43741</v>
      </c>
      <c r="D280" s="21" t="s">
        <v>9</v>
      </c>
      <c r="E280" s="21" t="s">
        <v>19</v>
      </c>
      <c r="F280" s="21" t="s">
        <v>20</v>
      </c>
      <c r="G280" s="22">
        <v>850</v>
      </c>
      <c r="H280" s="20">
        <v>1</v>
      </c>
      <c r="I280" s="32">
        <f>Town_Team[[#This Row],[Item quantity]]*Town_Team[[#This Row],[Selling price]]</f>
        <v>850</v>
      </c>
      <c r="J280" s="33">
        <f>IF(Town_Team[[#This Row],[Item name]]=" Jeans - Denim",Town_Team[[#This Row],[Item Amount]]*85%,Town_Team[[#This Row],[Item Amount]])</f>
        <v>850</v>
      </c>
      <c r="K280" s="39" t="str">
        <f>TEXT(Town_Team[[#This Row],[Date ]],"dddd")</f>
        <v>Thursday</v>
      </c>
    </row>
    <row r="281" spans="2:11" hidden="1" x14ac:dyDescent="0.3">
      <c r="B281" s="20">
        <v>277</v>
      </c>
      <c r="C281" s="19">
        <v>43742</v>
      </c>
      <c r="D281" s="21" t="s">
        <v>9</v>
      </c>
      <c r="E281" s="21" t="s">
        <v>21</v>
      </c>
      <c r="F281" s="21" t="s">
        <v>20</v>
      </c>
      <c r="G281" s="22">
        <v>1200</v>
      </c>
      <c r="H281" s="20">
        <v>1</v>
      </c>
      <c r="I281" s="32">
        <f>Town_Team[[#This Row],[Item quantity]]*Town_Team[[#This Row],[Selling price]]</f>
        <v>1200</v>
      </c>
      <c r="J281" s="33">
        <f>IF(Town_Team[[#This Row],[Item name]]=" Jeans - Denim",Town_Team[[#This Row],[Item Amount]]*85%,Town_Team[[#This Row],[Item Amount]])</f>
        <v>1200</v>
      </c>
      <c r="K281" s="39" t="str">
        <f>TEXT(Town_Team[[#This Row],[Date ]],"dddd")</f>
        <v>Friday</v>
      </c>
    </row>
    <row r="282" spans="2:11" hidden="1" x14ac:dyDescent="0.3">
      <c r="B282" s="20">
        <v>278</v>
      </c>
      <c r="C282" s="19">
        <v>43743</v>
      </c>
      <c r="D282" s="21" t="s">
        <v>9</v>
      </c>
      <c r="E282" s="21" t="s">
        <v>16</v>
      </c>
      <c r="F282" s="21" t="s">
        <v>17</v>
      </c>
      <c r="G282" s="22">
        <v>800</v>
      </c>
      <c r="H282" s="20">
        <v>1</v>
      </c>
      <c r="I282" s="32">
        <f>Town_Team[[#This Row],[Item quantity]]*Town_Team[[#This Row],[Selling price]]</f>
        <v>800</v>
      </c>
      <c r="J282" s="33">
        <f>IF(Town_Team[[#This Row],[Item name]]=" Jeans - Denim",Town_Team[[#This Row],[Item Amount]]*85%,Town_Team[[#This Row],[Item Amount]])</f>
        <v>800</v>
      </c>
      <c r="K282" s="39" t="str">
        <f>TEXT(Town_Team[[#This Row],[Date ]],"dddd")</f>
        <v>Saturday</v>
      </c>
    </row>
    <row r="283" spans="2:11" hidden="1" x14ac:dyDescent="0.3">
      <c r="B283" s="20">
        <v>279</v>
      </c>
      <c r="C283" s="19">
        <v>43744</v>
      </c>
      <c r="D283" s="21" t="s">
        <v>9</v>
      </c>
      <c r="E283" s="21" t="s">
        <v>14</v>
      </c>
      <c r="F283" s="21" t="s">
        <v>11</v>
      </c>
      <c r="G283" s="22">
        <v>900</v>
      </c>
      <c r="H283" s="20">
        <v>1</v>
      </c>
      <c r="I283" s="32">
        <f>Town_Team[[#This Row],[Item quantity]]*Town_Team[[#This Row],[Selling price]]</f>
        <v>900</v>
      </c>
      <c r="J283" s="33">
        <f>IF(Town_Team[[#This Row],[Item name]]=" Jeans - Denim",Town_Team[[#This Row],[Item Amount]]*85%,Town_Team[[#This Row],[Item Amount]])</f>
        <v>900</v>
      </c>
      <c r="K283" s="39" t="str">
        <f>TEXT(Town_Team[[#This Row],[Date ]],"dddd")</f>
        <v>Sunday</v>
      </c>
    </row>
    <row r="284" spans="2:11" hidden="1" x14ac:dyDescent="0.3">
      <c r="B284" s="20">
        <v>280</v>
      </c>
      <c r="C284" s="19">
        <v>43745</v>
      </c>
      <c r="D284" s="21" t="s">
        <v>9</v>
      </c>
      <c r="E284" s="21" t="s">
        <v>10</v>
      </c>
      <c r="F284" s="21" t="s">
        <v>11</v>
      </c>
      <c r="G284" s="22">
        <v>1100</v>
      </c>
      <c r="H284" s="20">
        <v>1</v>
      </c>
      <c r="I284" s="32">
        <f>Town_Team[[#This Row],[Item quantity]]*Town_Team[[#This Row],[Selling price]]</f>
        <v>1100</v>
      </c>
      <c r="J284" s="33">
        <f>IF(Town_Team[[#This Row],[Item name]]=" Jeans - Denim",Town_Team[[#This Row],[Item Amount]]*85%,Town_Team[[#This Row],[Item Amount]])</f>
        <v>1100</v>
      </c>
      <c r="K284" s="39" t="str">
        <f>TEXT(Town_Team[[#This Row],[Date ]],"dddd")</f>
        <v>Monday</v>
      </c>
    </row>
    <row r="285" spans="2:11" hidden="1" x14ac:dyDescent="0.3">
      <c r="B285" s="20">
        <v>281</v>
      </c>
      <c r="C285" s="19">
        <v>43746</v>
      </c>
      <c r="D285" s="21" t="s">
        <v>9</v>
      </c>
      <c r="E285" s="21" t="s">
        <v>12</v>
      </c>
      <c r="F285" s="21" t="s">
        <v>11</v>
      </c>
      <c r="G285" s="22">
        <v>900</v>
      </c>
      <c r="H285" s="20">
        <v>1</v>
      </c>
      <c r="I285" s="32">
        <f>Town_Team[[#This Row],[Item quantity]]*Town_Team[[#This Row],[Selling price]]</f>
        <v>900</v>
      </c>
      <c r="J285" s="33">
        <f>IF(Town_Team[[#This Row],[Item name]]=" Jeans - Denim",Town_Team[[#This Row],[Item Amount]]*85%,Town_Team[[#This Row],[Item Amount]])</f>
        <v>765</v>
      </c>
      <c r="K285" s="39" t="str">
        <f>TEXT(Town_Team[[#This Row],[Date ]],"dddd")</f>
        <v>Tuesday</v>
      </c>
    </row>
    <row r="286" spans="2:11" hidden="1" x14ac:dyDescent="0.3">
      <c r="B286" s="20">
        <v>282</v>
      </c>
      <c r="C286" s="19">
        <v>43747</v>
      </c>
      <c r="D286" s="21" t="s">
        <v>9</v>
      </c>
      <c r="E286" s="21" t="s">
        <v>10</v>
      </c>
      <c r="F286" s="21" t="s">
        <v>11</v>
      </c>
      <c r="G286" s="22">
        <v>1100</v>
      </c>
      <c r="H286" s="20">
        <v>1</v>
      </c>
      <c r="I286" s="32">
        <f>Town_Team[[#This Row],[Item quantity]]*Town_Team[[#This Row],[Selling price]]</f>
        <v>1100</v>
      </c>
      <c r="J286" s="33">
        <f>IF(Town_Team[[#This Row],[Item name]]=" Jeans - Denim",Town_Team[[#This Row],[Item Amount]]*85%,Town_Team[[#This Row],[Item Amount]])</f>
        <v>1100</v>
      </c>
      <c r="K286" s="39" t="str">
        <f>TEXT(Town_Team[[#This Row],[Date ]],"dddd")</f>
        <v>Wednesday</v>
      </c>
    </row>
    <row r="287" spans="2:11" hidden="1" x14ac:dyDescent="0.3">
      <c r="B287" s="20">
        <v>283</v>
      </c>
      <c r="C287" s="19">
        <v>43748</v>
      </c>
      <c r="D287" s="21" t="s">
        <v>9</v>
      </c>
      <c r="E287" s="21" t="s">
        <v>22</v>
      </c>
      <c r="F287" s="21" t="s">
        <v>23</v>
      </c>
      <c r="G287" s="22">
        <v>900</v>
      </c>
      <c r="H287" s="20">
        <v>1</v>
      </c>
      <c r="I287" s="32">
        <f>Town_Team[[#This Row],[Item quantity]]*Town_Team[[#This Row],[Selling price]]</f>
        <v>900</v>
      </c>
      <c r="J287" s="33">
        <f>IF(Town_Team[[#This Row],[Item name]]=" Jeans - Denim",Town_Team[[#This Row],[Item Amount]]*85%,Town_Team[[#This Row],[Item Amount]])</f>
        <v>900</v>
      </c>
      <c r="K287" s="39" t="str">
        <f>TEXT(Town_Team[[#This Row],[Date ]],"dddd")</f>
        <v>Thursday</v>
      </c>
    </row>
    <row r="288" spans="2:11" hidden="1" x14ac:dyDescent="0.3">
      <c r="B288" s="20">
        <v>284</v>
      </c>
      <c r="C288" s="19">
        <v>43749</v>
      </c>
      <c r="D288" s="21" t="s">
        <v>9</v>
      </c>
      <c r="E288" s="21" t="s">
        <v>22</v>
      </c>
      <c r="F288" s="21" t="s">
        <v>23</v>
      </c>
      <c r="G288" s="22">
        <v>500</v>
      </c>
      <c r="H288" s="20">
        <v>1</v>
      </c>
      <c r="I288" s="32">
        <f>Town_Team[[#This Row],[Item quantity]]*Town_Team[[#This Row],[Selling price]]</f>
        <v>500</v>
      </c>
      <c r="J288" s="33">
        <f>IF(Town_Team[[#This Row],[Item name]]=" Jeans - Denim",Town_Team[[#This Row],[Item Amount]]*85%,Town_Team[[#This Row],[Item Amount]])</f>
        <v>500</v>
      </c>
      <c r="K288" s="39" t="str">
        <f>TEXT(Town_Team[[#This Row],[Date ]],"dddd")</f>
        <v>Friday</v>
      </c>
    </row>
    <row r="289" spans="2:11" hidden="1" x14ac:dyDescent="0.3">
      <c r="B289" s="20">
        <v>285</v>
      </c>
      <c r="C289" s="19">
        <v>43750</v>
      </c>
      <c r="D289" s="21" t="s">
        <v>9</v>
      </c>
      <c r="E289" s="21" t="s">
        <v>15</v>
      </c>
      <c r="F289" s="21" t="s">
        <v>11</v>
      </c>
      <c r="G289" s="22">
        <v>1000</v>
      </c>
      <c r="H289" s="20">
        <v>1</v>
      </c>
      <c r="I289" s="32">
        <f>Town_Team[[#This Row],[Item quantity]]*Town_Team[[#This Row],[Selling price]]</f>
        <v>1000</v>
      </c>
      <c r="J289" s="33">
        <f>IF(Town_Team[[#This Row],[Item name]]=" Jeans - Denim",Town_Team[[#This Row],[Item Amount]]*85%,Town_Team[[#This Row],[Item Amount]])</f>
        <v>1000</v>
      </c>
      <c r="K289" s="39" t="str">
        <f>TEXT(Town_Team[[#This Row],[Date ]],"dddd")</f>
        <v>Saturday</v>
      </c>
    </row>
    <row r="290" spans="2:11" hidden="1" x14ac:dyDescent="0.3">
      <c r="B290" s="20">
        <v>286</v>
      </c>
      <c r="C290" s="19">
        <v>43751</v>
      </c>
      <c r="D290" s="21" t="s">
        <v>9</v>
      </c>
      <c r="E290" s="21" t="s">
        <v>24</v>
      </c>
      <c r="F290" s="21" t="s">
        <v>23</v>
      </c>
      <c r="G290" s="22">
        <v>600</v>
      </c>
      <c r="H290" s="20">
        <v>1</v>
      </c>
      <c r="I290" s="32">
        <f>Town_Team[[#This Row],[Item quantity]]*Town_Team[[#This Row],[Selling price]]</f>
        <v>600</v>
      </c>
      <c r="J290" s="33">
        <f>IF(Town_Team[[#This Row],[Item name]]=" Jeans - Denim",Town_Team[[#This Row],[Item Amount]]*85%,Town_Team[[#This Row],[Item Amount]])</f>
        <v>600</v>
      </c>
      <c r="K290" s="39" t="str">
        <f>TEXT(Town_Team[[#This Row],[Date ]],"dddd")</f>
        <v>Sunday</v>
      </c>
    </row>
    <row r="291" spans="2:11" hidden="1" x14ac:dyDescent="0.3">
      <c r="B291" s="20">
        <v>287</v>
      </c>
      <c r="C291" s="19">
        <v>43752</v>
      </c>
      <c r="D291" s="21" t="s">
        <v>9</v>
      </c>
      <c r="E291" s="21" t="s">
        <v>12</v>
      </c>
      <c r="F291" s="21" t="s">
        <v>11</v>
      </c>
      <c r="G291" s="22">
        <v>900</v>
      </c>
      <c r="H291" s="20">
        <v>2</v>
      </c>
      <c r="I291" s="32">
        <f>Town_Team[[#This Row],[Item quantity]]*Town_Team[[#This Row],[Selling price]]</f>
        <v>1800</v>
      </c>
      <c r="J291" s="33">
        <f>IF(Town_Team[[#This Row],[Item name]]=" Jeans - Denim",Town_Team[[#This Row],[Item Amount]]*85%,Town_Team[[#This Row],[Item Amount]])</f>
        <v>1530</v>
      </c>
      <c r="K291" s="39" t="str">
        <f>TEXT(Town_Team[[#This Row],[Date ]],"dddd")</f>
        <v>Monday</v>
      </c>
    </row>
    <row r="292" spans="2:11" hidden="1" x14ac:dyDescent="0.3">
      <c r="B292" s="20">
        <v>288</v>
      </c>
      <c r="C292" s="19">
        <v>43753</v>
      </c>
      <c r="D292" s="21" t="s">
        <v>9</v>
      </c>
      <c r="E292" s="21" t="s">
        <v>19</v>
      </c>
      <c r="F292" s="21" t="s">
        <v>20</v>
      </c>
      <c r="G292" s="22">
        <v>850</v>
      </c>
      <c r="H292" s="20">
        <v>1</v>
      </c>
      <c r="I292" s="32">
        <f>Town_Team[[#This Row],[Item quantity]]*Town_Team[[#This Row],[Selling price]]</f>
        <v>850</v>
      </c>
      <c r="J292" s="33">
        <f>IF(Town_Team[[#This Row],[Item name]]=" Jeans - Denim",Town_Team[[#This Row],[Item Amount]]*85%,Town_Team[[#This Row],[Item Amount]])</f>
        <v>850</v>
      </c>
      <c r="K292" s="39" t="str">
        <f>TEXT(Town_Team[[#This Row],[Date ]],"dddd")</f>
        <v>Tuesday</v>
      </c>
    </row>
    <row r="293" spans="2:11" hidden="1" x14ac:dyDescent="0.3">
      <c r="B293" s="20">
        <v>289</v>
      </c>
      <c r="C293" s="19">
        <v>43754</v>
      </c>
      <c r="D293" s="21" t="s">
        <v>9</v>
      </c>
      <c r="E293" s="21" t="s">
        <v>16</v>
      </c>
      <c r="F293" s="21" t="s">
        <v>17</v>
      </c>
      <c r="G293" s="22">
        <v>800</v>
      </c>
      <c r="H293" s="20">
        <v>1</v>
      </c>
      <c r="I293" s="32">
        <f>Town_Team[[#This Row],[Item quantity]]*Town_Team[[#This Row],[Selling price]]</f>
        <v>800</v>
      </c>
      <c r="J293" s="33">
        <f>IF(Town_Team[[#This Row],[Item name]]=" Jeans - Denim",Town_Team[[#This Row],[Item Amount]]*85%,Town_Team[[#This Row],[Item Amount]])</f>
        <v>800</v>
      </c>
      <c r="K293" s="39" t="str">
        <f>TEXT(Town_Team[[#This Row],[Date ]],"dddd")</f>
        <v>Wednesday</v>
      </c>
    </row>
    <row r="294" spans="2:11" hidden="1" x14ac:dyDescent="0.3">
      <c r="B294" s="20">
        <v>290</v>
      </c>
      <c r="C294" s="19">
        <v>43755</v>
      </c>
      <c r="D294" s="21" t="s">
        <v>9</v>
      </c>
      <c r="E294" s="21" t="s">
        <v>12</v>
      </c>
      <c r="F294" s="21" t="s">
        <v>11</v>
      </c>
      <c r="G294" s="22">
        <v>900</v>
      </c>
      <c r="H294" s="20">
        <v>1</v>
      </c>
      <c r="I294" s="32">
        <f>Town_Team[[#This Row],[Item quantity]]*Town_Team[[#This Row],[Selling price]]</f>
        <v>900</v>
      </c>
      <c r="J294" s="33">
        <f>IF(Town_Team[[#This Row],[Item name]]=" Jeans - Denim",Town_Team[[#This Row],[Item Amount]]*85%,Town_Team[[#This Row],[Item Amount]])</f>
        <v>765</v>
      </c>
      <c r="K294" s="39" t="str">
        <f>TEXT(Town_Team[[#This Row],[Date ]],"dddd")</f>
        <v>Thursday</v>
      </c>
    </row>
    <row r="295" spans="2:11" hidden="1" x14ac:dyDescent="0.3">
      <c r="B295" s="20">
        <v>291</v>
      </c>
      <c r="C295" s="19">
        <v>43756</v>
      </c>
      <c r="D295" s="21" t="s">
        <v>9</v>
      </c>
      <c r="E295" s="21" t="s">
        <v>12</v>
      </c>
      <c r="F295" s="21" t="s">
        <v>11</v>
      </c>
      <c r="G295" s="22">
        <v>900</v>
      </c>
      <c r="H295" s="20">
        <v>1</v>
      </c>
      <c r="I295" s="32">
        <f>Town_Team[[#This Row],[Item quantity]]*Town_Team[[#This Row],[Selling price]]</f>
        <v>900</v>
      </c>
      <c r="J295" s="33">
        <f>IF(Town_Team[[#This Row],[Item name]]=" Jeans - Denim",Town_Team[[#This Row],[Item Amount]]*85%,Town_Team[[#This Row],[Item Amount]])</f>
        <v>765</v>
      </c>
      <c r="K295" s="39" t="str">
        <f>TEXT(Town_Team[[#This Row],[Date ]],"dddd")</f>
        <v>Friday</v>
      </c>
    </row>
    <row r="296" spans="2:11" hidden="1" x14ac:dyDescent="0.3">
      <c r="B296" s="20">
        <v>292</v>
      </c>
      <c r="C296" s="19">
        <v>43757</v>
      </c>
      <c r="D296" s="21" t="s">
        <v>9</v>
      </c>
      <c r="E296" s="21" t="s">
        <v>10</v>
      </c>
      <c r="F296" s="21" t="s">
        <v>11</v>
      </c>
      <c r="G296" s="22">
        <v>1100</v>
      </c>
      <c r="H296" s="20">
        <v>1</v>
      </c>
      <c r="I296" s="32">
        <f>Town_Team[[#This Row],[Item quantity]]*Town_Team[[#This Row],[Selling price]]</f>
        <v>1100</v>
      </c>
      <c r="J296" s="33">
        <f>IF(Town_Team[[#This Row],[Item name]]=" Jeans - Denim",Town_Team[[#This Row],[Item Amount]]*85%,Town_Team[[#This Row],[Item Amount]])</f>
        <v>1100</v>
      </c>
      <c r="K296" s="39" t="str">
        <f>TEXT(Town_Team[[#This Row],[Date ]],"dddd")</f>
        <v>Saturday</v>
      </c>
    </row>
    <row r="297" spans="2:11" hidden="1" x14ac:dyDescent="0.3">
      <c r="B297" s="20">
        <v>293</v>
      </c>
      <c r="C297" s="19">
        <v>43758</v>
      </c>
      <c r="D297" s="21" t="s">
        <v>9</v>
      </c>
      <c r="E297" s="21" t="s">
        <v>14</v>
      </c>
      <c r="F297" s="21" t="s">
        <v>11</v>
      </c>
      <c r="G297" s="22">
        <v>900</v>
      </c>
      <c r="H297" s="20">
        <v>1</v>
      </c>
      <c r="I297" s="32">
        <f>Town_Team[[#This Row],[Item quantity]]*Town_Team[[#This Row],[Selling price]]</f>
        <v>900</v>
      </c>
      <c r="J297" s="33">
        <f>IF(Town_Team[[#This Row],[Item name]]=" Jeans - Denim",Town_Team[[#This Row],[Item Amount]]*85%,Town_Team[[#This Row],[Item Amount]])</f>
        <v>900</v>
      </c>
      <c r="K297" s="39" t="str">
        <f>TEXT(Town_Team[[#This Row],[Date ]],"dddd")</f>
        <v>Sunday</v>
      </c>
    </row>
    <row r="298" spans="2:11" hidden="1" x14ac:dyDescent="0.3">
      <c r="B298" s="20">
        <v>294</v>
      </c>
      <c r="C298" s="19">
        <v>43759</v>
      </c>
      <c r="D298" s="21" t="s">
        <v>9</v>
      </c>
      <c r="E298" s="21" t="s">
        <v>18</v>
      </c>
      <c r="F298" s="21" t="s">
        <v>17</v>
      </c>
      <c r="G298" s="22">
        <v>600</v>
      </c>
      <c r="H298" s="20">
        <v>1</v>
      </c>
      <c r="I298" s="32">
        <f>Town_Team[[#This Row],[Item quantity]]*Town_Team[[#This Row],[Selling price]]</f>
        <v>600</v>
      </c>
      <c r="J298" s="33">
        <f>IF(Town_Team[[#This Row],[Item name]]=" Jeans - Denim",Town_Team[[#This Row],[Item Amount]]*85%,Town_Team[[#This Row],[Item Amount]])</f>
        <v>600</v>
      </c>
      <c r="K298" s="39" t="str">
        <f>TEXT(Town_Team[[#This Row],[Date ]],"dddd")</f>
        <v>Monday</v>
      </c>
    </row>
    <row r="299" spans="2:11" hidden="1" x14ac:dyDescent="0.3">
      <c r="B299" s="20">
        <v>295</v>
      </c>
      <c r="C299" s="19">
        <v>43760</v>
      </c>
      <c r="D299" s="21" t="s">
        <v>9</v>
      </c>
      <c r="E299" s="21" t="s">
        <v>18</v>
      </c>
      <c r="F299" s="21" t="s">
        <v>17</v>
      </c>
      <c r="G299" s="22">
        <v>600</v>
      </c>
      <c r="H299" s="20">
        <v>1</v>
      </c>
      <c r="I299" s="32">
        <f>Town_Team[[#This Row],[Item quantity]]*Town_Team[[#This Row],[Selling price]]</f>
        <v>600</v>
      </c>
      <c r="J299" s="33">
        <f>IF(Town_Team[[#This Row],[Item name]]=" Jeans - Denim",Town_Team[[#This Row],[Item Amount]]*85%,Town_Team[[#This Row],[Item Amount]])</f>
        <v>600</v>
      </c>
      <c r="K299" s="39" t="str">
        <f>TEXT(Town_Team[[#This Row],[Date ]],"dddd")</f>
        <v>Tuesday</v>
      </c>
    </row>
    <row r="300" spans="2:11" hidden="1" x14ac:dyDescent="0.3">
      <c r="B300" s="20">
        <v>296</v>
      </c>
      <c r="C300" s="19">
        <v>43761</v>
      </c>
      <c r="D300" s="21" t="s">
        <v>9</v>
      </c>
      <c r="E300" s="21" t="s">
        <v>14</v>
      </c>
      <c r="F300" s="21" t="s">
        <v>11</v>
      </c>
      <c r="G300" s="22">
        <v>900</v>
      </c>
      <c r="H300" s="20">
        <v>1</v>
      </c>
      <c r="I300" s="32">
        <f>Town_Team[[#This Row],[Item quantity]]*Town_Team[[#This Row],[Selling price]]</f>
        <v>900</v>
      </c>
      <c r="J300" s="33">
        <f>IF(Town_Team[[#This Row],[Item name]]=" Jeans - Denim",Town_Team[[#This Row],[Item Amount]]*85%,Town_Team[[#This Row],[Item Amount]])</f>
        <v>900</v>
      </c>
      <c r="K300" s="39" t="str">
        <f>TEXT(Town_Team[[#This Row],[Date ]],"dddd")</f>
        <v>Wednesday</v>
      </c>
    </row>
    <row r="301" spans="2:11" hidden="1" x14ac:dyDescent="0.3">
      <c r="B301" s="20">
        <v>297</v>
      </c>
      <c r="C301" s="19">
        <v>43762</v>
      </c>
      <c r="D301" s="21" t="s">
        <v>9</v>
      </c>
      <c r="E301" s="21" t="s">
        <v>19</v>
      </c>
      <c r="F301" s="21" t="s">
        <v>20</v>
      </c>
      <c r="G301" s="22">
        <v>850</v>
      </c>
      <c r="H301" s="20">
        <v>1</v>
      </c>
      <c r="I301" s="32">
        <f>Town_Team[[#This Row],[Item quantity]]*Town_Team[[#This Row],[Selling price]]</f>
        <v>850</v>
      </c>
      <c r="J301" s="33">
        <f>IF(Town_Team[[#This Row],[Item name]]=" Jeans - Denim",Town_Team[[#This Row],[Item Amount]]*85%,Town_Team[[#This Row],[Item Amount]])</f>
        <v>850</v>
      </c>
      <c r="K301" s="39" t="str">
        <f>TEXT(Town_Team[[#This Row],[Date ]],"dddd")</f>
        <v>Thursday</v>
      </c>
    </row>
    <row r="302" spans="2:11" hidden="1" x14ac:dyDescent="0.3">
      <c r="B302" s="20">
        <v>298</v>
      </c>
      <c r="C302" s="19">
        <v>43763</v>
      </c>
      <c r="D302" s="21" t="s">
        <v>9</v>
      </c>
      <c r="E302" s="21" t="s">
        <v>14</v>
      </c>
      <c r="F302" s="21" t="s">
        <v>11</v>
      </c>
      <c r="G302" s="22">
        <v>900</v>
      </c>
      <c r="H302" s="20">
        <v>1</v>
      </c>
      <c r="I302" s="32">
        <f>Town_Team[[#This Row],[Item quantity]]*Town_Team[[#This Row],[Selling price]]</f>
        <v>900</v>
      </c>
      <c r="J302" s="33">
        <f>IF(Town_Team[[#This Row],[Item name]]=" Jeans - Denim",Town_Team[[#This Row],[Item Amount]]*85%,Town_Team[[#This Row],[Item Amount]])</f>
        <v>900</v>
      </c>
      <c r="K302" s="39" t="str">
        <f>TEXT(Town_Team[[#This Row],[Date ]],"dddd")</f>
        <v>Friday</v>
      </c>
    </row>
    <row r="303" spans="2:11" hidden="1" x14ac:dyDescent="0.3">
      <c r="B303" s="20">
        <v>299</v>
      </c>
      <c r="C303" s="19">
        <v>43764</v>
      </c>
      <c r="D303" s="21" t="s">
        <v>9</v>
      </c>
      <c r="E303" s="21" t="s">
        <v>18</v>
      </c>
      <c r="F303" s="21" t="s">
        <v>17</v>
      </c>
      <c r="G303" s="22">
        <v>600</v>
      </c>
      <c r="H303" s="20">
        <v>1</v>
      </c>
      <c r="I303" s="32">
        <f>Town_Team[[#This Row],[Item quantity]]*Town_Team[[#This Row],[Selling price]]</f>
        <v>600</v>
      </c>
      <c r="J303" s="33">
        <f>IF(Town_Team[[#This Row],[Item name]]=" Jeans - Denim",Town_Team[[#This Row],[Item Amount]]*85%,Town_Team[[#This Row],[Item Amount]])</f>
        <v>600</v>
      </c>
      <c r="K303" s="39" t="str">
        <f>TEXT(Town_Team[[#This Row],[Date ]],"dddd")</f>
        <v>Saturday</v>
      </c>
    </row>
    <row r="304" spans="2:11" hidden="1" x14ac:dyDescent="0.3">
      <c r="B304" s="20">
        <v>300</v>
      </c>
      <c r="C304" s="19">
        <v>43765</v>
      </c>
      <c r="D304" s="21" t="s">
        <v>9</v>
      </c>
      <c r="E304" s="21" t="s">
        <v>18</v>
      </c>
      <c r="F304" s="21" t="s">
        <v>17</v>
      </c>
      <c r="G304" s="22">
        <v>600</v>
      </c>
      <c r="H304" s="20">
        <v>1</v>
      </c>
      <c r="I304" s="32">
        <f>Town_Team[[#This Row],[Item quantity]]*Town_Team[[#This Row],[Selling price]]</f>
        <v>600</v>
      </c>
      <c r="J304" s="33">
        <f>IF(Town_Team[[#This Row],[Item name]]=" Jeans - Denim",Town_Team[[#This Row],[Item Amount]]*85%,Town_Team[[#This Row],[Item Amount]])</f>
        <v>600</v>
      </c>
      <c r="K304" s="39" t="str">
        <f>TEXT(Town_Team[[#This Row],[Date ]],"dddd")</f>
        <v>Sunday</v>
      </c>
    </row>
    <row r="305" spans="2:11" hidden="1" x14ac:dyDescent="0.3">
      <c r="B305" s="20">
        <v>301</v>
      </c>
      <c r="C305" s="19">
        <v>43766</v>
      </c>
      <c r="D305" s="21" t="s">
        <v>9</v>
      </c>
      <c r="E305" s="21" t="s">
        <v>10</v>
      </c>
      <c r="F305" s="21" t="s">
        <v>11</v>
      </c>
      <c r="G305" s="22">
        <v>1100</v>
      </c>
      <c r="H305" s="20">
        <v>1</v>
      </c>
      <c r="I305" s="32">
        <f>Town_Team[[#This Row],[Item quantity]]*Town_Team[[#This Row],[Selling price]]</f>
        <v>1100</v>
      </c>
      <c r="J305" s="33">
        <f>IF(Town_Team[[#This Row],[Item name]]=" Jeans - Denim",Town_Team[[#This Row],[Item Amount]]*85%,Town_Team[[#This Row],[Item Amount]])</f>
        <v>1100</v>
      </c>
      <c r="K305" s="39" t="str">
        <f>TEXT(Town_Team[[#This Row],[Date ]],"dddd")</f>
        <v>Monday</v>
      </c>
    </row>
    <row r="306" spans="2:11" hidden="1" x14ac:dyDescent="0.3">
      <c r="B306" s="20">
        <v>302</v>
      </c>
      <c r="C306" s="19">
        <v>43767</v>
      </c>
      <c r="D306" s="21" t="s">
        <v>9</v>
      </c>
      <c r="E306" s="21" t="s">
        <v>12</v>
      </c>
      <c r="F306" s="21" t="s">
        <v>11</v>
      </c>
      <c r="G306" s="22">
        <v>900</v>
      </c>
      <c r="H306" s="20">
        <v>1</v>
      </c>
      <c r="I306" s="32">
        <f>Town_Team[[#This Row],[Item quantity]]*Town_Team[[#This Row],[Selling price]]</f>
        <v>900</v>
      </c>
      <c r="J306" s="33">
        <f>IF(Town_Team[[#This Row],[Item name]]=" Jeans - Denim",Town_Team[[#This Row],[Item Amount]]*85%,Town_Team[[#This Row],[Item Amount]])</f>
        <v>765</v>
      </c>
      <c r="K306" s="39" t="str">
        <f>TEXT(Town_Team[[#This Row],[Date ]],"dddd")</f>
        <v>Tuesday</v>
      </c>
    </row>
    <row r="307" spans="2:11" hidden="1" x14ac:dyDescent="0.3">
      <c r="B307" s="20">
        <v>303</v>
      </c>
      <c r="C307" s="19">
        <v>43768</v>
      </c>
      <c r="D307" s="21" t="s">
        <v>9</v>
      </c>
      <c r="E307" s="21" t="s">
        <v>10</v>
      </c>
      <c r="F307" s="21" t="s">
        <v>11</v>
      </c>
      <c r="G307" s="22">
        <v>1100</v>
      </c>
      <c r="H307" s="20">
        <v>1</v>
      </c>
      <c r="I307" s="32">
        <f>Town_Team[[#This Row],[Item quantity]]*Town_Team[[#This Row],[Selling price]]</f>
        <v>1100</v>
      </c>
      <c r="J307" s="33">
        <f>IF(Town_Team[[#This Row],[Item name]]=" Jeans - Denim",Town_Team[[#This Row],[Item Amount]]*85%,Town_Team[[#This Row],[Item Amount]])</f>
        <v>1100</v>
      </c>
      <c r="K307" s="39" t="str">
        <f>TEXT(Town_Team[[#This Row],[Date ]],"dddd")</f>
        <v>Wednesday</v>
      </c>
    </row>
    <row r="308" spans="2:11" hidden="1" x14ac:dyDescent="0.3">
      <c r="B308" s="20">
        <v>304</v>
      </c>
      <c r="C308" s="19">
        <v>43769</v>
      </c>
      <c r="D308" s="21" t="s">
        <v>9</v>
      </c>
      <c r="E308" s="21" t="s">
        <v>18</v>
      </c>
      <c r="F308" s="21" t="s">
        <v>17</v>
      </c>
      <c r="G308" s="22">
        <v>600</v>
      </c>
      <c r="H308" s="20">
        <v>1</v>
      </c>
      <c r="I308" s="32">
        <f>Town_Team[[#This Row],[Item quantity]]*Town_Team[[#This Row],[Selling price]]</f>
        <v>600</v>
      </c>
      <c r="J308" s="33">
        <f>IF(Town_Team[[#This Row],[Item name]]=" Jeans - Denim",Town_Team[[#This Row],[Item Amount]]*85%,Town_Team[[#This Row],[Item Amount]])</f>
        <v>600</v>
      </c>
      <c r="K308" s="39" t="str">
        <f>TEXT(Town_Team[[#This Row],[Date ]],"dddd")</f>
        <v>Thursday</v>
      </c>
    </row>
    <row r="309" spans="2:11" hidden="1" x14ac:dyDescent="0.3">
      <c r="B309" s="20">
        <v>305</v>
      </c>
      <c r="C309" s="19">
        <v>43770</v>
      </c>
      <c r="D309" s="21" t="s">
        <v>9</v>
      </c>
      <c r="E309" s="21" t="s">
        <v>21</v>
      </c>
      <c r="F309" s="21" t="s">
        <v>20</v>
      </c>
      <c r="G309" s="22">
        <v>1200</v>
      </c>
      <c r="H309" s="20">
        <v>1</v>
      </c>
      <c r="I309" s="32">
        <f>Town_Team[[#This Row],[Item quantity]]*Town_Team[[#This Row],[Selling price]]</f>
        <v>1200</v>
      </c>
      <c r="J309" s="33">
        <f>IF(Town_Team[[#This Row],[Item name]]=" Jeans - Denim",Town_Team[[#This Row],[Item Amount]]*85%,Town_Team[[#This Row],[Item Amount]])</f>
        <v>1200</v>
      </c>
      <c r="K309" s="39" t="str">
        <f>TEXT(Town_Team[[#This Row],[Date ]],"dddd")</f>
        <v>Friday</v>
      </c>
    </row>
    <row r="310" spans="2:11" hidden="1" x14ac:dyDescent="0.3">
      <c r="B310" s="20">
        <v>306</v>
      </c>
      <c r="C310" s="19">
        <v>43771</v>
      </c>
      <c r="D310" s="21" t="s">
        <v>9</v>
      </c>
      <c r="E310" s="21" t="s">
        <v>24</v>
      </c>
      <c r="F310" s="21" t="s">
        <v>23</v>
      </c>
      <c r="G310" s="22">
        <v>600</v>
      </c>
      <c r="H310" s="20">
        <v>1</v>
      </c>
      <c r="I310" s="32">
        <f>Town_Team[[#This Row],[Item quantity]]*Town_Team[[#This Row],[Selling price]]</f>
        <v>600</v>
      </c>
      <c r="J310" s="33">
        <f>IF(Town_Team[[#This Row],[Item name]]=" Jeans - Denim",Town_Team[[#This Row],[Item Amount]]*85%,Town_Team[[#This Row],[Item Amount]])</f>
        <v>600</v>
      </c>
      <c r="K310" s="39" t="str">
        <f>TEXT(Town_Team[[#This Row],[Date ]],"dddd")</f>
        <v>Saturday</v>
      </c>
    </row>
    <row r="311" spans="2:11" hidden="1" x14ac:dyDescent="0.3">
      <c r="B311" s="20">
        <v>307</v>
      </c>
      <c r="C311" s="19">
        <v>43772</v>
      </c>
      <c r="D311" s="21" t="s">
        <v>9</v>
      </c>
      <c r="E311" s="21" t="s">
        <v>10</v>
      </c>
      <c r="F311" s="21" t="s">
        <v>11</v>
      </c>
      <c r="G311" s="22">
        <v>1100</v>
      </c>
      <c r="H311" s="20">
        <v>1</v>
      </c>
      <c r="I311" s="32">
        <f>Town_Team[[#This Row],[Item quantity]]*Town_Team[[#This Row],[Selling price]]</f>
        <v>1100</v>
      </c>
      <c r="J311" s="33">
        <f>IF(Town_Team[[#This Row],[Item name]]=" Jeans - Denim",Town_Team[[#This Row],[Item Amount]]*85%,Town_Team[[#This Row],[Item Amount]])</f>
        <v>1100</v>
      </c>
      <c r="K311" s="39" t="str">
        <f>TEXT(Town_Team[[#This Row],[Date ]],"dddd")</f>
        <v>Sunday</v>
      </c>
    </row>
    <row r="312" spans="2:11" hidden="1" x14ac:dyDescent="0.3">
      <c r="B312" s="20">
        <v>308</v>
      </c>
      <c r="C312" s="19">
        <v>43773</v>
      </c>
      <c r="D312" s="21" t="s">
        <v>9</v>
      </c>
      <c r="E312" s="21" t="s">
        <v>22</v>
      </c>
      <c r="F312" s="21" t="s">
        <v>23</v>
      </c>
      <c r="G312" s="22">
        <v>500</v>
      </c>
      <c r="H312" s="20">
        <v>1</v>
      </c>
      <c r="I312" s="32">
        <f>Town_Team[[#This Row],[Item quantity]]*Town_Team[[#This Row],[Selling price]]</f>
        <v>500</v>
      </c>
      <c r="J312" s="33">
        <f>IF(Town_Team[[#This Row],[Item name]]=" Jeans - Denim",Town_Team[[#This Row],[Item Amount]]*85%,Town_Team[[#This Row],[Item Amount]])</f>
        <v>500</v>
      </c>
      <c r="K312" s="39" t="str">
        <f>TEXT(Town_Team[[#This Row],[Date ]],"dddd")</f>
        <v>Monday</v>
      </c>
    </row>
    <row r="313" spans="2:11" hidden="1" x14ac:dyDescent="0.3">
      <c r="B313" s="20">
        <v>309</v>
      </c>
      <c r="C313" s="19">
        <v>43774</v>
      </c>
      <c r="D313" s="21" t="s">
        <v>9</v>
      </c>
      <c r="E313" s="21" t="s">
        <v>12</v>
      </c>
      <c r="F313" s="21" t="s">
        <v>11</v>
      </c>
      <c r="G313" s="22">
        <v>900</v>
      </c>
      <c r="H313" s="20">
        <v>1</v>
      </c>
      <c r="I313" s="32">
        <f>Town_Team[[#This Row],[Item quantity]]*Town_Team[[#This Row],[Selling price]]</f>
        <v>900</v>
      </c>
      <c r="J313" s="33">
        <f>IF(Town_Team[[#This Row],[Item name]]=" Jeans - Denim",Town_Team[[#This Row],[Item Amount]]*85%,Town_Team[[#This Row],[Item Amount]])</f>
        <v>765</v>
      </c>
      <c r="K313" s="39" t="str">
        <f>TEXT(Town_Team[[#This Row],[Date ]],"dddd")</f>
        <v>Tuesday</v>
      </c>
    </row>
    <row r="314" spans="2:11" hidden="1" x14ac:dyDescent="0.3">
      <c r="B314" s="20">
        <v>310</v>
      </c>
      <c r="C314" s="19">
        <v>43775</v>
      </c>
      <c r="D314" s="21" t="s">
        <v>9</v>
      </c>
      <c r="E314" s="21" t="s">
        <v>19</v>
      </c>
      <c r="F314" s="21" t="s">
        <v>20</v>
      </c>
      <c r="G314" s="22">
        <v>850</v>
      </c>
      <c r="H314" s="20">
        <v>1</v>
      </c>
      <c r="I314" s="32">
        <f>Town_Team[[#This Row],[Item quantity]]*Town_Team[[#This Row],[Selling price]]</f>
        <v>850</v>
      </c>
      <c r="J314" s="33">
        <f>IF(Town_Team[[#This Row],[Item name]]=" Jeans - Denim",Town_Team[[#This Row],[Item Amount]]*85%,Town_Team[[#This Row],[Item Amount]])</f>
        <v>850</v>
      </c>
      <c r="K314" s="39" t="str">
        <f>TEXT(Town_Team[[#This Row],[Date ]],"dddd")</f>
        <v>Wednesday</v>
      </c>
    </row>
    <row r="315" spans="2:11" hidden="1" x14ac:dyDescent="0.3">
      <c r="B315" s="20">
        <v>311</v>
      </c>
      <c r="C315" s="19">
        <v>43776</v>
      </c>
      <c r="D315" s="21" t="s">
        <v>9</v>
      </c>
      <c r="E315" s="21" t="s">
        <v>18</v>
      </c>
      <c r="F315" s="21" t="s">
        <v>17</v>
      </c>
      <c r="G315" s="22">
        <v>600</v>
      </c>
      <c r="H315" s="20">
        <v>1</v>
      </c>
      <c r="I315" s="32">
        <f>Town_Team[[#This Row],[Item quantity]]*Town_Team[[#This Row],[Selling price]]</f>
        <v>600</v>
      </c>
      <c r="J315" s="33">
        <f>IF(Town_Team[[#This Row],[Item name]]=" Jeans - Denim",Town_Team[[#This Row],[Item Amount]]*85%,Town_Team[[#This Row],[Item Amount]])</f>
        <v>600</v>
      </c>
      <c r="K315" s="39" t="str">
        <f>TEXT(Town_Team[[#This Row],[Date ]],"dddd")</f>
        <v>Thursday</v>
      </c>
    </row>
    <row r="316" spans="2:11" hidden="1" x14ac:dyDescent="0.3">
      <c r="B316" s="20">
        <v>312</v>
      </c>
      <c r="C316" s="19">
        <v>43777</v>
      </c>
      <c r="D316" s="21" t="s">
        <v>9</v>
      </c>
      <c r="E316" s="21" t="s">
        <v>10</v>
      </c>
      <c r="F316" s="21" t="s">
        <v>11</v>
      </c>
      <c r="G316" s="22">
        <v>1100</v>
      </c>
      <c r="H316" s="20">
        <v>1</v>
      </c>
      <c r="I316" s="32">
        <f>Town_Team[[#This Row],[Item quantity]]*Town_Team[[#This Row],[Selling price]]</f>
        <v>1100</v>
      </c>
      <c r="J316" s="33">
        <f>IF(Town_Team[[#This Row],[Item name]]=" Jeans - Denim",Town_Team[[#This Row],[Item Amount]]*85%,Town_Team[[#This Row],[Item Amount]])</f>
        <v>1100</v>
      </c>
      <c r="K316" s="39" t="str">
        <f>TEXT(Town_Team[[#This Row],[Date ]],"dddd")</f>
        <v>Friday</v>
      </c>
    </row>
    <row r="317" spans="2:11" hidden="1" x14ac:dyDescent="0.3">
      <c r="B317" s="20">
        <v>313</v>
      </c>
      <c r="C317" s="19">
        <v>43778</v>
      </c>
      <c r="D317" s="21" t="s">
        <v>9</v>
      </c>
      <c r="E317" s="21" t="s">
        <v>22</v>
      </c>
      <c r="F317" s="21" t="s">
        <v>23</v>
      </c>
      <c r="G317" s="22">
        <v>500</v>
      </c>
      <c r="H317" s="20">
        <v>1</v>
      </c>
      <c r="I317" s="32">
        <f>Town_Team[[#This Row],[Item quantity]]*Town_Team[[#This Row],[Selling price]]</f>
        <v>500</v>
      </c>
      <c r="J317" s="33">
        <f>IF(Town_Team[[#This Row],[Item name]]=" Jeans - Denim",Town_Team[[#This Row],[Item Amount]]*85%,Town_Team[[#This Row],[Item Amount]])</f>
        <v>500</v>
      </c>
      <c r="K317" s="39" t="str">
        <f>TEXT(Town_Team[[#This Row],[Date ]],"dddd")</f>
        <v>Saturday</v>
      </c>
    </row>
    <row r="318" spans="2:11" hidden="1" x14ac:dyDescent="0.3">
      <c r="B318" s="20">
        <v>314</v>
      </c>
      <c r="C318" s="19">
        <v>43779</v>
      </c>
      <c r="D318" s="21" t="s">
        <v>9</v>
      </c>
      <c r="E318" s="21" t="s">
        <v>18</v>
      </c>
      <c r="F318" s="21" t="s">
        <v>17</v>
      </c>
      <c r="G318" s="22">
        <v>600</v>
      </c>
      <c r="H318" s="20">
        <v>1</v>
      </c>
      <c r="I318" s="32">
        <f>Town_Team[[#This Row],[Item quantity]]*Town_Team[[#This Row],[Selling price]]</f>
        <v>600</v>
      </c>
      <c r="J318" s="33">
        <f>IF(Town_Team[[#This Row],[Item name]]=" Jeans - Denim",Town_Team[[#This Row],[Item Amount]]*85%,Town_Team[[#This Row],[Item Amount]])</f>
        <v>600</v>
      </c>
      <c r="K318" s="39" t="str">
        <f>TEXT(Town_Team[[#This Row],[Date ]],"dddd")</f>
        <v>Sunday</v>
      </c>
    </row>
    <row r="319" spans="2:11" hidden="1" x14ac:dyDescent="0.3">
      <c r="B319" s="20">
        <v>315</v>
      </c>
      <c r="C319" s="19">
        <v>43780</v>
      </c>
      <c r="D319" s="21" t="s">
        <v>9</v>
      </c>
      <c r="E319" s="21" t="s">
        <v>15</v>
      </c>
      <c r="F319" s="21" t="s">
        <v>11</v>
      </c>
      <c r="G319" s="22">
        <v>1000</v>
      </c>
      <c r="H319" s="20">
        <v>1</v>
      </c>
      <c r="I319" s="32">
        <f>Town_Team[[#This Row],[Item quantity]]*Town_Team[[#This Row],[Selling price]]</f>
        <v>1000</v>
      </c>
      <c r="J319" s="33">
        <f>IF(Town_Team[[#This Row],[Item name]]=" Jeans - Denim",Town_Team[[#This Row],[Item Amount]]*85%,Town_Team[[#This Row],[Item Amount]])</f>
        <v>1000</v>
      </c>
      <c r="K319" s="39" t="str">
        <f>TEXT(Town_Team[[#This Row],[Date ]],"dddd")</f>
        <v>Monday</v>
      </c>
    </row>
    <row r="320" spans="2:11" x14ac:dyDescent="0.3">
      <c r="B320" s="20">
        <v>316</v>
      </c>
      <c r="C320" s="19">
        <v>43781</v>
      </c>
      <c r="D320" s="21" t="s">
        <v>13</v>
      </c>
      <c r="E320" s="21" t="s">
        <v>18</v>
      </c>
      <c r="F320" s="21" t="s">
        <v>17</v>
      </c>
      <c r="G320" s="22">
        <v>600</v>
      </c>
      <c r="H320" s="20">
        <v>1</v>
      </c>
      <c r="I320" s="32">
        <f>Town_Team[[#This Row],[Item quantity]]*Town_Team[[#This Row],[Selling price]]</f>
        <v>600</v>
      </c>
      <c r="J320" s="33">
        <f>IF(Town_Team[[#This Row],[Item name]]=" Jeans - Denim",Town_Team[[#This Row],[Item Amount]]*85%,Town_Team[[#This Row],[Item Amount]])</f>
        <v>600</v>
      </c>
      <c r="K320" s="39" t="str">
        <f>TEXT(Town_Team[[#This Row],[Date ]],"dddd")</f>
        <v>Tuesday</v>
      </c>
    </row>
    <row r="321" spans="2:11" x14ac:dyDescent="0.3">
      <c r="B321" s="20">
        <v>317</v>
      </c>
      <c r="C321" s="19">
        <v>43782</v>
      </c>
      <c r="D321" s="21" t="s">
        <v>13</v>
      </c>
      <c r="E321" s="21" t="s">
        <v>10</v>
      </c>
      <c r="F321" s="21" t="s">
        <v>11</v>
      </c>
      <c r="G321" s="22">
        <v>1100</v>
      </c>
      <c r="H321" s="20">
        <v>1</v>
      </c>
      <c r="I321" s="32">
        <f>Town_Team[[#This Row],[Item quantity]]*Town_Team[[#This Row],[Selling price]]</f>
        <v>1100</v>
      </c>
      <c r="J321" s="33">
        <f>IF(Town_Team[[#This Row],[Item name]]=" Jeans - Denim",Town_Team[[#This Row],[Item Amount]]*85%,Town_Team[[#This Row],[Item Amount]])</f>
        <v>1100</v>
      </c>
      <c r="K321" s="39" t="str">
        <f>TEXT(Town_Team[[#This Row],[Date ]],"dddd")</f>
        <v>Wednesday</v>
      </c>
    </row>
    <row r="322" spans="2:11" x14ac:dyDescent="0.3">
      <c r="B322" s="20">
        <v>318</v>
      </c>
      <c r="C322" s="19">
        <v>43783</v>
      </c>
      <c r="D322" s="21" t="s">
        <v>13</v>
      </c>
      <c r="E322" s="21" t="s">
        <v>22</v>
      </c>
      <c r="F322" s="21" t="s">
        <v>23</v>
      </c>
      <c r="G322" s="22">
        <v>500</v>
      </c>
      <c r="H322" s="20">
        <v>1</v>
      </c>
      <c r="I322" s="32">
        <f>Town_Team[[#This Row],[Item quantity]]*Town_Team[[#This Row],[Selling price]]</f>
        <v>500</v>
      </c>
      <c r="J322" s="33">
        <f>IF(Town_Team[[#This Row],[Item name]]=" Jeans - Denim",Town_Team[[#This Row],[Item Amount]]*85%,Town_Team[[#This Row],[Item Amount]])</f>
        <v>500</v>
      </c>
      <c r="K322" s="39" t="str">
        <f>TEXT(Town_Team[[#This Row],[Date ]],"dddd")</f>
        <v>Thursday</v>
      </c>
    </row>
    <row r="323" spans="2:11" x14ac:dyDescent="0.3">
      <c r="B323" s="20">
        <v>319</v>
      </c>
      <c r="C323" s="19">
        <v>43784</v>
      </c>
      <c r="D323" s="21" t="s">
        <v>13</v>
      </c>
      <c r="E323" s="21" t="s">
        <v>10</v>
      </c>
      <c r="F323" s="21" t="s">
        <v>11</v>
      </c>
      <c r="G323" s="22">
        <v>1100</v>
      </c>
      <c r="H323" s="20">
        <v>2</v>
      </c>
      <c r="I323" s="32">
        <f>Town_Team[[#This Row],[Item quantity]]*Town_Team[[#This Row],[Selling price]]</f>
        <v>2200</v>
      </c>
      <c r="J323" s="33">
        <f>IF(Town_Team[[#This Row],[Item name]]=" Jeans - Denim",Town_Team[[#This Row],[Item Amount]]*85%,Town_Team[[#This Row],[Item Amount]])</f>
        <v>2200</v>
      </c>
      <c r="K323" s="39" t="str">
        <f>TEXT(Town_Team[[#This Row],[Date ]],"dddd")</f>
        <v>Friday</v>
      </c>
    </row>
    <row r="324" spans="2:11" x14ac:dyDescent="0.3">
      <c r="B324" s="20">
        <v>320</v>
      </c>
      <c r="C324" s="19">
        <v>43785</v>
      </c>
      <c r="D324" s="21" t="s">
        <v>13</v>
      </c>
      <c r="E324" s="21" t="s">
        <v>18</v>
      </c>
      <c r="F324" s="21" t="s">
        <v>17</v>
      </c>
      <c r="G324" s="22">
        <v>600</v>
      </c>
      <c r="H324" s="20">
        <v>1</v>
      </c>
      <c r="I324" s="32">
        <f>Town_Team[[#This Row],[Item quantity]]*Town_Team[[#This Row],[Selling price]]</f>
        <v>600</v>
      </c>
      <c r="J324" s="33">
        <f>IF(Town_Team[[#This Row],[Item name]]=" Jeans - Denim",Town_Team[[#This Row],[Item Amount]]*85%,Town_Team[[#This Row],[Item Amount]])</f>
        <v>600</v>
      </c>
      <c r="K324" s="39" t="str">
        <f>TEXT(Town_Team[[#This Row],[Date ]],"dddd")</f>
        <v>Saturday</v>
      </c>
    </row>
    <row r="325" spans="2:11" x14ac:dyDescent="0.3">
      <c r="B325" s="20">
        <v>321</v>
      </c>
      <c r="C325" s="19">
        <v>43786</v>
      </c>
      <c r="D325" s="21" t="s">
        <v>13</v>
      </c>
      <c r="E325" s="21" t="s">
        <v>16</v>
      </c>
      <c r="F325" s="21" t="s">
        <v>17</v>
      </c>
      <c r="G325" s="22">
        <v>800</v>
      </c>
      <c r="H325" s="20">
        <v>1</v>
      </c>
      <c r="I325" s="32">
        <f>Town_Team[[#This Row],[Item quantity]]*Town_Team[[#This Row],[Selling price]]</f>
        <v>800</v>
      </c>
      <c r="J325" s="33">
        <f>IF(Town_Team[[#This Row],[Item name]]=" Jeans - Denim",Town_Team[[#This Row],[Item Amount]]*85%,Town_Team[[#This Row],[Item Amount]])</f>
        <v>800</v>
      </c>
      <c r="K325" s="39" t="str">
        <f>TEXT(Town_Team[[#This Row],[Date ]],"dddd")</f>
        <v>Sunday</v>
      </c>
    </row>
    <row r="326" spans="2:11" x14ac:dyDescent="0.3">
      <c r="B326" s="20">
        <v>322</v>
      </c>
      <c r="C326" s="19">
        <v>43787</v>
      </c>
      <c r="D326" s="21" t="s">
        <v>13</v>
      </c>
      <c r="E326" s="21" t="s">
        <v>14</v>
      </c>
      <c r="F326" s="21" t="s">
        <v>11</v>
      </c>
      <c r="G326" s="22">
        <v>900</v>
      </c>
      <c r="H326" s="20">
        <v>1</v>
      </c>
      <c r="I326" s="32">
        <f>Town_Team[[#This Row],[Item quantity]]*Town_Team[[#This Row],[Selling price]]</f>
        <v>900</v>
      </c>
      <c r="J326" s="33">
        <f>IF(Town_Team[[#This Row],[Item name]]=" Jeans - Denim",Town_Team[[#This Row],[Item Amount]]*85%,Town_Team[[#This Row],[Item Amount]])</f>
        <v>900</v>
      </c>
      <c r="K326" s="39" t="str">
        <f>TEXT(Town_Team[[#This Row],[Date ]],"dddd")</f>
        <v>Monday</v>
      </c>
    </row>
    <row r="327" spans="2:11" x14ac:dyDescent="0.3">
      <c r="B327" s="20">
        <v>323</v>
      </c>
      <c r="C327" s="19">
        <v>43788</v>
      </c>
      <c r="D327" s="21" t="s">
        <v>13</v>
      </c>
      <c r="E327" s="21" t="s">
        <v>24</v>
      </c>
      <c r="F327" s="21" t="s">
        <v>23</v>
      </c>
      <c r="G327" s="22">
        <v>600</v>
      </c>
      <c r="H327" s="20">
        <v>1</v>
      </c>
      <c r="I327" s="32">
        <f>Town_Team[[#This Row],[Item quantity]]*Town_Team[[#This Row],[Selling price]]</f>
        <v>600</v>
      </c>
      <c r="J327" s="33">
        <f>IF(Town_Team[[#This Row],[Item name]]=" Jeans - Denim",Town_Team[[#This Row],[Item Amount]]*85%,Town_Team[[#This Row],[Item Amount]])</f>
        <v>600</v>
      </c>
      <c r="K327" s="39" t="str">
        <f>TEXT(Town_Team[[#This Row],[Date ]],"dddd")</f>
        <v>Tuesday</v>
      </c>
    </row>
    <row r="328" spans="2:11" x14ac:dyDescent="0.3">
      <c r="B328" s="20">
        <v>324</v>
      </c>
      <c r="C328" s="19">
        <v>43789</v>
      </c>
      <c r="D328" s="21" t="s">
        <v>13</v>
      </c>
      <c r="E328" s="21" t="s">
        <v>10</v>
      </c>
      <c r="F328" s="21" t="s">
        <v>11</v>
      </c>
      <c r="G328" s="22">
        <v>1100</v>
      </c>
      <c r="H328" s="20">
        <v>2</v>
      </c>
      <c r="I328" s="32">
        <f>Town_Team[[#This Row],[Item quantity]]*Town_Team[[#This Row],[Selling price]]</f>
        <v>2200</v>
      </c>
      <c r="J328" s="33">
        <f>IF(Town_Team[[#This Row],[Item name]]=" Jeans - Denim",Town_Team[[#This Row],[Item Amount]]*85%,Town_Team[[#This Row],[Item Amount]])</f>
        <v>2200</v>
      </c>
      <c r="K328" s="39" t="str">
        <f>TEXT(Town_Team[[#This Row],[Date ]],"dddd")</f>
        <v>Wednesday</v>
      </c>
    </row>
    <row r="329" spans="2:11" hidden="1" x14ac:dyDescent="0.3">
      <c r="B329" s="20">
        <v>325</v>
      </c>
      <c r="C329" s="19">
        <v>43790</v>
      </c>
      <c r="D329" s="21" t="s">
        <v>9</v>
      </c>
      <c r="E329" s="21" t="s">
        <v>18</v>
      </c>
      <c r="F329" s="21" t="s">
        <v>17</v>
      </c>
      <c r="G329" s="22">
        <v>600</v>
      </c>
      <c r="H329" s="20">
        <v>1</v>
      </c>
      <c r="I329" s="32">
        <f>Town_Team[[#This Row],[Item quantity]]*Town_Team[[#This Row],[Selling price]]</f>
        <v>600</v>
      </c>
      <c r="J329" s="33">
        <f>IF(Town_Team[[#This Row],[Item name]]=" Jeans - Denim",Town_Team[[#This Row],[Item Amount]]*85%,Town_Team[[#This Row],[Item Amount]])</f>
        <v>600</v>
      </c>
      <c r="K329" s="39" t="str">
        <f>TEXT(Town_Team[[#This Row],[Date ]],"dddd")</f>
        <v>Thursday</v>
      </c>
    </row>
    <row r="330" spans="2:11" hidden="1" x14ac:dyDescent="0.3">
      <c r="B330" s="20">
        <v>326</v>
      </c>
      <c r="C330" s="19">
        <v>43791</v>
      </c>
      <c r="D330" s="21" t="s">
        <v>9</v>
      </c>
      <c r="E330" s="21" t="s">
        <v>10</v>
      </c>
      <c r="F330" s="21" t="s">
        <v>11</v>
      </c>
      <c r="G330" s="22">
        <v>1100</v>
      </c>
      <c r="H330" s="20">
        <v>1</v>
      </c>
      <c r="I330" s="32">
        <f>Town_Team[[#This Row],[Item quantity]]*Town_Team[[#This Row],[Selling price]]</f>
        <v>1100</v>
      </c>
      <c r="J330" s="33">
        <f>IF(Town_Team[[#This Row],[Item name]]=" Jeans - Denim",Town_Team[[#This Row],[Item Amount]]*85%,Town_Team[[#This Row],[Item Amount]])</f>
        <v>1100</v>
      </c>
      <c r="K330" s="39" t="str">
        <f>TEXT(Town_Team[[#This Row],[Date ]],"dddd")</f>
        <v>Friday</v>
      </c>
    </row>
    <row r="331" spans="2:11" hidden="1" x14ac:dyDescent="0.3">
      <c r="B331" s="20">
        <v>327</v>
      </c>
      <c r="C331" s="19">
        <v>43792</v>
      </c>
      <c r="D331" s="21" t="s">
        <v>9</v>
      </c>
      <c r="E331" s="21" t="s">
        <v>15</v>
      </c>
      <c r="F331" s="21" t="s">
        <v>11</v>
      </c>
      <c r="G331" s="22">
        <v>1000</v>
      </c>
      <c r="H331" s="20">
        <v>1</v>
      </c>
      <c r="I331" s="32">
        <f>Town_Team[[#This Row],[Item quantity]]*Town_Team[[#This Row],[Selling price]]</f>
        <v>1000</v>
      </c>
      <c r="J331" s="33">
        <f>IF(Town_Team[[#This Row],[Item name]]=" Jeans - Denim",Town_Team[[#This Row],[Item Amount]]*85%,Town_Team[[#This Row],[Item Amount]])</f>
        <v>1000</v>
      </c>
      <c r="K331" s="39" t="str">
        <f>TEXT(Town_Team[[#This Row],[Date ]],"dddd")</f>
        <v>Saturday</v>
      </c>
    </row>
    <row r="332" spans="2:11" hidden="1" x14ac:dyDescent="0.3">
      <c r="B332" s="20">
        <v>328</v>
      </c>
      <c r="C332" s="19">
        <v>43793</v>
      </c>
      <c r="D332" s="21" t="s">
        <v>9</v>
      </c>
      <c r="E332" s="21" t="s">
        <v>10</v>
      </c>
      <c r="F332" s="21" t="s">
        <v>11</v>
      </c>
      <c r="G332" s="22">
        <v>1100</v>
      </c>
      <c r="H332" s="20">
        <v>1</v>
      </c>
      <c r="I332" s="32">
        <f>Town_Team[[#This Row],[Item quantity]]*Town_Team[[#This Row],[Selling price]]</f>
        <v>1100</v>
      </c>
      <c r="J332" s="33">
        <f>IF(Town_Team[[#This Row],[Item name]]=" Jeans - Denim",Town_Team[[#This Row],[Item Amount]]*85%,Town_Team[[#This Row],[Item Amount]])</f>
        <v>1100</v>
      </c>
      <c r="K332" s="39" t="str">
        <f>TEXT(Town_Team[[#This Row],[Date ]],"dddd")</f>
        <v>Sunday</v>
      </c>
    </row>
    <row r="333" spans="2:11" hidden="1" x14ac:dyDescent="0.3">
      <c r="B333" s="20">
        <v>329</v>
      </c>
      <c r="C333" s="19">
        <v>43794</v>
      </c>
      <c r="D333" s="21" t="s">
        <v>9</v>
      </c>
      <c r="E333" s="21" t="s">
        <v>21</v>
      </c>
      <c r="F333" s="21" t="s">
        <v>20</v>
      </c>
      <c r="G333" s="22">
        <v>1200</v>
      </c>
      <c r="H333" s="20">
        <v>1</v>
      </c>
      <c r="I333" s="32">
        <f>Town_Team[[#This Row],[Item quantity]]*Town_Team[[#This Row],[Selling price]]</f>
        <v>1200</v>
      </c>
      <c r="J333" s="33">
        <f>IF(Town_Team[[#This Row],[Item name]]=" Jeans - Denim",Town_Team[[#This Row],[Item Amount]]*85%,Town_Team[[#This Row],[Item Amount]])</f>
        <v>1200</v>
      </c>
      <c r="K333" s="39" t="str">
        <f>TEXT(Town_Team[[#This Row],[Date ]],"dddd")</f>
        <v>Monday</v>
      </c>
    </row>
    <row r="334" spans="2:11" hidden="1" x14ac:dyDescent="0.3">
      <c r="B334" s="20">
        <v>330</v>
      </c>
      <c r="C334" s="19">
        <v>43795</v>
      </c>
      <c r="D334" s="21" t="s">
        <v>9</v>
      </c>
      <c r="E334" s="21" t="s">
        <v>14</v>
      </c>
      <c r="F334" s="21" t="s">
        <v>11</v>
      </c>
      <c r="G334" s="22">
        <v>900</v>
      </c>
      <c r="H334" s="20">
        <v>1</v>
      </c>
      <c r="I334" s="32">
        <f>Town_Team[[#This Row],[Item quantity]]*Town_Team[[#This Row],[Selling price]]</f>
        <v>900</v>
      </c>
      <c r="J334" s="33">
        <f>IF(Town_Team[[#This Row],[Item name]]=" Jeans - Denim",Town_Team[[#This Row],[Item Amount]]*85%,Town_Team[[#This Row],[Item Amount]])</f>
        <v>900</v>
      </c>
      <c r="K334" s="39" t="str">
        <f>TEXT(Town_Team[[#This Row],[Date ]],"dddd")</f>
        <v>Tuesday</v>
      </c>
    </row>
    <row r="335" spans="2:11" hidden="1" x14ac:dyDescent="0.3">
      <c r="B335" s="20">
        <v>331</v>
      </c>
      <c r="C335" s="19">
        <v>43796</v>
      </c>
      <c r="D335" s="21" t="s">
        <v>9</v>
      </c>
      <c r="E335" s="21" t="s">
        <v>24</v>
      </c>
      <c r="F335" s="21" t="s">
        <v>23</v>
      </c>
      <c r="G335" s="22">
        <v>600</v>
      </c>
      <c r="H335" s="20">
        <v>1</v>
      </c>
      <c r="I335" s="32">
        <f>Town_Team[[#This Row],[Item quantity]]*Town_Team[[#This Row],[Selling price]]</f>
        <v>600</v>
      </c>
      <c r="J335" s="33">
        <f>IF(Town_Team[[#This Row],[Item name]]=" Jeans - Denim",Town_Team[[#This Row],[Item Amount]]*85%,Town_Team[[#This Row],[Item Amount]])</f>
        <v>600</v>
      </c>
      <c r="K335" s="39" t="str">
        <f>TEXT(Town_Team[[#This Row],[Date ]],"dddd")</f>
        <v>Wednesday</v>
      </c>
    </row>
    <row r="336" spans="2:11" hidden="1" x14ac:dyDescent="0.3">
      <c r="B336" s="20">
        <v>332</v>
      </c>
      <c r="C336" s="19">
        <v>43797</v>
      </c>
      <c r="D336" s="21" t="s">
        <v>9</v>
      </c>
      <c r="E336" s="21" t="s">
        <v>10</v>
      </c>
      <c r="F336" s="21" t="s">
        <v>11</v>
      </c>
      <c r="G336" s="22">
        <v>1100</v>
      </c>
      <c r="H336" s="20">
        <v>2</v>
      </c>
      <c r="I336" s="32">
        <f>Town_Team[[#This Row],[Item quantity]]*Town_Team[[#This Row],[Selling price]]</f>
        <v>2200</v>
      </c>
      <c r="J336" s="33">
        <f>IF(Town_Team[[#This Row],[Item name]]=" Jeans - Denim",Town_Team[[#This Row],[Item Amount]]*85%,Town_Team[[#This Row],[Item Amount]])</f>
        <v>2200</v>
      </c>
      <c r="K336" s="39" t="str">
        <f>TEXT(Town_Team[[#This Row],[Date ]],"dddd")</f>
        <v>Thursday</v>
      </c>
    </row>
    <row r="337" spans="2:11" hidden="1" x14ac:dyDescent="0.3">
      <c r="B337" s="20">
        <v>333</v>
      </c>
      <c r="C337" s="19">
        <v>43798</v>
      </c>
      <c r="D337" s="21" t="s">
        <v>9</v>
      </c>
      <c r="E337" s="21" t="s">
        <v>15</v>
      </c>
      <c r="F337" s="21" t="s">
        <v>11</v>
      </c>
      <c r="G337" s="22">
        <v>1000</v>
      </c>
      <c r="H337" s="20">
        <v>1</v>
      </c>
      <c r="I337" s="32">
        <f>Town_Team[[#This Row],[Item quantity]]*Town_Team[[#This Row],[Selling price]]</f>
        <v>1000</v>
      </c>
      <c r="J337" s="33">
        <f>IF(Town_Team[[#This Row],[Item name]]=" Jeans - Denim",Town_Team[[#This Row],[Item Amount]]*85%,Town_Team[[#This Row],[Item Amount]])</f>
        <v>1000</v>
      </c>
      <c r="K337" s="39" t="str">
        <f>TEXT(Town_Team[[#This Row],[Date ]],"dddd")</f>
        <v>Friday</v>
      </c>
    </row>
    <row r="338" spans="2:11" hidden="1" x14ac:dyDescent="0.3">
      <c r="B338" s="20">
        <v>334</v>
      </c>
      <c r="C338" s="19">
        <v>43799</v>
      </c>
      <c r="D338" s="21" t="s">
        <v>9</v>
      </c>
      <c r="E338" s="21" t="s">
        <v>15</v>
      </c>
      <c r="F338" s="21" t="s">
        <v>11</v>
      </c>
      <c r="G338" s="22">
        <v>1000</v>
      </c>
      <c r="H338" s="20">
        <v>1</v>
      </c>
      <c r="I338" s="32">
        <f>Town_Team[[#This Row],[Item quantity]]*Town_Team[[#This Row],[Selling price]]</f>
        <v>1000</v>
      </c>
      <c r="J338" s="33">
        <f>IF(Town_Team[[#This Row],[Item name]]=" Jeans - Denim",Town_Team[[#This Row],[Item Amount]]*85%,Town_Team[[#This Row],[Item Amount]])</f>
        <v>1000</v>
      </c>
      <c r="K338" s="39" t="str">
        <f>TEXT(Town_Team[[#This Row],[Date ]],"dddd")</f>
        <v>Saturday</v>
      </c>
    </row>
    <row r="339" spans="2:11" hidden="1" x14ac:dyDescent="0.3">
      <c r="B339" s="20">
        <v>335</v>
      </c>
      <c r="C339" s="19">
        <v>43800</v>
      </c>
      <c r="D339" s="21" t="s">
        <v>9</v>
      </c>
      <c r="E339" s="21" t="s">
        <v>22</v>
      </c>
      <c r="F339" s="21" t="s">
        <v>23</v>
      </c>
      <c r="G339" s="22">
        <v>500</v>
      </c>
      <c r="H339" s="20">
        <v>1</v>
      </c>
      <c r="I339" s="32">
        <f>Town_Team[[#This Row],[Item quantity]]*Town_Team[[#This Row],[Selling price]]</f>
        <v>500</v>
      </c>
      <c r="J339" s="33">
        <f>IF(Town_Team[[#This Row],[Item name]]=" Jeans - Denim",Town_Team[[#This Row],[Item Amount]]*85%,Town_Team[[#This Row],[Item Amount]])</f>
        <v>500</v>
      </c>
      <c r="K339" s="39" t="str">
        <f>TEXT(Town_Team[[#This Row],[Date ]],"dddd")</f>
        <v>Sunday</v>
      </c>
    </row>
    <row r="340" spans="2:11" hidden="1" x14ac:dyDescent="0.3">
      <c r="B340" s="20">
        <v>336</v>
      </c>
      <c r="C340" s="19">
        <v>43801</v>
      </c>
      <c r="D340" s="21" t="s">
        <v>9</v>
      </c>
      <c r="E340" s="21" t="s">
        <v>15</v>
      </c>
      <c r="F340" s="21" t="s">
        <v>11</v>
      </c>
      <c r="G340" s="22">
        <v>1000</v>
      </c>
      <c r="H340" s="20">
        <v>1</v>
      </c>
      <c r="I340" s="32">
        <f>Town_Team[[#This Row],[Item quantity]]*Town_Team[[#This Row],[Selling price]]</f>
        <v>1000</v>
      </c>
      <c r="J340" s="33">
        <f>IF(Town_Team[[#This Row],[Item name]]=" Jeans - Denim",Town_Team[[#This Row],[Item Amount]]*85%,Town_Team[[#This Row],[Item Amount]])</f>
        <v>1000</v>
      </c>
      <c r="K340" s="39" t="str">
        <f>TEXT(Town_Team[[#This Row],[Date ]],"dddd")</f>
        <v>Monday</v>
      </c>
    </row>
    <row r="341" spans="2:11" hidden="1" x14ac:dyDescent="0.3">
      <c r="B341" s="20">
        <v>337</v>
      </c>
      <c r="C341" s="19">
        <v>43802</v>
      </c>
      <c r="D341" s="21" t="s">
        <v>9</v>
      </c>
      <c r="E341" s="21" t="s">
        <v>21</v>
      </c>
      <c r="F341" s="21" t="s">
        <v>20</v>
      </c>
      <c r="G341" s="22">
        <v>1200</v>
      </c>
      <c r="H341" s="20">
        <v>1</v>
      </c>
      <c r="I341" s="32">
        <f>Town_Team[[#This Row],[Item quantity]]*Town_Team[[#This Row],[Selling price]]</f>
        <v>1200</v>
      </c>
      <c r="J341" s="33">
        <f>IF(Town_Team[[#This Row],[Item name]]=" Jeans - Denim",Town_Team[[#This Row],[Item Amount]]*85%,Town_Team[[#This Row],[Item Amount]])</f>
        <v>1200</v>
      </c>
      <c r="K341" s="39" t="str">
        <f>TEXT(Town_Team[[#This Row],[Date ]],"dddd")</f>
        <v>Tuesday</v>
      </c>
    </row>
    <row r="342" spans="2:11" hidden="1" x14ac:dyDescent="0.3">
      <c r="B342" s="20">
        <v>338</v>
      </c>
      <c r="C342" s="19">
        <v>43803</v>
      </c>
      <c r="D342" s="21" t="s">
        <v>9</v>
      </c>
      <c r="E342" s="21" t="s">
        <v>21</v>
      </c>
      <c r="F342" s="21" t="s">
        <v>20</v>
      </c>
      <c r="G342" s="22">
        <v>1000</v>
      </c>
      <c r="H342" s="20">
        <v>1</v>
      </c>
      <c r="I342" s="32">
        <f>Town_Team[[#This Row],[Item quantity]]*Town_Team[[#This Row],[Selling price]]</f>
        <v>1000</v>
      </c>
      <c r="J342" s="33">
        <f>IF(Town_Team[[#This Row],[Item name]]=" Jeans - Denim",Town_Team[[#This Row],[Item Amount]]*85%,Town_Team[[#This Row],[Item Amount]])</f>
        <v>1000</v>
      </c>
      <c r="K342" s="39" t="str">
        <f>TEXT(Town_Team[[#This Row],[Date ]],"dddd")</f>
        <v>Wednesday</v>
      </c>
    </row>
    <row r="343" spans="2:11" hidden="1" x14ac:dyDescent="0.3">
      <c r="B343" s="20">
        <v>339</v>
      </c>
      <c r="C343" s="19">
        <v>43804</v>
      </c>
      <c r="D343" s="21" t="s">
        <v>9</v>
      </c>
      <c r="E343" s="21" t="s">
        <v>12</v>
      </c>
      <c r="F343" s="21" t="s">
        <v>11</v>
      </c>
      <c r="G343" s="22">
        <v>1000</v>
      </c>
      <c r="H343" s="20">
        <v>1</v>
      </c>
      <c r="I343" s="32">
        <f>Town_Team[[#This Row],[Item quantity]]*Town_Team[[#This Row],[Selling price]]</f>
        <v>1000</v>
      </c>
      <c r="J343" s="33">
        <f>IF(Town_Team[[#This Row],[Item name]]=" Jeans - Denim",Town_Team[[#This Row],[Item Amount]]*85%,Town_Team[[#This Row],[Item Amount]])</f>
        <v>850</v>
      </c>
      <c r="K343" s="39" t="str">
        <f>TEXT(Town_Team[[#This Row],[Date ]],"dddd")</f>
        <v>Thursday</v>
      </c>
    </row>
    <row r="344" spans="2:11" hidden="1" x14ac:dyDescent="0.3">
      <c r="B344" s="20">
        <v>340</v>
      </c>
      <c r="C344" s="19">
        <v>43805</v>
      </c>
      <c r="D344" s="21" t="s">
        <v>9</v>
      </c>
      <c r="E344" s="21" t="s">
        <v>15</v>
      </c>
      <c r="F344" s="21" t="s">
        <v>11</v>
      </c>
      <c r="G344" s="22">
        <v>1000</v>
      </c>
      <c r="H344" s="20">
        <v>1</v>
      </c>
      <c r="I344" s="32">
        <f>Town_Team[[#This Row],[Item quantity]]*Town_Team[[#This Row],[Selling price]]</f>
        <v>1000</v>
      </c>
      <c r="J344" s="33">
        <f>IF(Town_Team[[#This Row],[Item name]]=" Jeans - Denim",Town_Team[[#This Row],[Item Amount]]*85%,Town_Team[[#This Row],[Item Amount]])</f>
        <v>1000</v>
      </c>
      <c r="K344" s="39" t="str">
        <f>TEXT(Town_Team[[#This Row],[Date ]],"dddd")</f>
        <v>Friday</v>
      </c>
    </row>
    <row r="345" spans="2:11" hidden="1" x14ac:dyDescent="0.3">
      <c r="B345" s="20">
        <v>341</v>
      </c>
      <c r="C345" s="19">
        <v>43806</v>
      </c>
      <c r="D345" s="21" t="s">
        <v>9</v>
      </c>
      <c r="E345" s="21" t="s">
        <v>18</v>
      </c>
      <c r="F345" s="21" t="s">
        <v>17</v>
      </c>
      <c r="G345" s="22">
        <v>650</v>
      </c>
      <c r="H345" s="20">
        <v>1</v>
      </c>
      <c r="I345" s="32">
        <f>Town_Team[[#This Row],[Item quantity]]*Town_Team[[#This Row],[Selling price]]</f>
        <v>650</v>
      </c>
      <c r="J345" s="33">
        <f>IF(Town_Team[[#This Row],[Item name]]=" Jeans - Denim",Town_Team[[#This Row],[Item Amount]]*85%,Town_Team[[#This Row],[Item Amount]])</f>
        <v>650</v>
      </c>
      <c r="K345" s="39" t="str">
        <f>TEXT(Town_Team[[#This Row],[Date ]],"dddd")</f>
        <v>Saturday</v>
      </c>
    </row>
    <row r="346" spans="2:11" hidden="1" x14ac:dyDescent="0.3">
      <c r="B346" s="20">
        <v>342</v>
      </c>
      <c r="C346" s="19">
        <v>43807</v>
      </c>
      <c r="D346" s="21" t="s">
        <v>9</v>
      </c>
      <c r="E346" s="21" t="s">
        <v>18</v>
      </c>
      <c r="F346" s="21" t="s">
        <v>17</v>
      </c>
      <c r="G346" s="22">
        <v>650</v>
      </c>
      <c r="H346" s="20">
        <v>1</v>
      </c>
      <c r="I346" s="32">
        <f>Town_Team[[#This Row],[Item quantity]]*Town_Team[[#This Row],[Selling price]]</f>
        <v>650</v>
      </c>
      <c r="J346" s="33">
        <f>IF(Town_Team[[#This Row],[Item name]]=" Jeans - Denim",Town_Team[[#This Row],[Item Amount]]*85%,Town_Team[[#This Row],[Item Amount]])</f>
        <v>650</v>
      </c>
      <c r="K346" s="39" t="str">
        <f>TEXT(Town_Team[[#This Row],[Date ]],"dddd")</f>
        <v>Sunday</v>
      </c>
    </row>
    <row r="347" spans="2:11" hidden="1" x14ac:dyDescent="0.3">
      <c r="B347" s="20">
        <v>343</v>
      </c>
      <c r="C347" s="19">
        <v>43808</v>
      </c>
      <c r="D347" s="21" t="s">
        <v>9</v>
      </c>
      <c r="E347" s="21" t="s">
        <v>15</v>
      </c>
      <c r="F347" s="21" t="s">
        <v>11</v>
      </c>
      <c r="G347" s="22">
        <v>1000</v>
      </c>
      <c r="H347" s="20">
        <v>1</v>
      </c>
      <c r="I347" s="32">
        <f>Town_Team[[#This Row],[Item quantity]]*Town_Team[[#This Row],[Selling price]]</f>
        <v>1000</v>
      </c>
      <c r="J347" s="33">
        <f>IF(Town_Team[[#This Row],[Item name]]=" Jeans - Denim",Town_Team[[#This Row],[Item Amount]]*85%,Town_Team[[#This Row],[Item Amount]])</f>
        <v>1000</v>
      </c>
      <c r="K347" s="39" t="str">
        <f>TEXT(Town_Team[[#This Row],[Date ]],"dddd")</f>
        <v>Monday</v>
      </c>
    </row>
    <row r="348" spans="2:11" hidden="1" x14ac:dyDescent="0.3">
      <c r="B348" s="20">
        <v>344</v>
      </c>
      <c r="C348" s="19">
        <v>43809</v>
      </c>
      <c r="D348" s="21" t="s">
        <v>9</v>
      </c>
      <c r="E348" s="21" t="s">
        <v>14</v>
      </c>
      <c r="F348" s="21" t="s">
        <v>11</v>
      </c>
      <c r="G348" s="22">
        <v>900</v>
      </c>
      <c r="H348" s="20">
        <v>2</v>
      </c>
      <c r="I348" s="32">
        <f>Town_Team[[#This Row],[Item quantity]]*Town_Team[[#This Row],[Selling price]]</f>
        <v>1800</v>
      </c>
      <c r="J348" s="33">
        <f>IF(Town_Team[[#This Row],[Item name]]=" Jeans - Denim",Town_Team[[#This Row],[Item Amount]]*85%,Town_Team[[#This Row],[Item Amount]])</f>
        <v>1800</v>
      </c>
      <c r="K348" s="39" t="str">
        <f>TEXT(Town_Team[[#This Row],[Date ]],"dddd")</f>
        <v>Tuesday</v>
      </c>
    </row>
    <row r="349" spans="2:11" hidden="1" x14ac:dyDescent="0.3">
      <c r="B349" s="20">
        <v>345</v>
      </c>
      <c r="C349" s="19">
        <v>43810</v>
      </c>
      <c r="D349" s="21" t="s">
        <v>9</v>
      </c>
      <c r="E349" s="21" t="s">
        <v>10</v>
      </c>
      <c r="F349" s="21" t="s">
        <v>11</v>
      </c>
      <c r="G349" s="22">
        <v>1100</v>
      </c>
      <c r="H349" s="20">
        <v>2</v>
      </c>
      <c r="I349" s="32">
        <f>Town_Team[[#This Row],[Item quantity]]*Town_Team[[#This Row],[Selling price]]</f>
        <v>2200</v>
      </c>
      <c r="J349" s="33">
        <f>IF(Town_Team[[#This Row],[Item name]]=" Jeans - Denim",Town_Team[[#This Row],[Item Amount]]*85%,Town_Team[[#This Row],[Item Amount]])</f>
        <v>2200</v>
      </c>
      <c r="K349" s="39" t="str">
        <f>TEXT(Town_Team[[#This Row],[Date ]],"dddd")</f>
        <v>Wednesday</v>
      </c>
    </row>
    <row r="350" spans="2:11" x14ac:dyDescent="0.3">
      <c r="B350" s="20">
        <v>346</v>
      </c>
      <c r="C350" s="19">
        <v>43811</v>
      </c>
      <c r="D350" s="21" t="s">
        <v>13</v>
      </c>
      <c r="E350" s="21" t="s">
        <v>14</v>
      </c>
      <c r="F350" s="21" t="s">
        <v>11</v>
      </c>
      <c r="G350" s="22">
        <v>900</v>
      </c>
      <c r="H350" s="20">
        <v>2</v>
      </c>
      <c r="I350" s="32">
        <f>Town_Team[[#This Row],[Item quantity]]*Town_Team[[#This Row],[Selling price]]</f>
        <v>1800</v>
      </c>
      <c r="J350" s="33">
        <f>IF(Town_Team[[#This Row],[Item name]]=" Jeans - Denim",Town_Team[[#This Row],[Item Amount]]*85%,Town_Team[[#This Row],[Item Amount]])</f>
        <v>1800</v>
      </c>
      <c r="K350" s="39" t="str">
        <f>TEXT(Town_Team[[#This Row],[Date ]],"dddd")</f>
        <v>Thursday</v>
      </c>
    </row>
    <row r="351" spans="2:11" hidden="1" x14ac:dyDescent="0.3">
      <c r="B351" s="20">
        <v>347</v>
      </c>
      <c r="C351" s="19">
        <v>43812</v>
      </c>
      <c r="D351" s="21" t="s">
        <v>9</v>
      </c>
      <c r="E351" s="21" t="s">
        <v>22</v>
      </c>
      <c r="F351" s="21" t="s">
        <v>23</v>
      </c>
      <c r="G351" s="22">
        <v>800</v>
      </c>
      <c r="H351" s="20">
        <v>1</v>
      </c>
      <c r="I351" s="32">
        <f>Town_Team[[#This Row],[Item quantity]]*Town_Team[[#This Row],[Selling price]]</f>
        <v>800</v>
      </c>
      <c r="J351" s="33">
        <f>IF(Town_Team[[#This Row],[Item name]]=" Jeans - Denim",Town_Team[[#This Row],[Item Amount]]*85%,Town_Team[[#This Row],[Item Amount]])</f>
        <v>800</v>
      </c>
      <c r="K351" s="39" t="str">
        <f>TEXT(Town_Team[[#This Row],[Date ]],"dddd")</f>
        <v>Friday</v>
      </c>
    </row>
    <row r="352" spans="2:11" hidden="1" x14ac:dyDescent="0.3">
      <c r="B352" s="20">
        <v>348</v>
      </c>
      <c r="C352" s="19">
        <v>43813</v>
      </c>
      <c r="D352" s="21" t="s">
        <v>9</v>
      </c>
      <c r="E352" s="21" t="s">
        <v>10</v>
      </c>
      <c r="F352" s="21" t="s">
        <v>11</v>
      </c>
      <c r="G352" s="22">
        <v>1100</v>
      </c>
      <c r="H352" s="20">
        <v>1</v>
      </c>
      <c r="I352" s="32">
        <f>Town_Team[[#This Row],[Item quantity]]*Town_Team[[#This Row],[Selling price]]</f>
        <v>1100</v>
      </c>
      <c r="J352" s="33">
        <f>IF(Town_Team[[#This Row],[Item name]]=" Jeans - Denim",Town_Team[[#This Row],[Item Amount]]*85%,Town_Team[[#This Row],[Item Amount]])</f>
        <v>1100</v>
      </c>
      <c r="K352" s="39" t="str">
        <f>TEXT(Town_Team[[#This Row],[Date ]],"dddd")</f>
        <v>Saturday</v>
      </c>
    </row>
    <row r="353" spans="2:11" hidden="1" x14ac:dyDescent="0.3">
      <c r="B353" s="20">
        <v>349</v>
      </c>
      <c r="C353" s="19">
        <v>43814</v>
      </c>
      <c r="D353" s="21" t="s">
        <v>9</v>
      </c>
      <c r="E353" s="21" t="s">
        <v>24</v>
      </c>
      <c r="F353" s="21" t="s">
        <v>23</v>
      </c>
      <c r="G353" s="22">
        <v>600</v>
      </c>
      <c r="H353" s="20">
        <v>1</v>
      </c>
      <c r="I353" s="32">
        <f>Town_Team[[#This Row],[Item quantity]]*Town_Team[[#This Row],[Selling price]]</f>
        <v>600</v>
      </c>
      <c r="J353" s="33">
        <f>IF(Town_Team[[#This Row],[Item name]]=" Jeans - Denim",Town_Team[[#This Row],[Item Amount]]*85%,Town_Team[[#This Row],[Item Amount]])</f>
        <v>600</v>
      </c>
      <c r="K353" s="39" t="str">
        <f>TEXT(Town_Team[[#This Row],[Date ]],"dddd")</f>
        <v>Sunday</v>
      </c>
    </row>
    <row r="354" spans="2:11" x14ac:dyDescent="0.3">
      <c r="B354" s="20">
        <v>350</v>
      </c>
      <c r="C354" s="19">
        <v>43815</v>
      </c>
      <c r="D354" s="21" t="s">
        <v>13</v>
      </c>
      <c r="E354" s="21" t="s">
        <v>10</v>
      </c>
      <c r="F354" s="21" t="s">
        <v>11</v>
      </c>
      <c r="G354" s="22">
        <v>1100</v>
      </c>
      <c r="H354" s="20">
        <v>3</v>
      </c>
      <c r="I354" s="32">
        <f>Town_Team[[#This Row],[Item quantity]]*Town_Team[[#This Row],[Selling price]]</f>
        <v>3300</v>
      </c>
      <c r="J354" s="33">
        <f>IF(Town_Team[[#This Row],[Item name]]=" Jeans - Denim",Town_Team[[#This Row],[Item Amount]]*85%,Town_Team[[#This Row],[Item Amount]])</f>
        <v>3300</v>
      </c>
      <c r="K354" s="39" t="str">
        <f>TEXT(Town_Team[[#This Row],[Date ]],"dddd")</f>
        <v>Monday</v>
      </c>
    </row>
    <row r="355" spans="2:11" x14ac:dyDescent="0.3">
      <c r="B355" s="20">
        <v>351</v>
      </c>
      <c r="C355" s="19">
        <v>43816</v>
      </c>
      <c r="D355" s="21" t="s">
        <v>13</v>
      </c>
      <c r="E355" s="21" t="s">
        <v>19</v>
      </c>
      <c r="F355" s="21" t="s">
        <v>20</v>
      </c>
      <c r="G355" s="22">
        <v>850</v>
      </c>
      <c r="H355" s="20">
        <v>1</v>
      </c>
      <c r="I355" s="32">
        <f>Town_Team[[#This Row],[Item quantity]]*Town_Team[[#This Row],[Selling price]]</f>
        <v>850</v>
      </c>
      <c r="J355" s="33">
        <f>IF(Town_Team[[#This Row],[Item name]]=" Jeans - Denim",Town_Team[[#This Row],[Item Amount]]*85%,Town_Team[[#This Row],[Item Amount]])</f>
        <v>850</v>
      </c>
      <c r="K355" s="39" t="str">
        <f>TEXT(Town_Team[[#This Row],[Date ]],"dddd")</f>
        <v>Tuesday</v>
      </c>
    </row>
    <row r="356" spans="2:11" x14ac:dyDescent="0.3">
      <c r="B356" s="20">
        <v>352</v>
      </c>
      <c r="C356" s="19">
        <v>43817</v>
      </c>
      <c r="D356" s="21" t="s">
        <v>13</v>
      </c>
      <c r="E356" s="21" t="s">
        <v>24</v>
      </c>
      <c r="F356" s="21" t="s">
        <v>23</v>
      </c>
      <c r="G356" s="22">
        <v>600</v>
      </c>
      <c r="H356" s="20">
        <v>1</v>
      </c>
      <c r="I356" s="32">
        <f>Town_Team[[#This Row],[Item quantity]]*Town_Team[[#This Row],[Selling price]]</f>
        <v>600</v>
      </c>
      <c r="J356" s="33">
        <f>IF(Town_Team[[#This Row],[Item name]]=" Jeans - Denim",Town_Team[[#This Row],[Item Amount]]*85%,Town_Team[[#This Row],[Item Amount]])</f>
        <v>600</v>
      </c>
      <c r="K356" s="39" t="str">
        <f>TEXT(Town_Team[[#This Row],[Date ]],"dddd")</f>
        <v>Wednesday</v>
      </c>
    </row>
    <row r="357" spans="2:11" x14ac:dyDescent="0.3">
      <c r="B357" s="20">
        <v>353</v>
      </c>
      <c r="C357" s="19">
        <v>43818</v>
      </c>
      <c r="D357" s="21" t="s">
        <v>13</v>
      </c>
      <c r="E357" s="21" t="s">
        <v>24</v>
      </c>
      <c r="F357" s="21" t="s">
        <v>23</v>
      </c>
      <c r="G357" s="22">
        <v>600</v>
      </c>
      <c r="H357" s="20">
        <v>1</v>
      </c>
      <c r="I357" s="32">
        <f>Town_Team[[#This Row],[Item quantity]]*Town_Team[[#This Row],[Selling price]]</f>
        <v>600</v>
      </c>
      <c r="J357" s="33">
        <f>IF(Town_Team[[#This Row],[Item name]]=" Jeans - Denim",Town_Team[[#This Row],[Item Amount]]*85%,Town_Team[[#This Row],[Item Amount]])</f>
        <v>600</v>
      </c>
      <c r="K357" s="39" t="str">
        <f>TEXT(Town_Team[[#This Row],[Date ]],"dddd")</f>
        <v>Thursday</v>
      </c>
    </row>
    <row r="358" spans="2:11" hidden="1" x14ac:dyDescent="0.3">
      <c r="B358" s="20">
        <v>354</v>
      </c>
      <c r="C358" s="19">
        <v>43819</v>
      </c>
      <c r="D358" s="21" t="s">
        <v>9</v>
      </c>
      <c r="E358" s="21" t="s">
        <v>10</v>
      </c>
      <c r="F358" s="21" t="s">
        <v>11</v>
      </c>
      <c r="G358" s="22">
        <v>1100</v>
      </c>
      <c r="H358" s="20">
        <v>1</v>
      </c>
      <c r="I358" s="32">
        <f>Town_Team[[#This Row],[Item quantity]]*Town_Team[[#This Row],[Selling price]]</f>
        <v>1100</v>
      </c>
      <c r="J358" s="33">
        <f>IF(Town_Team[[#This Row],[Item name]]=" Jeans - Denim",Town_Team[[#This Row],[Item Amount]]*85%,Town_Team[[#This Row],[Item Amount]])</f>
        <v>1100</v>
      </c>
      <c r="K358" s="39" t="str">
        <f>TEXT(Town_Team[[#This Row],[Date ]],"dddd")</f>
        <v>Friday</v>
      </c>
    </row>
    <row r="359" spans="2:11" hidden="1" x14ac:dyDescent="0.3">
      <c r="B359" s="20">
        <v>355</v>
      </c>
      <c r="C359" s="19">
        <v>43820</v>
      </c>
      <c r="D359" s="21" t="s">
        <v>9</v>
      </c>
      <c r="E359" s="21" t="s">
        <v>15</v>
      </c>
      <c r="F359" s="21" t="s">
        <v>11</v>
      </c>
      <c r="G359" s="22">
        <v>1000</v>
      </c>
      <c r="H359" s="20">
        <v>1</v>
      </c>
      <c r="I359" s="32">
        <f>Town_Team[[#This Row],[Item quantity]]*Town_Team[[#This Row],[Selling price]]</f>
        <v>1000</v>
      </c>
      <c r="J359" s="33">
        <f>IF(Town_Team[[#This Row],[Item name]]=" Jeans - Denim",Town_Team[[#This Row],[Item Amount]]*85%,Town_Team[[#This Row],[Item Amount]])</f>
        <v>1000</v>
      </c>
      <c r="K359" s="39" t="str">
        <f>TEXT(Town_Team[[#This Row],[Date ]],"dddd")</f>
        <v>Saturday</v>
      </c>
    </row>
    <row r="360" spans="2:11" hidden="1" x14ac:dyDescent="0.3">
      <c r="B360" s="20">
        <v>356</v>
      </c>
      <c r="C360" s="19">
        <v>43821</v>
      </c>
      <c r="D360" s="21" t="s">
        <v>9</v>
      </c>
      <c r="E360" s="21" t="s">
        <v>14</v>
      </c>
      <c r="F360" s="21" t="s">
        <v>11</v>
      </c>
      <c r="G360" s="22">
        <v>900</v>
      </c>
      <c r="H360" s="20">
        <v>1</v>
      </c>
      <c r="I360" s="32">
        <f>Town_Team[[#This Row],[Item quantity]]*Town_Team[[#This Row],[Selling price]]</f>
        <v>900</v>
      </c>
      <c r="J360" s="33">
        <f>IF(Town_Team[[#This Row],[Item name]]=" Jeans - Denim",Town_Team[[#This Row],[Item Amount]]*85%,Town_Team[[#This Row],[Item Amount]])</f>
        <v>900</v>
      </c>
      <c r="K360" s="39" t="str">
        <f>TEXT(Town_Team[[#This Row],[Date ]],"dddd")</f>
        <v>Sunday</v>
      </c>
    </row>
    <row r="361" spans="2:11" hidden="1" x14ac:dyDescent="0.3">
      <c r="B361" s="20">
        <v>357</v>
      </c>
      <c r="C361" s="19">
        <v>43822</v>
      </c>
      <c r="D361" s="21" t="s">
        <v>9</v>
      </c>
      <c r="E361" s="21" t="s">
        <v>24</v>
      </c>
      <c r="F361" s="21" t="s">
        <v>23</v>
      </c>
      <c r="G361" s="22">
        <v>600</v>
      </c>
      <c r="H361" s="20">
        <v>1</v>
      </c>
      <c r="I361" s="32">
        <f>Town_Team[[#This Row],[Item quantity]]*Town_Team[[#This Row],[Selling price]]</f>
        <v>600</v>
      </c>
      <c r="J361" s="33">
        <f>IF(Town_Team[[#This Row],[Item name]]=" Jeans - Denim",Town_Team[[#This Row],[Item Amount]]*85%,Town_Team[[#This Row],[Item Amount]])</f>
        <v>600</v>
      </c>
      <c r="K361" s="39" t="str">
        <f>TEXT(Town_Team[[#This Row],[Date ]],"dddd")</f>
        <v>Monday</v>
      </c>
    </row>
    <row r="362" spans="2:11" hidden="1" x14ac:dyDescent="0.3">
      <c r="B362" s="20">
        <v>358</v>
      </c>
      <c r="C362" s="19">
        <v>43823</v>
      </c>
      <c r="D362" s="21" t="s">
        <v>9</v>
      </c>
      <c r="E362" s="21" t="s">
        <v>14</v>
      </c>
      <c r="F362" s="21" t="s">
        <v>11</v>
      </c>
      <c r="G362" s="22">
        <v>900</v>
      </c>
      <c r="H362" s="20">
        <v>1</v>
      </c>
      <c r="I362" s="32">
        <f>Town_Team[[#This Row],[Item quantity]]*Town_Team[[#This Row],[Selling price]]</f>
        <v>900</v>
      </c>
      <c r="J362" s="33">
        <f>IF(Town_Team[[#This Row],[Item name]]=" Jeans - Denim",Town_Team[[#This Row],[Item Amount]]*85%,Town_Team[[#This Row],[Item Amount]])</f>
        <v>900</v>
      </c>
      <c r="K362" s="39" t="str">
        <f>TEXT(Town_Team[[#This Row],[Date ]],"dddd")</f>
        <v>Tuesday</v>
      </c>
    </row>
    <row r="363" spans="2:11" hidden="1" x14ac:dyDescent="0.3">
      <c r="B363" s="20">
        <v>359</v>
      </c>
      <c r="C363" s="19">
        <v>43824</v>
      </c>
      <c r="D363" s="21" t="s">
        <v>9</v>
      </c>
      <c r="E363" s="21" t="s">
        <v>18</v>
      </c>
      <c r="F363" s="21" t="s">
        <v>17</v>
      </c>
      <c r="G363" s="22">
        <v>600</v>
      </c>
      <c r="H363" s="20">
        <v>1</v>
      </c>
      <c r="I363" s="32">
        <f>Town_Team[[#This Row],[Item quantity]]*Town_Team[[#This Row],[Selling price]]</f>
        <v>600</v>
      </c>
      <c r="J363" s="33">
        <f>IF(Town_Team[[#This Row],[Item name]]=" Jeans - Denim",Town_Team[[#This Row],[Item Amount]]*85%,Town_Team[[#This Row],[Item Amount]])</f>
        <v>600</v>
      </c>
      <c r="K363" s="39" t="str">
        <f>TEXT(Town_Team[[#This Row],[Date ]],"dddd")</f>
        <v>Wednesday</v>
      </c>
    </row>
    <row r="364" spans="2:11" hidden="1" x14ac:dyDescent="0.3">
      <c r="B364" s="20">
        <v>360</v>
      </c>
      <c r="C364" s="19">
        <v>43825</v>
      </c>
      <c r="D364" s="21" t="s">
        <v>9</v>
      </c>
      <c r="E364" s="21" t="s">
        <v>12</v>
      </c>
      <c r="F364" s="21" t="s">
        <v>11</v>
      </c>
      <c r="G364" s="22">
        <v>900</v>
      </c>
      <c r="H364" s="20">
        <v>1</v>
      </c>
      <c r="I364" s="32">
        <f>Town_Team[[#This Row],[Item quantity]]*Town_Team[[#This Row],[Selling price]]</f>
        <v>900</v>
      </c>
      <c r="J364" s="33">
        <f>IF(Town_Team[[#This Row],[Item name]]=" Jeans - Denim",Town_Team[[#This Row],[Item Amount]]*85%,Town_Team[[#This Row],[Item Amount]])</f>
        <v>765</v>
      </c>
      <c r="K364" s="39" t="str">
        <f>TEXT(Town_Team[[#This Row],[Date ]],"dddd")</f>
        <v>Thursday</v>
      </c>
    </row>
    <row r="365" spans="2:11" hidden="1" x14ac:dyDescent="0.3">
      <c r="B365" s="20">
        <v>361</v>
      </c>
      <c r="C365" s="19">
        <v>43826</v>
      </c>
      <c r="D365" s="21" t="s">
        <v>9</v>
      </c>
      <c r="E365" s="21" t="s">
        <v>18</v>
      </c>
      <c r="F365" s="21" t="s">
        <v>17</v>
      </c>
      <c r="G365" s="22">
        <v>600</v>
      </c>
      <c r="H365" s="20">
        <v>1</v>
      </c>
      <c r="I365" s="32">
        <f>Town_Team[[#This Row],[Item quantity]]*Town_Team[[#This Row],[Selling price]]</f>
        <v>600</v>
      </c>
      <c r="J365" s="33">
        <f>IF(Town_Team[[#This Row],[Item name]]=" Jeans - Denim",Town_Team[[#This Row],[Item Amount]]*85%,Town_Team[[#This Row],[Item Amount]])</f>
        <v>600</v>
      </c>
      <c r="K365" s="39" t="str">
        <f>TEXT(Town_Team[[#This Row],[Date ]],"dddd")</f>
        <v>Friday</v>
      </c>
    </row>
    <row r="366" spans="2:11" hidden="1" x14ac:dyDescent="0.3">
      <c r="B366" s="20">
        <v>362</v>
      </c>
      <c r="C366" s="19">
        <v>43827</v>
      </c>
      <c r="D366" s="21" t="s">
        <v>9</v>
      </c>
      <c r="E366" s="21" t="s">
        <v>14</v>
      </c>
      <c r="F366" s="21" t="s">
        <v>11</v>
      </c>
      <c r="G366" s="22">
        <v>900</v>
      </c>
      <c r="H366" s="20">
        <v>1</v>
      </c>
      <c r="I366" s="32">
        <f>Town_Team[[#This Row],[Item quantity]]*Town_Team[[#This Row],[Selling price]]</f>
        <v>900</v>
      </c>
      <c r="J366" s="33">
        <f>IF(Town_Team[[#This Row],[Item name]]=" Jeans - Denim",Town_Team[[#This Row],[Item Amount]]*85%,Town_Team[[#This Row],[Item Amount]])</f>
        <v>900</v>
      </c>
      <c r="K366" s="39" t="str">
        <f>TEXT(Town_Team[[#This Row],[Date ]],"dddd")</f>
        <v>Saturday</v>
      </c>
    </row>
    <row r="367" spans="2:11" hidden="1" x14ac:dyDescent="0.3">
      <c r="B367" s="20">
        <v>363</v>
      </c>
      <c r="C367" s="19">
        <v>43828</v>
      </c>
      <c r="D367" s="21" t="s">
        <v>9</v>
      </c>
      <c r="E367" s="21" t="s">
        <v>24</v>
      </c>
      <c r="F367" s="21" t="s">
        <v>23</v>
      </c>
      <c r="G367" s="22">
        <v>600</v>
      </c>
      <c r="H367" s="20">
        <v>1</v>
      </c>
      <c r="I367" s="32">
        <f>Town_Team[[#This Row],[Item quantity]]*Town_Team[[#This Row],[Selling price]]</f>
        <v>600</v>
      </c>
      <c r="J367" s="33">
        <f>IF(Town_Team[[#This Row],[Item name]]=" Jeans - Denim",Town_Team[[#This Row],[Item Amount]]*85%,Town_Team[[#This Row],[Item Amount]])</f>
        <v>600</v>
      </c>
      <c r="K367" s="39" t="str">
        <f>TEXT(Town_Team[[#This Row],[Date ]],"dddd")</f>
        <v>Sunday</v>
      </c>
    </row>
    <row r="368" spans="2:11" hidden="1" x14ac:dyDescent="0.3">
      <c r="B368" s="20">
        <v>364</v>
      </c>
      <c r="C368" s="19">
        <v>43829</v>
      </c>
      <c r="D368" s="21" t="s">
        <v>9</v>
      </c>
      <c r="E368" s="21" t="s">
        <v>10</v>
      </c>
      <c r="F368" s="21" t="s">
        <v>11</v>
      </c>
      <c r="G368" s="22">
        <v>1100</v>
      </c>
      <c r="H368" s="20">
        <v>2</v>
      </c>
      <c r="I368" s="32">
        <f>Town_Team[[#This Row],[Item quantity]]*Town_Team[[#This Row],[Selling price]]</f>
        <v>2200</v>
      </c>
      <c r="J368" s="33">
        <f>IF(Town_Team[[#This Row],[Item name]]=" Jeans - Denim",Town_Team[[#This Row],[Item Amount]]*85%,Town_Team[[#This Row],[Item Amount]])</f>
        <v>2200</v>
      </c>
      <c r="K368" s="39" t="str">
        <f>TEXT(Town_Team[[#This Row],[Date ]],"dddd")</f>
        <v>Monday</v>
      </c>
    </row>
    <row r="369" spans="2:11" hidden="1" x14ac:dyDescent="0.3">
      <c r="B369" s="20">
        <v>365</v>
      </c>
      <c r="C369" s="19">
        <v>43830</v>
      </c>
      <c r="D369" s="21" t="s">
        <v>9</v>
      </c>
      <c r="E369" s="21" t="s">
        <v>10</v>
      </c>
      <c r="F369" s="21" t="s">
        <v>11</v>
      </c>
      <c r="G369" s="22">
        <v>1100</v>
      </c>
      <c r="H369" s="20">
        <v>1</v>
      </c>
      <c r="I369" s="32">
        <f>Town_Team[[#This Row],[Item quantity]]*Town_Team[[#This Row],[Selling price]]</f>
        <v>1100</v>
      </c>
      <c r="J369" s="33">
        <f>IF(Town_Team[[#This Row],[Item name]]=" Jeans - Denim",Town_Team[[#This Row],[Item Amount]]*85%,Town_Team[[#This Row],[Item Amount]])</f>
        <v>1100</v>
      </c>
      <c r="K369" s="39" t="str">
        <f>TEXT(Town_Team[[#This Row],[Date ]],"dddd")</f>
        <v>Tuesday</v>
      </c>
    </row>
    <row r="370" spans="2:11" hidden="1" x14ac:dyDescent="0.3">
      <c r="B370" s="20">
        <v>366</v>
      </c>
      <c r="C370" s="19">
        <v>43831</v>
      </c>
      <c r="D370" s="21" t="s">
        <v>9</v>
      </c>
      <c r="E370" s="21" t="s">
        <v>10</v>
      </c>
      <c r="F370" s="21" t="s">
        <v>11</v>
      </c>
      <c r="G370" s="22">
        <v>1100</v>
      </c>
      <c r="H370" s="20">
        <v>1</v>
      </c>
      <c r="I370" s="32">
        <f>Town_Team[[#This Row],[Item quantity]]*Town_Team[[#This Row],[Selling price]]</f>
        <v>1100</v>
      </c>
      <c r="J370" s="33">
        <f>IF(Town_Team[[#This Row],[Item name]]=" Jeans - Denim",Town_Team[[#This Row],[Item Amount]]*85%,Town_Team[[#This Row],[Item Amount]])</f>
        <v>1100</v>
      </c>
      <c r="K370" s="39" t="str">
        <f>TEXT(Town_Team[[#This Row],[Date ]],"dddd")</f>
        <v>Wednesday</v>
      </c>
    </row>
    <row r="371" spans="2:11" hidden="1" x14ac:dyDescent="0.3">
      <c r="B371" s="20">
        <v>367</v>
      </c>
      <c r="C371" s="19">
        <v>43832</v>
      </c>
      <c r="D371" s="21" t="s">
        <v>9</v>
      </c>
      <c r="E371" s="21" t="s">
        <v>18</v>
      </c>
      <c r="F371" s="21" t="s">
        <v>17</v>
      </c>
      <c r="G371" s="22">
        <v>600</v>
      </c>
      <c r="H371" s="20">
        <v>2</v>
      </c>
      <c r="I371" s="32">
        <f>Town_Team[[#This Row],[Item quantity]]*Town_Team[[#This Row],[Selling price]]</f>
        <v>1200</v>
      </c>
      <c r="J371" s="33">
        <f>IF(Town_Team[[#This Row],[Item name]]=" Jeans - Denim",Town_Team[[#This Row],[Item Amount]]*85%,Town_Team[[#This Row],[Item Amount]])</f>
        <v>1200</v>
      </c>
      <c r="K371" s="39" t="str">
        <f>TEXT(Town_Team[[#This Row],[Date ]],"dddd")</f>
        <v>Thursday</v>
      </c>
    </row>
    <row r="372" spans="2:11" hidden="1" x14ac:dyDescent="0.3">
      <c r="B372" s="20">
        <v>368</v>
      </c>
      <c r="C372" s="19">
        <v>43833</v>
      </c>
      <c r="D372" s="21" t="s">
        <v>9</v>
      </c>
      <c r="E372" s="21" t="s">
        <v>10</v>
      </c>
      <c r="F372" s="21" t="s">
        <v>11</v>
      </c>
      <c r="G372" s="22">
        <v>1100</v>
      </c>
      <c r="H372" s="20">
        <v>1</v>
      </c>
      <c r="I372" s="32">
        <f>Town_Team[[#This Row],[Item quantity]]*Town_Team[[#This Row],[Selling price]]</f>
        <v>1100</v>
      </c>
      <c r="J372" s="33">
        <f>IF(Town_Team[[#This Row],[Item name]]=" Jeans - Denim",Town_Team[[#This Row],[Item Amount]]*85%,Town_Team[[#This Row],[Item Amount]])</f>
        <v>1100</v>
      </c>
      <c r="K372" s="39" t="str">
        <f>TEXT(Town_Team[[#This Row],[Date ]],"dddd")</f>
        <v>Friday</v>
      </c>
    </row>
    <row r="373" spans="2:11" hidden="1" x14ac:dyDescent="0.3">
      <c r="B373" s="20">
        <v>369</v>
      </c>
      <c r="C373" s="19">
        <v>43834</v>
      </c>
      <c r="D373" s="21" t="s">
        <v>9</v>
      </c>
      <c r="E373" s="21" t="s">
        <v>24</v>
      </c>
      <c r="F373" s="21" t="s">
        <v>23</v>
      </c>
      <c r="G373" s="22">
        <v>600</v>
      </c>
      <c r="H373" s="20">
        <v>1</v>
      </c>
      <c r="I373" s="32">
        <f>Town_Team[[#This Row],[Item quantity]]*Town_Team[[#This Row],[Selling price]]</f>
        <v>600</v>
      </c>
      <c r="J373" s="33">
        <f>IF(Town_Team[[#This Row],[Item name]]=" Jeans - Denim",Town_Team[[#This Row],[Item Amount]]*85%,Town_Team[[#This Row],[Item Amount]])</f>
        <v>600</v>
      </c>
      <c r="K373" s="39" t="str">
        <f>TEXT(Town_Team[[#This Row],[Date ]],"dddd")</f>
        <v>Saturday</v>
      </c>
    </row>
    <row r="374" spans="2:11" hidden="1" x14ac:dyDescent="0.3">
      <c r="B374" s="20">
        <v>370</v>
      </c>
      <c r="C374" s="19">
        <v>43835</v>
      </c>
      <c r="D374" s="21" t="s">
        <v>9</v>
      </c>
      <c r="E374" s="21" t="s">
        <v>10</v>
      </c>
      <c r="F374" s="21" t="s">
        <v>11</v>
      </c>
      <c r="G374" s="22">
        <v>1100</v>
      </c>
      <c r="H374" s="20">
        <v>1</v>
      </c>
      <c r="I374" s="32">
        <f>Town_Team[[#This Row],[Item quantity]]*Town_Team[[#This Row],[Selling price]]</f>
        <v>1100</v>
      </c>
      <c r="J374" s="33">
        <f>IF(Town_Team[[#This Row],[Item name]]=" Jeans - Denim",Town_Team[[#This Row],[Item Amount]]*85%,Town_Team[[#This Row],[Item Amount]])</f>
        <v>1100</v>
      </c>
      <c r="K374" s="39" t="str">
        <f>TEXT(Town_Team[[#This Row],[Date ]],"dddd")</f>
        <v>Sunday</v>
      </c>
    </row>
    <row r="375" spans="2:11" x14ac:dyDescent="0.3">
      <c r="B375" s="20">
        <v>371</v>
      </c>
      <c r="C375" s="19">
        <v>43836</v>
      </c>
      <c r="D375" s="21" t="s">
        <v>13</v>
      </c>
      <c r="E375" s="21" t="s">
        <v>18</v>
      </c>
      <c r="F375" s="21" t="s">
        <v>17</v>
      </c>
      <c r="G375" s="22">
        <v>600</v>
      </c>
      <c r="H375" s="20">
        <v>1</v>
      </c>
      <c r="I375" s="32">
        <f>Town_Team[[#This Row],[Item quantity]]*Town_Team[[#This Row],[Selling price]]</f>
        <v>600</v>
      </c>
      <c r="J375" s="33">
        <f>IF(Town_Team[[#This Row],[Item name]]=" Jeans - Denim",Town_Team[[#This Row],[Item Amount]]*85%,Town_Team[[#This Row],[Item Amount]])</f>
        <v>600</v>
      </c>
      <c r="K375" s="39" t="str">
        <f>TEXT(Town_Team[[#This Row],[Date ]],"dddd")</f>
        <v>Monday</v>
      </c>
    </row>
    <row r="376" spans="2:11" x14ac:dyDescent="0.3">
      <c r="B376" s="20">
        <v>372</v>
      </c>
      <c r="C376" s="19">
        <v>43837</v>
      </c>
      <c r="D376" s="21" t="s">
        <v>13</v>
      </c>
      <c r="E376" s="21" t="s">
        <v>10</v>
      </c>
      <c r="F376" s="21" t="s">
        <v>11</v>
      </c>
      <c r="G376" s="22">
        <v>1100</v>
      </c>
      <c r="H376" s="20">
        <v>1</v>
      </c>
      <c r="I376" s="32">
        <f>Town_Team[[#This Row],[Item quantity]]*Town_Team[[#This Row],[Selling price]]</f>
        <v>1100</v>
      </c>
      <c r="J376" s="33">
        <f>IF(Town_Team[[#This Row],[Item name]]=" Jeans - Denim",Town_Team[[#This Row],[Item Amount]]*85%,Town_Team[[#This Row],[Item Amount]])</f>
        <v>1100</v>
      </c>
      <c r="K376" s="39" t="str">
        <f>TEXT(Town_Team[[#This Row],[Date ]],"dddd")</f>
        <v>Tuesday</v>
      </c>
    </row>
    <row r="377" spans="2:11" x14ac:dyDescent="0.3">
      <c r="B377" s="20">
        <v>373</v>
      </c>
      <c r="C377" s="19">
        <v>43838</v>
      </c>
      <c r="D377" s="21" t="s">
        <v>13</v>
      </c>
      <c r="E377" s="21" t="s">
        <v>14</v>
      </c>
      <c r="F377" s="21" t="s">
        <v>11</v>
      </c>
      <c r="G377" s="22">
        <v>900</v>
      </c>
      <c r="H377" s="20">
        <v>1</v>
      </c>
      <c r="I377" s="32">
        <f>Town_Team[[#This Row],[Item quantity]]*Town_Team[[#This Row],[Selling price]]</f>
        <v>900</v>
      </c>
      <c r="J377" s="33">
        <f>IF(Town_Team[[#This Row],[Item name]]=" Jeans - Denim",Town_Team[[#This Row],[Item Amount]]*85%,Town_Team[[#This Row],[Item Amount]])</f>
        <v>900</v>
      </c>
      <c r="K377" s="39" t="str">
        <f>TEXT(Town_Team[[#This Row],[Date ]],"dddd")</f>
        <v>Wednesday</v>
      </c>
    </row>
    <row r="378" spans="2:11" x14ac:dyDescent="0.3">
      <c r="B378" s="20">
        <v>374</v>
      </c>
      <c r="C378" s="19">
        <v>43839</v>
      </c>
      <c r="D378" s="21" t="s">
        <v>13</v>
      </c>
      <c r="E378" s="21" t="s">
        <v>21</v>
      </c>
      <c r="F378" s="21" t="s">
        <v>20</v>
      </c>
      <c r="G378" s="22">
        <v>1200</v>
      </c>
      <c r="H378" s="20">
        <v>1</v>
      </c>
      <c r="I378" s="32">
        <f>Town_Team[[#This Row],[Item quantity]]*Town_Team[[#This Row],[Selling price]]</f>
        <v>1200</v>
      </c>
      <c r="J378" s="33">
        <f>IF(Town_Team[[#This Row],[Item name]]=" Jeans - Denim",Town_Team[[#This Row],[Item Amount]]*85%,Town_Team[[#This Row],[Item Amount]])</f>
        <v>1200</v>
      </c>
      <c r="K378" s="39" t="str">
        <f>TEXT(Town_Team[[#This Row],[Date ]],"dddd")</f>
        <v>Thursday</v>
      </c>
    </row>
    <row r="379" spans="2:11" x14ac:dyDescent="0.3">
      <c r="B379" s="20">
        <v>375</v>
      </c>
      <c r="C379" s="19">
        <v>43840</v>
      </c>
      <c r="D379" s="21" t="s">
        <v>13</v>
      </c>
      <c r="E379" s="21" t="s">
        <v>22</v>
      </c>
      <c r="F379" s="21" t="s">
        <v>23</v>
      </c>
      <c r="G379" s="22">
        <v>500</v>
      </c>
      <c r="H379" s="20">
        <v>1</v>
      </c>
      <c r="I379" s="32">
        <f>Town_Team[[#This Row],[Item quantity]]*Town_Team[[#This Row],[Selling price]]</f>
        <v>500</v>
      </c>
      <c r="J379" s="33">
        <f>IF(Town_Team[[#This Row],[Item name]]=" Jeans - Denim",Town_Team[[#This Row],[Item Amount]]*85%,Town_Team[[#This Row],[Item Amount]])</f>
        <v>500</v>
      </c>
      <c r="K379" s="39" t="str">
        <f>TEXT(Town_Team[[#This Row],[Date ]],"dddd")</f>
        <v>Friday</v>
      </c>
    </row>
    <row r="380" spans="2:11" x14ac:dyDescent="0.3">
      <c r="B380" s="20">
        <v>376</v>
      </c>
      <c r="C380" s="19">
        <v>43841</v>
      </c>
      <c r="D380" s="21" t="s">
        <v>13</v>
      </c>
      <c r="E380" s="21" t="s">
        <v>18</v>
      </c>
      <c r="F380" s="21" t="s">
        <v>17</v>
      </c>
      <c r="G380" s="22">
        <v>600</v>
      </c>
      <c r="H380" s="20">
        <v>1</v>
      </c>
      <c r="I380" s="32">
        <f>Town_Team[[#This Row],[Item quantity]]*Town_Team[[#This Row],[Selling price]]</f>
        <v>600</v>
      </c>
      <c r="J380" s="33">
        <f>IF(Town_Team[[#This Row],[Item name]]=" Jeans - Denim",Town_Team[[#This Row],[Item Amount]]*85%,Town_Team[[#This Row],[Item Amount]])</f>
        <v>600</v>
      </c>
      <c r="K380" s="39" t="str">
        <f>TEXT(Town_Team[[#This Row],[Date ]],"dddd")</f>
        <v>Saturday</v>
      </c>
    </row>
    <row r="381" spans="2:11" x14ac:dyDescent="0.3">
      <c r="B381" s="20">
        <v>377</v>
      </c>
      <c r="C381" s="19">
        <v>43842</v>
      </c>
      <c r="D381" s="21" t="s">
        <v>13</v>
      </c>
      <c r="E381" s="21" t="s">
        <v>18</v>
      </c>
      <c r="F381" s="21" t="s">
        <v>17</v>
      </c>
      <c r="G381" s="22">
        <v>600</v>
      </c>
      <c r="H381" s="20">
        <v>1</v>
      </c>
      <c r="I381" s="32">
        <f>Town_Team[[#This Row],[Item quantity]]*Town_Team[[#This Row],[Selling price]]</f>
        <v>600</v>
      </c>
      <c r="J381" s="33">
        <f>IF(Town_Team[[#This Row],[Item name]]=" Jeans - Denim",Town_Team[[#This Row],[Item Amount]]*85%,Town_Team[[#This Row],[Item Amount]])</f>
        <v>600</v>
      </c>
      <c r="K381" s="39" t="str">
        <f>TEXT(Town_Team[[#This Row],[Date ]],"dddd")</f>
        <v>Sunday</v>
      </c>
    </row>
    <row r="382" spans="2:11" x14ac:dyDescent="0.3">
      <c r="B382" s="20">
        <v>378</v>
      </c>
      <c r="C382" s="19">
        <v>43843</v>
      </c>
      <c r="D382" s="21" t="s">
        <v>13</v>
      </c>
      <c r="E382" s="21" t="s">
        <v>10</v>
      </c>
      <c r="F382" s="21" t="s">
        <v>11</v>
      </c>
      <c r="G382" s="22">
        <v>1100</v>
      </c>
      <c r="H382" s="20">
        <v>1</v>
      </c>
      <c r="I382" s="32">
        <f>Town_Team[[#This Row],[Item quantity]]*Town_Team[[#This Row],[Selling price]]</f>
        <v>1100</v>
      </c>
      <c r="J382" s="33">
        <f>IF(Town_Team[[#This Row],[Item name]]=" Jeans - Denim",Town_Team[[#This Row],[Item Amount]]*85%,Town_Team[[#This Row],[Item Amount]])</f>
        <v>1100</v>
      </c>
      <c r="K382" s="39" t="str">
        <f>TEXT(Town_Team[[#This Row],[Date ]],"dddd")</f>
        <v>Monday</v>
      </c>
    </row>
    <row r="383" spans="2:11" x14ac:dyDescent="0.3">
      <c r="B383" s="20">
        <v>379</v>
      </c>
      <c r="C383" s="19">
        <v>43844</v>
      </c>
      <c r="D383" s="21" t="s">
        <v>13</v>
      </c>
      <c r="E383" s="21" t="s">
        <v>10</v>
      </c>
      <c r="F383" s="21" t="s">
        <v>11</v>
      </c>
      <c r="G383" s="22">
        <v>1100</v>
      </c>
      <c r="H383" s="20">
        <v>1</v>
      </c>
      <c r="I383" s="32">
        <f>Town_Team[[#This Row],[Item quantity]]*Town_Team[[#This Row],[Selling price]]</f>
        <v>1100</v>
      </c>
      <c r="J383" s="33">
        <f>IF(Town_Team[[#This Row],[Item name]]=" Jeans - Denim",Town_Team[[#This Row],[Item Amount]]*85%,Town_Team[[#This Row],[Item Amount]])</f>
        <v>1100</v>
      </c>
      <c r="K383" s="39" t="str">
        <f>TEXT(Town_Team[[#This Row],[Date ]],"dddd")</f>
        <v>Tuesday</v>
      </c>
    </row>
    <row r="384" spans="2:11" hidden="1" x14ac:dyDescent="0.3">
      <c r="B384" s="20">
        <v>380</v>
      </c>
      <c r="C384" s="19">
        <v>43845</v>
      </c>
      <c r="D384" s="21" t="s">
        <v>9</v>
      </c>
      <c r="E384" s="21" t="s">
        <v>22</v>
      </c>
      <c r="F384" s="21" t="s">
        <v>23</v>
      </c>
      <c r="G384" s="22">
        <v>900</v>
      </c>
      <c r="H384" s="20">
        <v>1</v>
      </c>
      <c r="I384" s="32">
        <f>Town_Team[[#This Row],[Item quantity]]*Town_Team[[#This Row],[Selling price]]</f>
        <v>900</v>
      </c>
      <c r="J384" s="33">
        <f>IF(Town_Team[[#This Row],[Item name]]=" Jeans - Denim",Town_Team[[#This Row],[Item Amount]]*85%,Town_Team[[#This Row],[Item Amount]])</f>
        <v>900</v>
      </c>
      <c r="K384" s="39" t="str">
        <f>TEXT(Town_Team[[#This Row],[Date ]],"dddd")</f>
        <v>Wednesday</v>
      </c>
    </row>
    <row r="385" spans="2:11" hidden="1" x14ac:dyDescent="0.3">
      <c r="B385" s="20">
        <v>381</v>
      </c>
      <c r="C385" s="19">
        <v>43846</v>
      </c>
      <c r="D385" s="21" t="s">
        <v>9</v>
      </c>
      <c r="E385" s="21" t="s">
        <v>24</v>
      </c>
      <c r="F385" s="21" t="s">
        <v>23</v>
      </c>
      <c r="G385" s="22">
        <v>600</v>
      </c>
      <c r="H385" s="20">
        <v>1</v>
      </c>
      <c r="I385" s="32">
        <f>Town_Team[[#This Row],[Item quantity]]*Town_Team[[#This Row],[Selling price]]</f>
        <v>600</v>
      </c>
      <c r="J385" s="33">
        <f>IF(Town_Team[[#This Row],[Item name]]=" Jeans - Denim",Town_Team[[#This Row],[Item Amount]]*85%,Town_Team[[#This Row],[Item Amount]])</f>
        <v>600</v>
      </c>
      <c r="K385" s="39" t="str">
        <f>TEXT(Town_Team[[#This Row],[Date ]],"dddd")</f>
        <v>Thursday</v>
      </c>
    </row>
    <row r="386" spans="2:11" x14ac:dyDescent="0.3">
      <c r="B386" s="20">
        <v>382</v>
      </c>
      <c r="C386" s="19">
        <v>43847</v>
      </c>
      <c r="D386" s="21" t="s">
        <v>13</v>
      </c>
      <c r="E386" s="21" t="s">
        <v>10</v>
      </c>
      <c r="F386" s="21" t="s">
        <v>11</v>
      </c>
      <c r="G386" s="22">
        <v>1100</v>
      </c>
      <c r="H386" s="20">
        <v>1</v>
      </c>
      <c r="I386" s="32">
        <f>Town_Team[[#This Row],[Item quantity]]*Town_Team[[#This Row],[Selling price]]</f>
        <v>1100</v>
      </c>
      <c r="J386" s="33">
        <f>IF(Town_Team[[#This Row],[Item name]]=" Jeans - Denim",Town_Team[[#This Row],[Item Amount]]*85%,Town_Team[[#This Row],[Item Amount]])</f>
        <v>1100</v>
      </c>
      <c r="K386" s="39" t="str">
        <f>TEXT(Town_Team[[#This Row],[Date ]],"dddd")</f>
        <v>Friday</v>
      </c>
    </row>
    <row r="387" spans="2:11" x14ac:dyDescent="0.3">
      <c r="B387" s="20">
        <v>383</v>
      </c>
      <c r="C387" s="19">
        <v>43848</v>
      </c>
      <c r="D387" s="21" t="s">
        <v>13</v>
      </c>
      <c r="E387" s="21" t="s">
        <v>18</v>
      </c>
      <c r="F387" s="21" t="s">
        <v>17</v>
      </c>
      <c r="G387" s="22">
        <v>600</v>
      </c>
      <c r="H387" s="20">
        <v>1</v>
      </c>
      <c r="I387" s="32">
        <f>Town_Team[[#This Row],[Item quantity]]*Town_Team[[#This Row],[Selling price]]</f>
        <v>600</v>
      </c>
      <c r="J387" s="33">
        <f>IF(Town_Team[[#This Row],[Item name]]=" Jeans - Denim",Town_Team[[#This Row],[Item Amount]]*85%,Town_Team[[#This Row],[Item Amount]])</f>
        <v>600</v>
      </c>
      <c r="K387" s="39" t="str">
        <f>TEXT(Town_Team[[#This Row],[Date ]],"dddd")</f>
        <v>Saturday</v>
      </c>
    </row>
    <row r="388" spans="2:11" x14ac:dyDescent="0.3">
      <c r="B388" s="20">
        <v>384</v>
      </c>
      <c r="C388" s="19">
        <v>43849</v>
      </c>
      <c r="D388" s="21" t="s">
        <v>13</v>
      </c>
      <c r="E388" s="21" t="s">
        <v>14</v>
      </c>
      <c r="F388" s="21" t="s">
        <v>11</v>
      </c>
      <c r="G388" s="22">
        <v>900</v>
      </c>
      <c r="H388" s="20">
        <v>1</v>
      </c>
      <c r="I388" s="32">
        <f>Town_Team[[#This Row],[Item quantity]]*Town_Team[[#This Row],[Selling price]]</f>
        <v>900</v>
      </c>
      <c r="J388" s="33">
        <f>IF(Town_Team[[#This Row],[Item name]]=" Jeans - Denim",Town_Team[[#This Row],[Item Amount]]*85%,Town_Team[[#This Row],[Item Amount]])</f>
        <v>900</v>
      </c>
      <c r="K388" s="39" t="str">
        <f>TEXT(Town_Team[[#This Row],[Date ]],"dddd")</f>
        <v>Sunday</v>
      </c>
    </row>
    <row r="389" spans="2:11" x14ac:dyDescent="0.3">
      <c r="B389" s="20">
        <v>385</v>
      </c>
      <c r="C389" s="19">
        <v>43850</v>
      </c>
      <c r="D389" s="21" t="s">
        <v>13</v>
      </c>
      <c r="E389" s="21" t="s">
        <v>18</v>
      </c>
      <c r="F389" s="21" t="s">
        <v>17</v>
      </c>
      <c r="G389" s="22">
        <v>600</v>
      </c>
      <c r="H389" s="20">
        <v>1</v>
      </c>
      <c r="I389" s="32">
        <f>Town_Team[[#This Row],[Item quantity]]*Town_Team[[#This Row],[Selling price]]</f>
        <v>600</v>
      </c>
      <c r="J389" s="33">
        <f>IF(Town_Team[[#This Row],[Item name]]=" Jeans - Denim",Town_Team[[#This Row],[Item Amount]]*85%,Town_Team[[#This Row],[Item Amount]])</f>
        <v>600</v>
      </c>
      <c r="K389" s="39" t="str">
        <f>TEXT(Town_Team[[#This Row],[Date ]],"dddd")</f>
        <v>Monday</v>
      </c>
    </row>
    <row r="390" spans="2:11" hidden="1" x14ac:dyDescent="0.3">
      <c r="B390" s="20">
        <v>386</v>
      </c>
      <c r="C390" s="19">
        <v>43851</v>
      </c>
      <c r="D390" s="21" t="s">
        <v>9</v>
      </c>
      <c r="E390" s="21" t="s">
        <v>18</v>
      </c>
      <c r="F390" s="21" t="s">
        <v>17</v>
      </c>
      <c r="G390" s="22">
        <v>600</v>
      </c>
      <c r="H390" s="20">
        <v>1</v>
      </c>
      <c r="I390" s="32">
        <f>Town_Team[[#This Row],[Item quantity]]*Town_Team[[#This Row],[Selling price]]</f>
        <v>600</v>
      </c>
      <c r="J390" s="33">
        <f>IF(Town_Team[[#This Row],[Item name]]=" Jeans - Denim",Town_Team[[#This Row],[Item Amount]]*85%,Town_Team[[#This Row],[Item Amount]])</f>
        <v>600</v>
      </c>
      <c r="K390" s="39" t="str">
        <f>TEXT(Town_Team[[#This Row],[Date ]],"dddd")</f>
        <v>Tuesday</v>
      </c>
    </row>
    <row r="391" spans="2:11" hidden="1" x14ac:dyDescent="0.3">
      <c r="B391" s="20">
        <v>387</v>
      </c>
      <c r="C391" s="19">
        <v>43852</v>
      </c>
      <c r="D391" s="21" t="s">
        <v>9</v>
      </c>
      <c r="E391" s="21" t="s">
        <v>18</v>
      </c>
      <c r="F391" s="21" t="s">
        <v>17</v>
      </c>
      <c r="G391" s="22">
        <v>600</v>
      </c>
      <c r="H391" s="20">
        <v>1</v>
      </c>
      <c r="I391" s="32">
        <f>Town_Team[[#This Row],[Item quantity]]*Town_Team[[#This Row],[Selling price]]</f>
        <v>600</v>
      </c>
      <c r="J391" s="33">
        <f>IF(Town_Team[[#This Row],[Item name]]=" Jeans - Denim",Town_Team[[#This Row],[Item Amount]]*85%,Town_Team[[#This Row],[Item Amount]])</f>
        <v>600</v>
      </c>
      <c r="K391" s="39" t="str">
        <f>TEXT(Town_Team[[#This Row],[Date ]],"dddd")</f>
        <v>Wednesday</v>
      </c>
    </row>
    <row r="392" spans="2:11" hidden="1" x14ac:dyDescent="0.3">
      <c r="B392" s="20">
        <v>388</v>
      </c>
      <c r="C392" s="19">
        <v>43853</v>
      </c>
      <c r="D392" s="21" t="s">
        <v>9</v>
      </c>
      <c r="E392" s="21" t="s">
        <v>22</v>
      </c>
      <c r="F392" s="21" t="s">
        <v>23</v>
      </c>
      <c r="G392" s="22">
        <v>500</v>
      </c>
      <c r="H392" s="20">
        <v>1</v>
      </c>
      <c r="I392" s="32">
        <f>Town_Team[[#This Row],[Item quantity]]*Town_Team[[#This Row],[Selling price]]</f>
        <v>500</v>
      </c>
      <c r="J392" s="33">
        <f>IF(Town_Team[[#This Row],[Item name]]=" Jeans - Denim",Town_Team[[#This Row],[Item Amount]]*85%,Town_Team[[#This Row],[Item Amount]])</f>
        <v>500</v>
      </c>
      <c r="K392" s="39" t="str">
        <f>TEXT(Town_Team[[#This Row],[Date ]],"dddd")</f>
        <v>Thursday</v>
      </c>
    </row>
    <row r="393" spans="2:11" hidden="1" x14ac:dyDescent="0.3">
      <c r="B393" s="20">
        <v>389</v>
      </c>
      <c r="C393" s="19">
        <v>43854</v>
      </c>
      <c r="D393" s="21" t="s">
        <v>9</v>
      </c>
      <c r="E393" s="21" t="s">
        <v>18</v>
      </c>
      <c r="F393" s="21" t="s">
        <v>17</v>
      </c>
      <c r="G393" s="22">
        <v>600</v>
      </c>
      <c r="H393" s="20">
        <v>1</v>
      </c>
      <c r="I393" s="32">
        <f>Town_Team[[#This Row],[Item quantity]]*Town_Team[[#This Row],[Selling price]]</f>
        <v>600</v>
      </c>
      <c r="J393" s="33">
        <f>IF(Town_Team[[#This Row],[Item name]]=" Jeans - Denim",Town_Team[[#This Row],[Item Amount]]*85%,Town_Team[[#This Row],[Item Amount]])</f>
        <v>600</v>
      </c>
      <c r="K393" s="39" t="str">
        <f>TEXT(Town_Team[[#This Row],[Date ]],"dddd")</f>
        <v>Friday</v>
      </c>
    </row>
    <row r="394" spans="2:11" x14ac:dyDescent="0.3">
      <c r="B394" s="20">
        <v>390</v>
      </c>
      <c r="C394" s="19">
        <v>43855</v>
      </c>
      <c r="D394" s="21" t="s">
        <v>13</v>
      </c>
      <c r="E394" s="21" t="s">
        <v>14</v>
      </c>
      <c r="F394" s="21" t="s">
        <v>11</v>
      </c>
      <c r="G394" s="22">
        <v>900</v>
      </c>
      <c r="H394" s="20">
        <v>1</v>
      </c>
      <c r="I394" s="32">
        <f>Town_Team[[#This Row],[Item quantity]]*Town_Team[[#This Row],[Selling price]]</f>
        <v>900</v>
      </c>
      <c r="J394" s="33">
        <f>IF(Town_Team[[#This Row],[Item name]]=" Jeans - Denim",Town_Team[[#This Row],[Item Amount]]*85%,Town_Team[[#This Row],[Item Amount]])</f>
        <v>900</v>
      </c>
      <c r="K394" s="39" t="str">
        <f>TEXT(Town_Team[[#This Row],[Date ]],"dddd")</f>
        <v>Saturday</v>
      </c>
    </row>
    <row r="395" spans="2:11" hidden="1" x14ac:dyDescent="0.3">
      <c r="B395" s="20">
        <v>391</v>
      </c>
      <c r="C395" s="19">
        <v>43856</v>
      </c>
      <c r="D395" s="21" t="s">
        <v>9</v>
      </c>
      <c r="E395" s="21" t="s">
        <v>21</v>
      </c>
      <c r="F395" s="21" t="s">
        <v>20</v>
      </c>
      <c r="G395" s="22">
        <v>1200</v>
      </c>
      <c r="H395" s="20">
        <v>2</v>
      </c>
      <c r="I395" s="32">
        <f>Town_Team[[#This Row],[Item quantity]]*Town_Team[[#This Row],[Selling price]]</f>
        <v>2400</v>
      </c>
      <c r="J395" s="33">
        <f>IF(Town_Team[[#This Row],[Item name]]=" Jeans - Denim",Town_Team[[#This Row],[Item Amount]]*85%,Town_Team[[#This Row],[Item Amount]])</f>
        <v>2400</v>
      </c>
      <c r="K395" s="39" t="str">
        <f>TEXT(Town_Team[[#This Row],[Date ]],"dddd")</f>
        <v>Sunday</v>
      </c>
    </row>
    <row r="396" spans="2:11" hidden="1" x14ac:dyDescent="0.3">
      <c r="B396" s="20">
        <v>392</v>
      </c>
      <c r="C396" s="19">
        <v>43857</v>
      </c>
      <c r="D396" s="21" t="s">
        <v>9</v>
      </c>
      <c r="E396" s="21" t="s">
        <v>10</v>
      </c>
      <c r="F396" s="21" t="s">
        <v>11</v>
      </c>
      <c r="G396" s="22">
        <v>1100</v>
      </c>
      <c r="H396" s="20">
        <v>1</v>
      </c>
      <c r="I396" s="32">
        <f>Town_Team[[#This Row],[Item quantity]]*Town_Team[[#This Row],[Selling price]]</f>
        <v>1100</v>
      </c>
      <c r="J396" s="33">
        <f>IF(Town_Team[[#This Row],[Item name]]=" Jeans - Denim",Town_Team[[#This Row],[Item Amount]]*85%,Town_Team[[#This Row],[Item Amount]])</f>
        <v>1100</v>
      </c>
      <c r="K396" s="39" t="str">
        <f>TEXT(Town_Team[[#This Row],[Date ]],"dddd")</f>
        <v>Monday</v>
      </c>
    </row>
    <row r="397" spans="2:11" hidden="1" x14ac:dyDescent="0.3">
      <c r="B397" s="20">
        <v>393</v>
      </c>
      <c r="C397" s="19">
        <v>43858</v>
      </c>
      <c r="D397" s="21" t="s">
        <v>9</v>
      </c>
      <c r="E397" s="21" t="s">
        <v>16</v>
      </c>
      <c r="F397" s="21" t="s">
        <v>17</v>
      </c>
      <c r="G397" s="22">
        <v>800</v>
      </c>
      <c r="H397" s="20">
        <v>1</v>
      </c>
      <c r="I397" s="32">
        <f>Town_Team[[#This Row],[Item quantity]]*Town_Team[[#This Row],[Selling price]]</f>
        <v>800</v>
      </c>
      <c r="J397" s="33">
        <f>IF(Town_Team[[#This Row],[Item name]]=" Jeans - Denim",Town_Team[[#This Row],[Item Amount]]*85%,Town_Team[[#This Row],[Item Amount]])</f>
        <v>800</v>
      </c>
      <c r="K397" s="39" t="str">
        <f>TEXT(Town_Team[[#This Row],[Date ]],"dddd")</f>
        <v>Tuesday</v>
      </c>
    </row>
    <row r="398" spans="2:11" hidden="1" x14ac:dyDescent="0.3">
      <c r="B398" s="20">
        <v>394</v>
      </c>
      <c r="C398" s="19">
        <v>43859</v>
      </c>
      <c r="D398" s="21" t="s">
        <v>9</v>
      </c>
      <c r="E398" s="21" t="s">
        <v>16</v>
      </c>
      <c r="F398" s="21" t="s">
        <v>17</v>
      </c>
      <c r="G398" s="22">
        <v>800</v>
      </c>
      <c r="H398" s="20">
        <v>1</v>
      </c>
      <c r="I398" s="32">
        <f>Town_Team[[#This Row],[Item quantity]]*Town_Team[[#This Row],[Selling price]]</f>
        <v>800</v>
      </c>
      <c r="J398" s="33">
        <f>IF(Town_Team[[#This Row],[Item name]]=" Jeans - Denim",Town_Team[[#This Row],[Item Amount]]*85%,Town_Team[[#This Row],[Item Amount]])</f>
        <v>800</v>
      </c>
      <c r="K398" s="39" t="str">
        <f>TEXT(Town_Team[[#This Row],[Date ]],"dddd")</f>
        <v>Wednesday</v>
      </c>
    </row>
    <row r="399" spans="2:11" hidden="1" x14ac:dyDescent="0.3">
      <c r="B399" s="20">
        <v>395</v>
      </c>
      <c r="C399" s="19">
        <v>43860</v>
      </c>
      <c r="D399" s="21" t="s">
        <v>9</v>
      </c>
      <c r="E399" s="21" t="s">
        <v>10</v>
      </c>
      <c r="F399" s="21" t="s">
        <v>11</v>
      </c>
      <c r="G399" s="22">
        <v>1100</v>
      </c>
      <c r="H399" s="20">
        <v>1</v>
      </c>
      <c r="I399" s="32">
        <f>Town_Team[[#This Row],[Item quantity]]*Town_Team[[#This Row],[Selling price]]</f>
        <v>1100</v>
      </c>
      <c r="J399" s="33">
        <f>IF(Town_Team[[#This Row],[Item name]]=" Jeans - Denim",Town_Team[[#This Row],[Item Amount]]*85%,Town_Team[[#This Row],[Item Amount]])</f>
        <v>1100</v>
      </c>
      <c r="K399" s="39" t="str">
        <f>TEXT(Town_Team[[#This Row],[Date ]],"dddd")</f>
        <v>Thursday</v>
      </c>
    </row>
    <row r="400" spans="2:11" hidden="1" x14ac:dyDescent="0.3">
      <c r="B400" s="20">
        <v>396</v>
      </c>
      <c r="C400" s="19">
        <v>43861</v>
      </c>
      <c r="D400" s="21" t="s">
        <v>9</v>
      </c>
      <c r="E400" s="21" t="s">
        <v>15</v>
      </c>
      <c r="F400" s="21" t="s">
        <v>11</v>
      </c>
      <c r="G400" s="22">
        <v>1000</v>
      </c>
      <c r="H400" s="20">
        <v>1</v>
      </c>
      <c r="I400" s="32">
        <f>Town_Team[[#This Row],[Item quantity]]*Town_Team[[#This Row],[Selling price]]</f>
        <v>1000</v>
      </c>
      <c r="J400" s="33">
        <f>IF(Town_Team[[#This Row],[Item name]]=" Jeans - Denim",Town_Team[[#This Row],[Item Amount]]*85%,Town_Team[[#This Row],[Item Amount]])</f>
        <v>1000</v>
      </c>
      <c r="K400" s="39" t="str">
        <f>TEXT(Town_Team[[#This Row],[Date ]],"dddd")</f>
        <v>Friday</v>
      </c>
    </row>
    <row r="401" spans="2:11" hidden="1" x14ac:dyDescent="0.3">
      <c r="B401" s="20">
        <v>397</v>
      </c>
      <c r="C401" s="19">
        <v>43862</v>
      </c>
      <c r="D401" s="21" t="s">
        <v>9</v>
      </c>
      <c r="E401" s="21" t="s">
        <v>22</v>
      </c>
      <c r="F401" s="21" t="s">
        <v>23</v>
      </c>
      <c r="G401" s="22">
        <v>500</v>
      </c>
      <c r="H401" s="20">
        <v>1</v>
      </c>
      <c r="I401" s="32">
        <f>Town_Team[[#This Row],[Item quantity]]*Town_Team[[#This Row],[Selling price]]</f>
        <v>500</v>
      </c>
      <c r="J401" s="33">
        <f>IF(Town_Team[[#This Row],[Item name]]=" Jeans - Denim",Town_Team[[#This Row],[Item Amount]]*85%,Town_Team[[#This Row],[Item Amount]])</f>
        <v>500</v>
      </c>
      <c r="K401" s="39" t="str">
        <f>TEXT(Town_Team[[#This Row],[Date ]],"dddd")</f>
        <v>Saturday</v>
      </c>
    </row>
    <row r="402" spans="2:11" hidden="1" x14ac:dyDescent="0.3">
      <c r="B402" s="20">
        <v>398</v>
      </c>
      <c r="C402" s="19">
        <v>43863</v>
      </c>
      <c r="D402" s="21" t="s">
        <v>9</v>
      </c>
      <c r="E402" s="21" t="s">
        <v>12</v>
      </c>
      <c r="F402" s="21" t="s">
        <v>11</v>
      </c>
      <c r="G402" s="22">
        <v>900</v>
      </c>
      <c r="H402" s="20">
        <v>1</v>
      </c>
      <c r="I402" s="32">
        <f>Town_Team[[#This Row],[Item quantity]]*Town_Team[[#This Row],[Selling price]]</f>
        <v>900</v>
      </c>
      <c r="J402" s="33">
        <f>IF(Town_Team[[#This Row],[Item name]]=" Jeans - Denim",Town_Team[[#This Row],[Item Amount]]*85%,Town_Team[[#This Row],[Item Amount]])</f>
        <v>765</v>
      </c>
      <c r="K402" s="39" t="str">
        <f>TEXT(Town_Team[[#This Row],[Date ]],"dddd")</f>
        <v>Sunday</v>
      </c>
    </row>
    <row r="403" spans="2:11" hidden="1" x14ac:dyDescent="0.3">
      <c r="B403" s="20">
        <v>399</v>
      </c>
      <c r="C403" s="19">
        <v>43864</v>
      </c>
      <c r="D403" s="21" t="s">
        <v>9</v>
      </c>
      <c r="E403" s="21" t="s">
        <v>18</v>
      </c>
      <c r="F403" s="21" t="s">
        <v>17</v>
      </c>
      <c r="G403" s="22">
        <v>600</v>
      </c>
      <c r="H403" s="20">
        <v>1</v>
      </c>
      <c r="I403" s="32">
        <f>Town_Team[[#This Row],[Item quantity]]*Town_Team[[#This Row],[Selling price]]</f>
        <v>600</v>
      </c>
      <c r="J403" s="33">
        <f>IF(Town_Team[[#This Row],[Item name]]=" Jeans - Denim",Town_Team[[#This Row],[Item Amount]]*85%,Town_Team[[#This Row],[Item Amount]])</f>
        <v>600</v>
      </c>
      <c r="K403" s="39" t="str">
        <f>TEXT(Town_Team[[#This Row],[Date ]],"dddd")</f>
        <v>Monday</v>
      </c>
    </row>
    <row r="404" spans="2:11" hidden="1" x14ac:dyDescent="0.3">
      <c r="B404" s="20">
        <v>400</v>
      </c>
      <c r="C404" s="19">
        <v>43865</v>
      </c>
      <c r="D404" s="21" t="s">
        <v>9</v>
      </c>
      <c r="E404" s="21" t="s">
        <v>12</v>
      </c>
      <c r="F404" s="21" t="s">
        <v>11</v>
      </c>
      <c r="G404" s="22">
        <v>900</v>
      </c>
      <c r="H404" s="20">
        <v>1</v>
      </c>
      <c r="I404" s="32">
        <f>Town_Team[[#This Row],[Item quantity]]*Town_Team[[#This Row],[Selling price]]</f>
        <v>900</v>
      </c>
      <c r="J404" s="33">
        <f>IF(Town_Team[[#This Row],[Item name]]=" Jeans - Denim",Town_Team[[#This Row],[Item Amount]]*85%,Town_Team[[#This Row],[Item Amount]])</f>
        <v>765</v>
      </c>
      <c r="K404" s="39" t="str">
        <f>TEXT(Town_Team[[#This Row],[Date ]],"dddd")</f>
        <v>Tuesday</v>
      </c>
    </row>
    <row r="405" spans="2:11" hidden="1" x14ac:dyDescent="0.3">
      <c r="B405" s="20">
        <v>401</v>
      </c>
      <c r="C405" s="19">
        <v>43866</v>
      </c>
      <c r="D405" s="21" t="s">
        <v>9</v>
      </c>
      <c r="E405" s="21" t="s">
        <v>21</v>
      </c>
      <c r="F405" s="21" t="s">
        <v>20</v>
      </c>
      <c r="G405" s="22">
        <v>1200</v>
      </c>
      <c r="H405" s="20">
        <v>1</v>
      </c>
      <c r="I405" s="32">
        <f>Town_Team[[#This Row],[Item quantity]]*Town_Team[[#This Row],[Selling price]]</f>
        <v>1200</v>
      </c>
      <c r="J405" s="33">
        <f>IF(Town_Team[[#This Row],[Item name]]=" Jeans - Denim",Town_Team[[#This Row],[Item Amount]]*85%,Town_Team[[#This Row],[Item Amount]])</f>
        <v>1200</v>
      </c>
      <c r="K405" s="39" t="str">
        <f>TEXT(Town_Team[[#This Row],[Date ]],"dddd")</f>
        <v>Wednesday</v>
      </c>
    </row>
    <row r="406" spans="2:11" hidden="1" x14ac:dyDescent="0.3">
      <c r="B406" s="20">
        <v>402</v>
      </c>
      <c r="C406" s="19">
        <v>43867</v>
      </c>
      <c r="D406" s="21" t="s">
        <v>9</v>
      </c>
      <c r="E406" s="21" t="s">
        <v>10</v>
      </c>
      <c r="F406" s="21" t="s">
        <v>11</v>
      </c>
      <c r="G406" s="22">
        <v>1100</v>
      </c>
      <c r="H406" s="20">
        <v>1</v>
      </c>
      <c r="I406" s="32">
        <f>Town_Team[[#This Row],[Item quantity]]*Town_Team[[#This Row],[Selling price]]</f>
        <v>1100</v>
      </c>
      <c r="J406" s="33">
        <f>IF(Town_Team[[#This Row],[Item name]]=" Jeans - Denim",Town_Team[[#This Row],[Item Amount]]*85%,Town_Team[[#This Row],[Item Amount]])</f>
        <v>1100</v>
      </c>
      <c r="K406" s="39" t="str">
        <f>TEXT(Town_Team[[#This Row],[Date ]],"dddd")</f>
        <v>Thursday</v>
      </c>
    </row>
    <row r="407" spans="2:11" hidden="1" x14ac:dyDescent="0.3">
      <c r="B407" s="20">
        <v>403</v>
      </c>
      <c r="C407" s="19">
        <v>43868</v>
      </c>
      <c r="D407" s="21" t="s">
        <v>9</v>
      </c>
      <c r="E407" s="21" t="s">
        <v>16</v>
      </c>
      <c r="F407" s="21" t="s">
        <v>17</v>
      </c>
      <c r="G407" s="22">
        <v>800</v>
      </c>
      <c r="H407" s="20">
        <v>1</v>
      </c>
      <c r="I407" s="32">
        <f>Town_Team[[#This Row],[Item quantity]]*Town_Team[[#This Row],[Selling price]]</f>
        <v>800</v>
      </c>
      <c r="J407" s="33">
        <f>IF(Town_Team[[#This Row],[Item name]]=" Jeans - Denim",Town_Team[[#This Row],[Item Amount]]*85%,Town_Team[[#This Row],[Item Amount]])</f>
        <v>800</v>
      </c>
      <c r="K407" s="39" t="str">
        <f>TEXT(Town_Team[[#This Row],[Date ]],"dddd")</f>
        <v>Friday</v>
      </c>
    </row>
    <row r="408" spans="2:11" hidden="1" x14ac:dyDescent="0.3">
      <c r="B408" s="20">
        <v>404</v>
      </c>
      <c r="C408" s="19">
        <v>43869</v>
      </c>
      <c r="D408" s="21" t="s">
        <v>9</v>
      </c>
      <c r="E408" s="21" t="s">
        <v>12</v>
      </c>
      <c r="F408" s="21" t="s">
        <v>11</v>
      </c>
      <c r="G408" s="22">
        <v>900</v>
      </c>
      <c r="H408" s="20">
        <v>1</v>
      </c>
      <c r="I408" s="32">
        <f>Town_Team[[#This Row],[Item quantity]]*Town_Team[[#This Row],[Selling price]]</f>
        <v>900</v>
      </c>
      <c r="J408" s="33">
        <f>IF(Town_Team[[#This Row],[Item name]]=" Jeans - Denim",Town_Team[[#This Row],[Item Amount]]*85%,Town_Team[[#This Row],[Item Amount]])</f>
        <v>765</v>
      </c>
      <c r="K408" s="39" t="str">
        <f>TEXT(Town_Team[[#This Row],[Date ]],"dddd")</f>
        <v>Saturday</v>
      </c>
    </row>
    <row r="409" spans="2:11" hidden="1" x14ac:dyDescent="0.3">
      <c r="B409" s="20">
        <v>405</v>
      </c>
      <c r="C409" s="19">
        <v>43870</v>
      </c>
      <c r="D409" s="21" t="s">
        <v>9</v>
      </c>
      <c r="E409" s="21" t="s">
        <v>10</v>
      </c>
      <c r="F409" s="21" t="s">
        <v>11</v>
      </c>
      <c r="G409" s="22">
        <v>1100</v>
      </c>
      <c r="H409" s="20">
        <v>1</v>
      </c>
      <c r="I409" s="32">
        <f>Town_Team[[#This Row],[Item quantity]]*Town_Team[[#This Row],[Selling price]]</f>
        <v>1100</v>
      </c>
      <c r="J409" s="33">
        <f>IF(Town_Team[[#This Row],[Item name]]=" Jeans - Denim",Town_Team[[#This Row],[Item Amount]]*85%,Town_Team[[#This Row],[Item Amount]])</f>
        <v>1100</v>
      </c>
      <c r="K409" s="39" t="str">
        <f>TEXT(Town_Team[[#This Row],[Date ]],"dddd")</f>
        <v>Sunday</v>
      </c>
    </row>
    <row r="410" spans="2:11" x14ac:dyDescent="0.3">
      <c r="B410" s="20">
        <v>406</v>
      </c>
      <c r="C410" s="19">
        <v>43871</v>
      </c>
      <c r="D410" s="21" t="s">
        <v>13</v>
      </c>
      <c r="E410" s="21" t="s">
        <v>16</v>
      </c>
      <c r="F410" s="21" t="s">
        <v>17</v>
      </c>
      <c r="G410" s="22">
        <v>800</v>
      </c>
      <c r="H410" s="20">
        <v>1</v>
      </c>
      <c r="I410" s="32">
        <f>Town_Team[[#This Row],[Item quantity]]*Town_Team[[#This Row],[Selling price]]</f>
        <v>800</v>
      </c>
      <c r="J410" s="33">
        <f>IF(Town_Team[[#This Row],[Item name]]=" Jeans - Denim",Town_Team[[#This Row],[Item Amount]]*85%,Town_Team[[#This Row],[Item Amount]])</f>
        <v>800</v>
      </c>
      <c r="K410" s="39" t="str">
        <f>TEXT(Town_Team[[#This Row],[Date ]],"dddd")</f>
        <v>Monday</v>
      </c>
    </row>
    <row r="411" spans="2:11" hidden="1" x14ac:dyDescent="0.3">
      <c r="B411" s="20">
        <v>407</v>
      </c>
      <c r="C411" s="19">
        <v>43872</v>
      </c>
      <c r="D411" s="21" t="s">
        <v>9</v>
      </c>
      <c r="E411" s="21" t="s">
        <v>19</v>
      </c>
      <c r="F411" s="21" t="s">
        <v>20</v>
      </c>
      <c r="G411" s="22">
        <v>1000</v>
      </c>
      <c r="H411" s="20">
        <v>1</v>
      </c>
      <c r="I411" s="32">
        <f>Town_Team[[#This Row],[Item quantity]]*Town_Team[[#This Row],[Selling price]]</f>
        <v>1000</v>
      </c>
      <c r="J411" s="33">
        <f>IF(Town_Team[[#This Row],[Item name]]=" Jeans - Denim",Town_Team[[#This Row],[Item Amount]]*85%,Town_Team[[#This Row],[Item Amount]])</f>
        <v>1000</v>
      </c>
      <c r="K411" s="39" t="str">
        <f>TEXT(Town_Team[[#This Row],[Date ]],"dddd")</f>
        <v>Tuesday</v>
      </c>
    </row>
    <row r="412" spans="2:11" hidden="1" x14ac:dyDescent="0.3">
      <c r="B412" s="20">
        <v>408</v>
      </c>
      <c r="C412" s="19">
        <v>43873</v>
      </c>
      <c r="D412" s="21" t="s">
        <v>9</v>
      </c>
      <c r="E412" s="21" t="s">
        <v>14</v>
      </c>
      <c r="F412" s="21" t="s">
        <v>11</v>
      </c>
      <c r="G412" s="22">
        <v>1000</v>
      </c>
      <c r="H412" s="20">
        <v>1</v>
      </c>
      <c r="I412" s="32">
        <f>Town_Team[[#This Row],[Item quantity]]*Town_Team[[#This Row],[Selling price]]</f>
        <v>1000</v>
      </c>
      <c r="J412" s="33">
        <f>IF(Town_Team[[#This Row],[Item name]]=" Jeans - Denim",Town_Team[[#This Row],[Item Amount]]*85%,Town_Team[[#This Row],[Item Amount]])</f>
        <v>1000</v>
      </c>
      <c r="K412" s="39" t="str">
        <f>TEXT(Town_Team[[#This Row],[Date ]],"dddd")</f>
        <v>Wednesday</v>
      </c>
    </row>
    <row r="413" spans="2:11" hidden="1" x14ac:dyDescent="0.3">
      <c r="B413" s="20">
        <v>409</v>
      </c>
      <c r="C413" s="19">
        <v>43874</v>
      </c>
      <c r="D413" s="21" t="s">
        <v>9</v>
      </c>
      <c r="E413" s="21" t="s">
        <v>10</v>
      </c>
      <c r="F413" s="21" t="s">
        <v>11</v>
      </c>
      <c r="G413" s="22">
        <v>1000</v>
      </c>
      <c r="H413" s="20">
        <v>1</v>
      </c>
      <c r="I413" s="32">
        <f>Town_Team[[#This Row],[Item quantity]]*Town_Team[[#This Row],[Selling price]]</f>
        <v>1000</v>
      </c>
      <c r="J413" s="33">
        <f>IF(Town_Team[[#This Row],[Item name]]=" Jeans - Denim",Town_Team[[#This Row],[Item Amount]]*85%,Town_Team[[#This Row],[Item Amount]])</f>
        <v>1000</v>
      </c>
      <c r="K413" s="39" t="str">
        <f>TEXT(Town_Team[[#This Row],[Date ]],"dddd")</f>
        <v>Thursday</v>
      </c>
    </row>
    <row r="414" spans="2:11" hidden="1" x14ac:dyDescent="0.3">
      <c r="B414" s="20">
        <v>410</v>
      </c>
      <c r="C414" s="19">
        <v>43875</v>
      </c>
      <c r="D414" s="21" t="s">
        <v>9</v>
      </c>
      <c r="E414" s="21" t="s">
        <v>18</v>
      </c>
      <c r="F414" s="21" t="s">
        <v>17</v>
      </c>
      <c r="G414" s="22">
        <v>600</v>
      </c>
      <c r="H414" s="20">
        <v>1</v>
      </c>
      <c r="I414" s="32">
        <f>Town_Team[[#This Row],[Item quantity]]*Town_Team[[#This Row],[Selling price]]</f>
        <v>600</v>
      </c>
      <c r="J414" s="33">
        <f>IF(Town_Team[[#This Row],[Item name]]=" Jeans - Denim",Town_Team[[#This Row],[Item Amount]]*85%,Town_Team[[#This Row],[Item Amount]])</f>
        <v>600</v>
      </c>
      <c r="K414" s="39" t="str">
        <f>TEXT(Town_Team[[#This Row],[Date ]],"dddd")</f>
        <v>Friday</v>
      </c>
    </row>
    <row r="415" spans="2:11" hidden="1" x14ac:dyDescent="0.3">
      <c r="B415" s="20">
        <v>411</v>
      </c>
      <c r="C415" s="19">
        <v>43876</v>
      </c>
      <c r="D415" s="21" t="s">
        <v>9</v>
      </c>
      <c r="E415" s="21" t="s">
        <v>21</v>
      </c>
      <c r="F415" s="21" t="s">
        <v>20</v>
      </c>
      <c r="G415" s="22">
        <v>1200</v>
      </c>
      <c r="H415" s="20">
        <v>1</v>
      </c>
      <c r="I415" s="32">
        <f>Town_Team[[#This Row],[Item quantity]]*Town_Team[[#This Row],[Selling price]]</f>
        <v>1200</v>
      </c>
      <c r="J415" s="33">
        <f>IF(Town_Team[[#This Row],[Item name]]=" Jeans - Denim",Town_Team[[#This Row],[Item Amount]]*85%,Town_Team[[#This Row],[Item Amount]])</f>
        <v>1200</v>
      </c>
      <c r="K415" s="39" t="str">
        <f>TEXT(Town_Team[[#This Row],[Date ]],"dddd")</f>
        <v>Saturday</v>
      </c>
    </row>
    <row r="416" spans="2:11" hidden="1" x14ac:dyDescent="0.3">
      <c r="B416" s="20">
        <v>412</v>
      </c>
      <c r="C416" s="19">
        <v>43877</v>
      </c>
      <c r="D416" s="21" t="s">
        <v>9</v>
      </c>
      <c r="E416" s="21" t="s">
        <v>18</v>
      </c>
      <c r="F416" s="21" t="s">
        <v>17</v>
      </c>
      <c r="G416" s="22">
        <v>600</v>
      </c>
      <c r="H416" s="20">
        <v>1</v>
      </c>
      <c r="I416" s="32">
        <f>Town_Team[[#This Row],[Item quantity]]*Town_Team[[#This Row],[Selling price]]</f>
        <v>600</v>
      </c>
      <c r="J416" s="33">
        <f>IF(Town_Team[[#This Row],[Item name]]=" Jeans - Denim",Town_Team[[#This Row],[Item Amount]]*85%,Town_Team[[#This Row],[Item Amount]])</f>
        <v>600</v>
      </c>
      <c r="K416" s="39" t="str">
        <f>TEXT(Town_Team[[#This Row],[Date ]],"dddd")</f>
        <v>Sunday</v>
      </c>
    </row>
    <row r="417" spans="2:11" hidden="1" x14ac:dyDescent="0.3">
      <c r="B417" s="20">
        <v>413</v>
      </c>
      <c r="C417" s="19">
        <v>43878</v>
      </c>
      <c r="D417" s="21" t="s">
        <v>9</v>
      </c>
      <c r="E417" s="21" t="s">
        <v>18</v>
      </c>
      <c r="F417" s="21" t="s">
        <v>17</v>
      </c>
      <c r="G417" s="22">
        <v>600</v>
      </c>
      <c r="H417" s="20">
        <v>1</v>
      </c>
      <c r="I417" s="32">
        <f>Town_Team[[#This Row],[Item quantity]]*Town_Team[[#This Row],[Selling price]]</f>
        <v>600</v>
      </c>
      <c r="J417" s="33">
        <f>IF(Town_Team[[#This Row],[Item name]]=" Jeans - Denim",Town_Team[[#This Row],[Item Amount]]*85%,Town_Team[[#This Row],[Item Amount]])</f>
        <v>600</v>
      </c>
      <c r="K417" s="39" t="str">
        <f>TEXT(Town_Team[[#This Row],[Date ]],"dddd")</f>
        <v>Monday</v>
      </c>
    </row>
    <row r="418" spans="2:11" hidden="1" x14ac:dyDescent="0.3">
      <c r="B418" s="20">
        <v>414</v>
      </c>
      <c r="C418" s="19">
        <v>43879</v>
      </c>
      <c r="D418" s="21" t="s">
        <v>9</v>
      </c>
      <c r="E418" s="21" t="s">
        <v>10</v>
      </c>
      <c r="F418" s="21" t="s">
        <v>11</v>
      </c>
      <c r="G418" s="22">
        <v>1100</v>
      </c>
      <c r="H418" s="20">
        <v>1</v>
      </c>
      <c r="I418" s="32">
        <f>Town_Team[[#This Row],[Item quantity]]*Town_Team[[#This Row],[Selling price]]</f>
        <v>1100</v>
      </c>
      <c r="J418" s="33">
        <f>IF(Town_Team[[#This Row],[Item name]]=" Jeans - Denim",Town_Team[[#This Row],[Item Amount]]*85%,Town_Team[[#This Row],[Item Amount]])</f>
        <v>1100</v>
      </c>
      <c r="K418" s="39" t="str">
        <f>TEXT(Town_Team[[#This Row],[Date ]],"dddd")</f>
        <v>Tuesday</v>
      </c>
    </row>
    <row r="419" spans="2:11" hidden="1" x14ac:dyDescent="0.3">
      <c r="B419" s="20">
        <v>415</v>
      </c>
      <c r="C419" s="19">
        <v>43880</v>
      </c>
      <c r="D419" s="21" t="s">
        <v>9</v>
      </c>
      <c r="E419" s="21" t="s">
        <v>12</v>
      </c>
      <c r="F419" s="21" t="s">
        <v>11</v>
      </c>
      <c r="G419" s="22">
        <v>900</v>
      </c>
      <c r="H419" s="20">
        <v>1</v>
      </c>
      <c r="I419" s="32">
        <f>Town_Team[[#This Row],[Item quantity]]*Town_Team[[#This Row],[Selling price]]</f>
        <v>900</v>
      </c>
      <c r="J419" s="33">
        <f>IF(Town_Team[[#This Row],[Item name]]=" Jeans - Denim",Town_Team[[#This Row],[Item Amount]]*85%,Town_Team[[#This Row],[Item Amount]])</f>
        <v>765</v>
      </c>
      <c r="K419" s="39" t="str">
        <f>TEXT(Town_Team[[#This Row],[Date ]],"dddd")</f>
        <v>Wednesday</v>
      </c>
    </row>
    <row r="420" spans="2:11" hidden="1" x14ac:dyDescent="0.3">
      <c r="B420" s="20">
        <v>416</v>
      </c>
      <c r="C420" s="19">
        <v>43881</v>
      </c>
      <c r="D420" s="21" t="s">
        <v>9</v>
      </c>
      <c r="E420" s="21" t="s">
        <v>15</v>
      </c>
      <c r="F420" s="21" t="s">
        <v>11</v>
      </c>
      <c r="G420" s="22">
        <v>1000</v>
      </c>
      <c r="H420" s="20">
        <v>1</v>
      </c>
      <c r="I420" s="32">
        <f>Town_Team[[#This Row],[Item quantity]]*Town_Team[[#This Row],[Selling price]]</f>
        <v>1000</v>
      </c>
      <c r="J420" s="33">
        <f>IF(Town_Team[[#This Row],[Item name]]=" Jeans - Denim",Town_Team[[#This Row],[Item Amount]]*85%,Town_Team[[#This Row],[Item Amount]])</f>
        <v>1000</v>
      </c>
      <c r="K420" s="39" t="str">
        <f>TEXT(Town_Team[[#This Row],[Date ]],"dddd")</f>
        <v>Thursday</v>
      </c>
    </row>
    <row r="421" spans="2:11" hidden="1" x14ac:dyDescent="0.3">
      <c r="B421" s="20">
        <v>417</v>
      </c>
      <c r="C421" s="19">
        <v>43882</v>
      </c>
      <c r="D421" s="21" t="s">
        <v>9</v>
      </c>
      <c r="E421" s="21" t="s">
        <v>12</v>
      </c>
      <c r="F421" s="21" t="s">
        <v>11</v>
      </c>
      <c r="G421" s="22">
        <v>900</v>
      </c>
      <c r="H421" s="20">
        <v>1</v>
      </c>
      <c r="I421" s="32">
        <f>Town_Team[[#This Row],[Item quantity]]*Town_Team[[#This Row],[Selling price]]</f>
        <v>900</v>
      </c>
      <c r="J421" s="33">
        <f>IF(Town_Team[[#This Row],[Item name]]=" Jeans - Denim",Town_Team[[#This Row],[Item Amount]]*85%,Town_Team[[#This Row],[Item Amount]])</f>
        <v>765</v>
      </c>
      <c r="K421" s="39" t="str">
        <f>TEXT(Town_Team[[#This Row],[Date ]],"dddd")</f>
        <v>Friday</v>
      </c>
    </row>
    <row r="422" spans="2:11" hidden="1" x14ac:dyDescent="0.3">
      <c r="B422" s="20">
        <v>418</v>
      </c>
      <c r="C422" s="19">
        <v>43883</v>
      </c>
      <c r="D422" s="21" t="s">
        <v>9</v>
      </c>
      <c r="E422" s="21" t="s">
        <v>18</v>
      </c>
      <c r="F422" s="21" t="s">
        <v>17</v>
      </c>
      <c r="G422" s="22">
        <v>600</v>
      </c>
      <c r="H422" s="20">
        <v>1</v>
      </c>
      <c r="I422" s="32">
        <f>Town_Team[[#This Row],[Item quantity]]*Town_Team[[#This Row],[Selling price]]</f>
        <v>600</v>
      </c>
      <c r="J422" s="33">
        <f>IF(Town_Team[[#This Row],[Item name]]=" Jeans - Denim",Town_Team[[#This Row],[Item Amount]]*85%,Town_Team[[#This Row],[Item Amount]])</f>
        <v>600</v>
      </c>
      <c r="K422" s="39" t="str">
        <f>TEXT(Town_Team[[#This Row],[Date ]],"dddd")</f>
        <v>Saturday</v>
      </c>
    </row>
    <row r="423" spans="2:11" hidden="1" x14ac:dyDescent="0.3">
      <c r="B423" s="20">
        <v>419</v>
      </c>
      <c r="C423" s="19">
        <v>43884</v>
      </c>
      <c r="D423" s="21" t="s">
        <v>9</v>
      </c>
      <c r="E423" s="21" t="s">
        <v>19</v>
      </c>
      <c r="F423" s="21" t="s">
        <v>20</v>
      </c>
      <c r="G423" s="22">
        <v>850</v>
      </c>
      <c r="H423" s="20">
        <v>1</v>
      </c>
      <c r="I423" s="32">
        <f>Town_Team[[#This Row],[Item quantity]]*Town_Team[[#This Row],[Selling price]]</f>
        <v>850</v>
      </c>
      <c r="J423" s="33">
        <f>IF(Town_Team[[#This Row],[Item name]]=" Jeans - Denim",Town_Team[[#This Row],[Item Amount]]*85%,Town_Team[[#This Row],[Item Amount]])</f>
        <v>850</v>
      </c>
      <c r="K423" s="39" t="str">
        <f>TEXT(Town_Team[[#This Row],[Date ]],"dddd")</f>
        <v>Sunday</v>
      </c>
    </row>
    <row r="424" spans="2:11" hidden="1" x14ac:dyDescent="0.3">
      <c r="B424" s="20">
        <v>420</v>
      </c>
      <c r="C424" s="19">
        <v>43885</v>
      </c>
      <c r="D424" s="21" t="s">
        <v>9</v>
      </c>
      <c r="E424" s="21" t="s">
        <v>22</v>
      </c>
      <c r="F424" s="21" t="s">
        <v>23</v>
      </c>
      <c r="G424" s="22">
        <v>500</v>
      </c>
      <c r="H424" s="20">
        <v>1</v>
      </c>
      <c r="I424" s="32">
        <f>Town_Team[[#This Row],[Item quantity]]*Town_Team[[#This Row],[Selling price]]</f>
        <v>500</v>
      </c>
      <c r="J424" s="33">
        <f>IF(Town_Team[[#This Row],[Item name]]=" Jeans - Denim",Town_Team[[#This Row],[Item Amount]]*85%,Town_Team[[#This Row],[Item Amount]])</f>
        <v>500</v>
      </c>
      <c r="K424" s="39" t="str">
        <f>TEXT(Town_Team[[#This Row],[Date ]],"dddd")</f>
        <v>Monday</v>
      </c>
    </row>
    <row r="425" spans="2:11" hidden="1" x14ac:dyDescent="0.3">
      <c r="B425" s="20">
        <v>421</v>
      </c>
      <c r="C425" s="19">
        <v>43886</v>
      </c>
      <c r="D425" s="21" t="s">
        <v>9</v>
      </c>
      <c r="E425" s="21" t="s">
        <v>15</v>
      </c>
      <c r="F425" s="21" t="s">
        <v>11</v>
      </c>
      <c r="G425" s="22">
        <v>1000</v>
      </c>
      <c r="H425" s="20">
        <v>1</v>
      </c>
      <c r="I425" s="32">
        <f>Town_Team[[#This Row],[Item quantity]]*Town_Team[[#This Row],[Selling price]]</f>
        <v>1000</v>
      </c>
      <c r="J425" s="33">
        <f>IF(Town_Team[[#This Row],[Item name]]=" Jeans - Denim",Town_Team[[#This Row],[Item Amount]]*85%,Town_Team[[#This Row],[Item Amount]])</f>
        <v>1000</v>
      </c>
      <c r="K425" s="39" t="str">
        <f>TEXT(Town_Team[[#This Row],[Date ]],"dddd")</f>
        <v>Tuesday</v>
      </c>
    </row>
    <row r="426" spans="2:11" hidden="1" x14ac:dyDescent="0.3">
      <c r="B426" s="20">
        <v>422</v>
      </c>
      <c r="C426" s="19">
        <v>43887</v>
      </c>
      <c r="D426" s="21" t="s">
        <v>9</v>
      </c>
      <c r="E426" s="21" t="s">
        <v>10</v>
      </c>
      <c r="F426" s="21" t="s">
        <v>11</v>
      </c>
      <c r="G426" s="22">
        <v>1100</v>
      </c>
      <c r="H426" s="20">
        <v>1</v>
      </c>
      <c r="I426" s="32">
        <f>Town_Team[[#This Row],[Item quantity]]*Town_Team[[#This Row],[Selling price]]</f>
        <v>1100</v>
      </c>
      <c r="J426" s="33">
        <f>IF(Town_Team[[#This Row],[Item name]]=" Jeans - Denim",Town_Team[[#This Row],[Item Amount]]*85%,Town_Team[[#This Row],[Item Amount]])</f>
        <v>1100</v>
      </c>
      <c r="K426" s="39" t="str">
        <f>TEXT(Town_Team[[#This Row],[Date ]],"dddd")</f>
        <v>Wednesday</v>
      </c>
    </row>
    <row r="427" spans="2:11" hidden="1" x14ac:dyDescent="0.3">
      <c r="B427" s="20">
        <v>423</v>
      </c>
      <c r="C427" s="19">
        <v>43888</v>
      </c>
      <c r="D427" s="21" t="s">
        <v>9</v>
      </c>
      <c r="E427" s="21" t="s">
        <v>10</v>
      </c>
      <c r="F427" s="21" t="s">
        <v>11</v>
      </c>
      <c r="G427" s="22">
        <v>1100</v>
      </c>
      <c r="H427" s="20">
        <v>2</v>
      </c>
      <c r="I427" s="32">
        <f>Town_Team[[#This Row],[Item quantity]]*Town_Team[[#This Row],[Selling price]]</f>
        <v>2200</v>
      </c>
      <c r="J427" s="33">
        <f>IF(Town_Team[[#This Row],[Item name]]=" Jeans - Denim",Town_Team[[#This Row],[Item Amount]]*85%,Town_Team[[#This Row],[Item Amount]])</f>
        <v>2200</v>
      </c>
      <c r="K427" s="39" t="str">
        <f>TEXT(Town_Team[[#This Row],[Date ]],"dddd")</f>
        <v>Thursday</v>
      </c>
    </row>
    <row r="428" spans="2:11" hidden="1" x14ac:dyDescent="0.3">
      <c r="B428" s="20">
        <v>424</v>
      </c>
      <c r="C428" s="19">
        <v>43889</v>
      </c>
      <c r="D428" s="21" t="s">
        <v>9</v>
      </c>
      <c r="E428" s="21" t="s">
        <v>14</v>
      </c>
      <c r="F428" s="21" t="s">
        <v>11</v>
      </c>
      <c r="G428" s="22">
        <v>900</v>
      </c>
      <c r="H428" s="20">
        <v>1</v>
      </c>
      <c r="I428" s="32">
        <f>Town_Team[[#This Row],[Item quantity]]*Town_Team[[#This Row],[Selling price]]</f>
        <v>900</v>
      </c>
      <c r="J428" s="33">
        <f>IF(Town_Team[[#This Row],[Item name]]=" Jeans - Denim",Town_Team[[#This Row],[Item Amount]]*85%,Town_Team[[#This Row],[Item Amount]])</f>
        <v>900</v>
      </c>
      <c r="K428" s="39" t="str">
        <f>TEXT(Town_Team[[#This Row],[Date ]],"dddd")</f>
        <v>Friday</v>
      </c>
    </row>
    <row r="429" spans="2:11" hidden="1" x14ac:dyDescent="0.3">
      <c r="B429" s="20">
        <v>425</v>
      </c>
      <c r="C429" s="19">
        <v>43890</v>
      </c>
      <c r="D429" s="21" t="s">
        <v>9</v>
      </c>
      <c r="E429" s="21" t="s">
        <v>14</v>
      </c>
      <c r="F429" s="21" t="s">
        <v>11</v>
      </c>
      <c r="G429" s="22">
        <v>900</v>
      </c>
      <c r="H429" s="20">
        <v>1</v>
      </c>
      <c r="I429" s="32">
        <f>Town_Team[[#This Row],[Item quantity]]*Town_Team[[#This Row],[Selling price]]</f>
        <v>900</v>
      </c>
      <c r="J429" s="33">
        <f>IF(Town_Team[[#This Row],[Item name]]=" Jeans - Denim",Town_Team[[#This Row],[Item Amount]]*85%,Town_Team[[#This Row],[Item Amount]])</f>
        <v>900</v>
      </c>
      <c r="K429" s="39" t="str">
        <f>TEXT(Town_Team[[#This Row],[Date ]],"dddd")</f>
        <v>Saturday</v>
      </c>
    </row>
    <row r="430" spans="2:11" hidden="1" x14ac:dyDescent="0.3">
      <c r="B430" s="20">
        <v>426</v>
      </c>
      <c r="C430" s="19">
        <v>43891</v>
      </c>
      <c r="D430" s="21" t="s">
        <v>9</v>
      </c>
      <c r="E430" s="21" t="s">
        <v>18</v>
      </c>
      <c r="F430" s="21" t="s">
        <v>17</v>
      </c>
      <c r="G430" s="22">
        <v>600</v>
      </c>
      <c r="H430" s="20">
        <v>1</v>
      </c>
      <c r="I430" s="32">
        <f>Town_Team[[#This Row],[Item quantity]]*Town_Team[[#This Row],[Selling price]]</f>
        <v>600</v>
      </c>
      <c r="J430" s="33">
        <f>IF(Town_Team[[#This Row],[Item name]]=" Jeans - Denim",Town_Team[[#This Row],[Item Amount]]*85%,Town_Team[[#This Row],[Item Amount]])</f>
        <v>600</v>
      </c>
      <c r="K430" s="39" t="str">
        <f>TEXT(Town_Team[[#This Row],[Date ]],"dddd")</f>
        <v>Sunday</v>
      </c>
    </row>
    <row r="431" spans="2:11" hidden="1" x14ac:dyDescent="0.3">
      <c r="B431" s="20">
        <v>427</v>
      </c>
      <c r="C431" s="19">
        <v>43892</v>
      </c>
      <c r="D431" s="21" t="s">
        <v>9</v>
      </c>
      <c r="E431" s="21" t="s">
        <v>22</v>
      </c>
      <c r="F431" s="21" t="s">
        <v>23</v>
      </c>
      <c r="G431" s="22">
        <v>900</v>
      </c>
      <c r="H431" s="20">
        <v>1</v>
      </c>
      <c r="I431" s="32">
        <f>Town_Team[[#This Row],[Item quantity]]*Town_Team[[#This Row],[Selling price]]</f>
        <v>900</v>
      </c>
      <c r="J431" s="33">
        <f>IF(Town_Team[[#This Row],[Item name]]=" Jeans - Denim",Town_Team[[#This Row],[Item Amount]]*85%,Town_Team[[#This Row],[Item Amount]])</f>
        <v>900</v>
      </c>
      <c r="K431" s="39" t="str">
        <f>TEXT(Town_Team[[#This Row],[Date ]],"dddd")</f>
        <v>Monday</v>
      </c>
    </row>
    <row r="432" spans="2:11" hidden="1" x14ac:dyDescent="0.3">
      <c r="B432" s="20">
        <v>428</v>
      </c>
      <c r="C432" s="19">
        <v>43893</v>
      </c>
      <c r="D432" s="21" t="s">
        <v>9</v>
      </c>
      <c r="E432" s="21" t="s">
        <v>10</v>
      </c>
      <c r="F432" s="21" t="s">
        <v>11</v>
      </c>
      <c r="G432" s="22">
        <v>1100</v>
      </c>
      <c r="H432" s="20">
        <v>1</v>
      </c>
      <c r="I432" s="32">
        <f>Town_Team[[#This Row],[Item quantity]]*Town_Team[[#This Row],[Selling price]]</f>
        <v>1100</v>
      </c>
      <c r="J432" s="33">
        <f>IF(Town_Team[[#This Row],[Item name]]=" Jeans - Denim",Town_Team[[#This Row],[Item Amount]]*85%,Town_Team[[#This Row],[Item Amount]])</f>
        <v>1100</v>
      </c>
      <c r="K432" s="39" t="str">
        <f>TEXT(Town_Team[[#This Row],[Date ]],"dddd")</f>
        <v>Tuesday</v>
      </c>
    </row>
    <row r="433" spans="2:11" hidden="1" x14ac:dyDescent="0.3">
      <c r="B433" s="20">
        <v>429</v>
      </c>
      <c r="C433" s="19">
        <v>43894</v>
      </c>
      <c r="D433" s="21" t="s">
        <v>9</v>
      </c>
      <c r="E433" s="21" t="s">
        <v>18</v>
      </c>
      <c r="F433" s="21" t="s">
        <v>17</v>
      </c>
      <c r="G433" s="22">
        <v>600</v>
      </c>
      <c r="H433" s="20">
        <v>1</v>
      </c>
      <c r="I433" s="32">
        <f>Town_Team[[#This Row],[Item quantity]]*Town_Team[[#This Row],[Selling price]]</f>
        <v>600</v>
      </c>
      <c r="J433" s="33">
        <f>IF(Town_Team[[#This Row],[Item name]]=" Jeans - Denim",Town_Team[[#This Row],[Item Amount]]*85%,Town_Team[[#This Row],[Item Amount]])</f>
        <v>600</v>
      </c>
      <c r="K433" s="39" t="str">
        <f>TEXT(Town_Team[[#This Row],[Date ]],"dddd")</f>
        <v>Wednesday</v>
      </c>
    </row>
    <row r="434" spans="2:11" hidden="1" x14ac:dyDescent="0.3">
      <c r="B434" s="20">
        <v>430</v>
      </c>
      <c r="C434" s="19">
        <v>43895</v>
      </c>
      <c r="D434" s="21" t="s">
        <v>9</v>
      </c>
      <c r="E434" s="21" t="s">
        <v>18</v>
      </c>
      <c r="F434" s="21" t="s">
        <v>17</v>
      </c>
      <c r="G434" s="22">
        <v>600</v>
      </c>
      <c r="H434" s="20">
        <v>1</v>
      </c>
      <c r="I434" s="32">
        <f>Town_Team[[#This Row],[Item quantity]]*Town_Team[[#This Row],[Selling price]]</f>
        <v>600</v>
      </c>
      <c r="J434" s="33">
        <f>IF(Town_Team[[#This Row],[Item name]]=" Jeans - Denim",Town_Team[[#This Row],[Item Amount]]*85%,Town_Team[[#This Row],[Item Amount]])</f>
        <v>600</v>
      </c>
      <c r="K434" s="39" t="str">
        <f>TEXT(Town_Team[[#This Row],[Date ]],"dddd")</f>
        <v>Thursday</v>
      </c>
    </row>
    <row r="435" spans="2:11" hidden="1" x14ac:dyDescent="0.3">
      <c r="B435" s="20">
        <v>431</v>
      </c>
      <c r="C435" s="19">
        <v>43896</v>
      </c>
      <c r="D435" s="21" t="s">
        <v>9</v>
      </c>
      <c r="E435" s="21" t="s">
        <v>22</v>
      </c>
      <c r="F435" s="21" t="s">
        <v>23</v>
      </c>
      <c r="G435" s="22">
        <v>500</v>
      </c>
      <c r="H435" s="20">
        <v>1</v>
      </c>
      <c r="I435" s="32">
        <f>Town_Team[[#This Row],[Item quantity]]*Town_Team[[#This Row],[Selling price]]</f>
        <v>500</v>
      </c>
      <c r="J435" s="33">
        <f>IF(Town_Team[[#This Row],[Item name]]=" Jeans - Denim",Town_Team[[#This Row],[Item Amount]]*85%,Town_Team[[#This Row],[Item Amount]])</f>
        <v>500</v>
      </c>
      <c r="K435" s="39" t="str">
        <f>TEXT(Town_Team[[#This Row],[Date ]],"dddd")</f>
        <v>Friday</v>
      </c>
    </row>
    <row r="436" spans="2:11" hidden="1" x14ac:dyDescent="0.3">
      <c r="B436" s="20">
        <v>432</v>
      </c>
      <c r="C436" s="19">
        <v>43897</v>
      </c>
      <c r="D436" s="21" t="s">
        <v>9</v>
      </c>
      <c r="E436" s="21" t="s">
        <v>14</v>
      </c>
      <c r="F436" s="21" t="s">
        <v>11</v>
      </c>
      <c r="G436" s="22">
        <v>900</v>
      </c>
      <c r="H436" s="20">
        <v>1</v>
      </c>
      <c r="I436" s="32">
        <f>Town_Team[[#This Row],[Item quantity]]*Town_Team[[#This Row],[Selling price]]</f>
        <v>900</v>
      </c>
      <c r="J436" s="33">
        <f>IF(Town_Team[[#This Row],[Item name]]=" Jeans - Denim",Town_Team[[#This Row],[Item Amount]]*85%,Town_Team[[#This Row],[Item Amount]])</f>
        <v>900</v>
      </c>
      <c r="K436" s="39" t="str">
        <f>TEXT(Town_Team[[#This Row],[Date ]],"dddd")</f>
        <v>Saturday</v>
      </c>
    </row>
    <row r="437" spans="2:11" hidden="1" x14ac:dyDescent="0.3">
      <c r="B437" s="20">
        <v>433</v>
      </c>
      <c r="C437" s="19">
        <v>43898</v>
      </c>
      <c r="D437" s="21" t="s">
        <v>9</v>
      </c>
      <c r="E437" s="21" t="s">
        <v>21</v>
      </c>
      <c r="F437" s="21" t="s">
        <v>20</v>
      </c>
      <c r="G437" s="22">
        <v>1200</v>
      </c>
      <c r="H437" s="20">
        <v>1</v>
      </c>
      <c r="I437" s="32">
        <f>Town_Team[[#This Row],[Item quantity]]*Town_Team[[#This Row],[Selling price]]</f>
        <v>1200</v>
      </c>
      <c r="J437" s="33">
        <f>IF(Town_Team[[#This Row],[Item name]]=" Jeans - Denim",Town_Team[[#This Row],[Item Amount]]*85%,Town_Team[[#This Row],[Item Amount]])</f>
        <v>1200</v>
      </c>
      <c r="K437" s="39" t="str">
        <f>TEXT(Town_Team[[#This Row],[Date ]],"dddd")</f>
        <v>Sunday</v>
      </c>
    </row>
    <row r="438" spans="2:11" hidden="1" x14ac:dyDescent="0.3">
      <c r="B438" s="20">
        <v>434</v>
      </c>
      <c r="C438" s="19">
        <v>43899</v>
      </c>
      <c r="D438" s="21" t="s">
        <v>9</v>
      </c>
      <c r="E438" s="21" t="s">
        <v>18</v>
      </c>
      <c r="F438" s="21" t="s">
        <v>17</v>
      </c>
      <c r="G438" s="22">
        <v>600</v>
      </c>
      <c r="H438" s="20">
        <v>2</v>
      </c>
      <c r="I438" s="32">
        <f>Town_Team[[#This Row],[Item quantity]]*Town_Team[[#This Row],[Selling price]]</f>
        <v>1200</v>
      </c>
      <c r="J438" s="33">
        <f>IF(Town_Team[[#This Row],[Item name]]=" Jeans - Denim",Town_Team[[#This Row],[Item Amount]]*85%,Town_Team[[#This Row],[Item Amount]])</f>
        <v>1200</v>
      </c>
      <c r="K438" s="39" t="str">
        <f>TEXT(Town_Team[[#This Row],[Date ]],"dddd")</f>
        <v>Monday</v>
      </c>
    </row>
    <row r="439" spans="2:11" hidden="1" x14ac:dyDescent="0.3">
      <c r="B439" s="20">
        <v>435</v>
      </c>
      <c r="C439" s="19">
        <v>43900</v>
      </c>
      <c r="D439" s="21" t="s">
        <v>9</v>
      </c>
      <c r="E439" s="21" t="s">
        <v>14</v>
      </c>
      <c r="F439" s="21" t="s">
        <v>11</v>
      </c>
      <c r="G439" s="22">
        <v>900</v>
      </c>
      <c r="H439" s="20">
        <v>1</v>
      </c>
      <c r="I439" s="32">
        <f>Town_Team[[#This Row],[Item quantity]]*Town_Team[[#This Row],[Selling price]]</f>
        <v>900</v>
      </c>
      <c r="J439" s="33">
        <f>IF(Town_Team[[#This Row],[Item name]]=" Jeans - Denim",Town_Team[[#This Row],[Item Amount]]*85%,Town_Team[[#This Row],[Item Amount]])</f>
        <v>900</v>
      </c>
      <c r="K439" s="39" t="str">
        <f>TEXT(Town_Team[[#This Row],[Date ]],"dddd")</f>
        <v>Tuesday</v>
      </c>
    </row>
    <row r="440" spans="2:11" hidden="1" x14ac:dyDescent="0.3">
      <c r="B440" s="20">
        <v>436</v>
      </c>
      <c r="C440" s="19">
        <v>43901</v>
      </c>
      <c r="D440" s="21" t="s">
        <v>9</v>
      </c>
      <c r="E440" s="21" t="s">
        <v>10</v>
      </c>
      <c r="F440" s="21" t="s">
        <v>11</v>
      </c>
      <c r="G440" s="22">
        <v>1100</v>
      </c>
      <c r="H440" s="20">
        <v>2</v>
      </c>
      <c r="I440" s="32">
        <f>Town_Team[[#This Row],[Item quantity]]*Town_Team[[#This Row],[Selling price]]</f>
        <v>2200</v>
      </c>
      <c r="J440" s="33">
        <f>IF(Town_Team[[#This Row],[Item name]]=" Jeans - Denim",Town_Team[[#This Row],[Item Amount]]*85%,Town_Team[[#This Row],[Item Amount]])</f>
        <v>2200</v>
      </c>
      <c r="K440" s="39" t="str">
        <f>TEXT(Town_Team[[#This Row],[Date ]],"dddd")</f>
        <v>Wednesday</v>
      </c>
    </row>
    <row r="441" spans="2:11" hidden="1" x14ac:dyDescent="0.3">
      <c r="B441" s="20">
        <v>437</v>
      </c>
      <c r="C441" s="19">
        <v>43902</v>
      </c>
      <c r="D441" s="21" t="s">
        <v>9</v>
      </c>
      <c r="E441" s="21" t="s">
        <v>24</v>
      </c>
      <c r="F441" s="21" t="s">
        <v>23</v>
      </c>
      <c r="G441" s="22">
        <v>600</v>
      </c>
      <c r="H441" s="20">
        <v>1</v>
      </c>
      <c r="I441" s="32">
        <f>Town_Team[[#This Row],[Item quantity]]*Town_Team[[#This Row],[Selling price]]</f>
        <v>600</v>
      </c>
      <c r="J441" s="33">
        <f>IF(Town_Team[[#This Row],[Item name]]=" Jeans - Denim",Town_Team[[#This Row],[Item Amount]]*85%,Town_Team[[#This Row],[Item Amount]])</f>
        <v>600</v>
      </c>
      <c r="K441" s="39" t="str">
        <f>TEXT(Town_Team[[#This Row],[Date ]],"dddd")</f>
        <v>Thursday</v>
      </c>
    </row>
    <row r="442" spans="2:11" hidden="1" x14ac:dyDescent="0.3">
      <c r="B442" s="20">
        <v>438</v>
      </c>
      <c r="C442" s="19">
        <v>43903</v>
      </c>
      <c r="D442" s="21" t="s">
        <v>9</v>
      </c>
      <c r="E442" s="21" t="s">
        <v>18</v>
      </c>
      <c r="F442" s="21" t="s">
        <v>17</v>
      </c>
      <c r="G442" s="22">
        <v>600</v>
      </c>
      <c r="H442" s="20">
        <v>1</v>
      </c>
      <c r="I442" s="32">
        <f>Town_Team[[#This Row],[Item quantity]]*Town_Team[[#This Row],[Selling price]]</f>
        <v>600</v>
      </c>
      <c r="J442" s="33">
        <f>IF(Town_Team[[#This Row],[Item name]]=" Jeans - Denim",Town_Team[[#This Row],[Item Amount]]*85%,Town_Team[[#This Row],[Item Amount]])</f>
        <v>600</v>
      </c>
      <c r="K442" s="39" t="str">
        <f>TEXT(Town_Team[[#This Row],[Date ]],"dddd")</f>
        <v>Friday</v>
      </c>
    </row>
    <row r="443" spans="2:11" hidden="1" x14ac:dyDescent="0.3">
      <c r="B443" s="20">
        <v>439</v>
      </c>
      <c r="C443" s="19">
        <v>43904</v>
      </c>
      <c r="D443" s="21" t="s">
        <v>9</v>
      </c>
      <c r="E443" s="21" t="s">
        <v>24</v>
      </c>
      <c r="F443" s="21" t="s">
        <v>23</v>
      </c>
      <c r="G443" s="22">
        <v>300</v>
      </c>
      <c r="H443" s="20">
        <v>2</v>
      </c>
      <c r="I443" s="32">
        <f>Town_Team[[#This Row],[Item quantity]]*Town_Team[[#This Row],[Selling price]]</f>
        <v>600</v>
      </c>
      <c r="J443" s="33">
        <f>IF(Town_Team[[#This Row],[Item name]]=" Jeans - Denim",Town_Team[[#This Row],[Item Amount]]*85%,Town_Team[[#This Row],[Item Amount]])</f>
        <v>600</v>
      </c>
      <c r="K443" s="39" t="str">
        <f>TEXT(Town_Team[[#This Row],[Date ]],"dddd")</f>
        <v>Saturday</v>
      </c>
    </row>
    <row r="444" spans="2:11" hidden="1" x14ac:dyDescent="0.3">
      <c r="B444" s="20">
        <v>440</v>
      </c>
      <c r="C444" s="19">
        <v>43905</v>
      </c>
      <c r="D444" s="21" t="s">
        <v>9</v>
      </c>
      <c r="E444" s="21" t="s">
        <v>10</v>
      </c>
      <c r="F444" s="21" t="s">
        <v>11</v>
      </c>
      <c r="G444" s="22">
        <v>1100</v>
      </c>
      <c r="H444" s="20">
        <v>2</v>
      </c>
      <c r="I444" s="32">
        <f>Town_Team[[#This Row],[Item quantity]]*Town_Team[[#This Row],[Selling price]]</f>
        <v>2200</v>
      </c>
      <c r="J444" s="33">
        <f>IF(Town_Team[[#This Row],[Item name]]=" Jeans - Denim",Town_Team[[#This Row],[Item Amount]]*85%,Town_Team[[#This Row],[Item Amount]])</f>
        <v>2200</v>
      </c>
      <c r="K444" s="39" t="str">
        <f>TEXT(Town_Team[[#This Row],[Date ]],"dddd")</f>
        <v>Sunday</v>
      </c>
    </row>
    <row r="445" spans="2:11" hidden="1" x14ac:dyDescent="0.3">
      <c r="B445" s="20">
        <v>441</v>
      </c>
      <c r="C445" s="19">
        <v>43906</v>
      </c>
      <c r="D445" s="21" t="s">
        <v>9</v>
      </c>
      <c r="E445" s="21" t="s">
        <v>15</v>
      </c>
      <c r="F445" s="21" t="s">
        <v>11</v>
      </c>
      <c r="G445" s="22">
        <v>1000</v>
      </c>
      <c r="H445" s="20">
        <v>1</v>
      </c>
      <c r="I445" s="32">
        <f>Town_Team[[#This Row],[Item quantity]]*Town_Team[[#This Row],[Selling price]]</f>
        <v>1000</v>
      </c>
      <c r="J445" s="33">
        <f>IF(Town_Team[[#This Row],[Item name]]=" Jeans - Denim",Town_Team[[#This Row],[Item Amount]]*85%,Town_Team[[#This Row],[Item Amount]])</f>
        <v>1000</v>
      </c>
      <c r="K445" s="39" t="str">
        <f>TEXT(Town_Team[[#This Row],[Date ]],"dddd")</f>
        <v>Monday</v>
      </c>
    </row>
    <row r="446" spans="2:11" hidden="1" x14ac:dyDescent="0.3">
      <c r="B446" s="20">
        <v>442</v>
      </c>
      <c r="C446" s="19">
        <v>43907</v>
      </c>
      <c r="D446" s="21" t="s">
        <v>9</v>
      </c>
      <c r="E446" s="21" t="s">
        <v>18</v>
      </c>
      <c r="F446" s="21" t="s">
        <v>17</v>
      </c>
      <c r="G446" s="22">
        <v>600</v>
      </c>
      <c r="H446" s="20">
        <v>1</v>
      </c>
      <c r="I446" s="32">
        <f>Town_Team[[#This Row],[Item quantity]]*Town_Team[[#This Row],[Selling price]]</f>
        <v>600</v>
      </c>
      <c r="J446" s="33">
        <f>IF(Town_Team[[#This Row],[Item name]]=" Jeans - Denim",Town_Team[[#This Row],[Item Amount]]*85%,Town_Team[[#This Row],[Item Amount]])</f>
        <v>600</v>
      </c>
      <c r="K446" s="39" t="str">
        <f>TEXT(Town_Team[[#This Row],[Date ]],"dddd")</f>
        <v>Tuesday</v>
      </c>
    </row>
    <row r="447" spans="2:11" hidden="1" x14ac:dyDescent="0.3">
      <c r="B447" s="20">
        <v>443</v>
      </c>
      <c r="C447" s="19">
        <v>43908</v>
      </c>
      <c r="D447" s="21" t="s">
        <v>9</v>
      </c>
      <c r="E447" s="21" t="s">
        <v>14</v>
      </c>
      <c r="F447" s="21" t="s">
        <v>11</v>
      </c>
      <c r="G447" s="22">
        <v>900</v>
      </c>
      <c r="H447" s="20">
        <v>1</v>
      </c>
      <c r="I447" s="32">
        <f>Town_Team[[#This Row],[Item quantity]]*Town_Team[[#This Row],[Selling price]]</f>
        <v>900</v>
      </c>
      <c r="J447" s="33">
        <f>IF(Town_Team[[#This Row],[Item name]]=" Jeans - Denim",Town_Team[[#This Row],[Item Amount]]*85%,Town_Team[[#This Row],[Item Amount]])</f>
        <v>900</v>
      </c>
      <c r="K447" s="39" t="str">
        <f>TEXT(Town_Team[[#This Row],[Date ]],"dddd")</f>
        <v>Wednesday</v>
      </c>
    </row>
    <row r="448" spans="2:11" hidden="1" x14ac:dyDescent="0.3">
      <c r="B448" s="20">
        <v>444</v>
      </c>
      <c r="C448" s="19">
        <v>43909</v>
      </c>
      <c r="D448" s="21" t="s">
        <v>9</v>
      </c>
      <c r="E448" s="21" t="s">
        <v>21</v>
      </c>
      <c r="F448" s="21" t="s">
        <v>20</v>
      </c>
      <c r="G448" s="22">
        <v>1200</v>
      </c>
      <c r="H448" s="20">
        <v>1</v>
      </c>
      <c r="I448" s="32">
        <f>Town_Team[[#This Row],[Item quantity]]*Town_Team[[#This Row],[Selling price]]</f>
        <v>1200</v>
      </c>
      <c r="J448" s="33">
        <f>IF(Town_Team[[#This Row],[Item name]]=" Jeans - Denim",Town_Team[[#This Row],[Item Amount]]*85%,Town_Team[[#This Row],[Item Amount]])</f>
        <v>1200</v>
      </c>
      <c r="K448" s="39" t="str">
        <f>TEXT(Town_Team[[#This Row],[Date ]],"dddd")</f>
        <v>Thursday</v>
      </c>
    </row>
    <row r="449" spans="2:11" hidden="1" x14ac:dyDescent="0.3">
      <c r="B449" s="20">
        <v>445</v>
      </c>
      <c r="C449" s="19">
        <v>43910</v>
      </c>
      <c r="D449" s="21" t="s">
        <v>9</v>
      </c>
      <c r="E449" s="21" t="s">
        <v>10</v>
      </c>
      <c r="F449" s="21" t="s">
        <v>11</v>
      </c>
      <c r="G449" s="22">
        <v>1100</v>
      </c>
      <c r="H449" s="20">
        <v>1</v>
      </c>
      <c r="I449" s="32">
        <f>Town_Team[[#This Row],[Item quantity]]*Town_Team[[#This Row],[Selling price]]</f>
        <v>1100</v>
      </c>
      <c r="J449" s="33">
        <f>IF(Town_Team[[#This Row],[Item name]]=" Jeans - Denim",Town_Team[[#This Row],[Item Amount]]*85%,Town_Team[[#This Row],[Item Amount]])</f>
        <v>1100</v>
      </c>
      <c r="K449" s="39" t="str">
        <f>TEXT(Town_Team[[#This Row],[Date ]],"dddd")</f>
        <v>Friday</v>
      </c>
    </row>
    <row r="450" spans="2:11" hidden="1" x14ac:dyDescent="0.3">
      <c r="B450" s="20">
        <v>446</v>
      </c>
      <c r="C450" s="19">
        <v>43911</v>
      </c>
      <c r="D450" s="21" t="s">
        <v>9</v>
      </c>
      <c r="E450" s="21" t="s">
        <v>19</v>
      </c>
      <c r="F450" s="21" t="s">
        <v>20</v>
      </c>
      <c r="G450" s="22">
        <v>850</v>
      </c>
      <c r="H450" s="20">
        <v>1</v>
      </c>
      <c r="I450" s="32">
        <f>Town_Team[[#This Row],[Item quantity]]*Town_Team[[#This Row],[Selling price]]</f>
        <v>850</v>
      </c>
      <c r="J450" s="33">
        <f>IF(Town_Team[[#This Row],[Item name]]=" Jeans - Denim",Town_Team[[#This Row],[Item Amount]]*85%,Town_Team[[#This Row],[Item Amount]])</f>
        <v>850</v>
      </c>
      <c r="K450" s="39" t="str">
        <f>TEXT(Town_Team[[#This Row],[Date ]],"dddd")</f>
        <v>Saturday</v>
      </c>
    </row>
    <row r="451" spans="2:11" hidden="1" x14ac:dyDescent="0.3">
      <c r="B451" s="20">
        <v>447</v>
      </c>
      <c r="C451" s="19">
        <v>43912</v>
      </c>
      <c r="D451" s="21" t="s">
        <v>9</v>
      </c>
      <c r="E451" s="21" t="s">
        <v>10</v>
      </c>
      <c r="F451" s="21" t="s">
        <v>11</v>
      </c>
      <c r="G451" s="22">
        <v>1100</v>
      </c>
      <c r="H451" s="20">
        <v>1</v>
      </c>
      <c r="I451" s="32">
        <f>Town_Team[[#This Row],[Item quantity]]*Town_Team[[#This Row],[Selling price]]</f>
        <v>1100</v>
      </c>
      <c r="J451" s="33">
        <f>IF(Town_Team[[#This Row],[Item name]]=" Jeans - Denim",Town_Team[[#This Row],[Item Amount]]*85%,Town_Team[[#This Row],[Item Amount]])</f>
        <v>1100</v>
      </c>
      <c r="K451" s="39" t="str">
        <f>TEXT(Town_Team[[#This Row],[Date ]],"dddd")</f>
        <v>Sunday</v>
      </c>
    </row>
    <row r="452" spans="2:11" hidden="1" x14ac:dyDescent="0.3">
      <c r="B452" s="20">
        <v>448</v>
      </c>
      <c r="C452" s="19">
        <v>43913</v>
      </c>
      <c r="D452" s="21" t="s">
        <v>9</v>
      </c>
      <c r="E452" s="21" t="s">
        <v>10</v>
      </c>
      <c r="F452" s="21" t="s">
        <v>11</v>
      </c>
      <c r="G452" s="22">
        <v>1100</v>
      </c>
      <c r="H452" s="20">
        <v>2</v>
      </c>
      <c r="I452" s="32">
        <f>Town_Team[[#This Row],[Item quantity]]*Town_Team[[#This Row],[Selling price]]</f>
        <v>2200</v>
      </c>
      <c r="J452" s="33">
        <f>IF(Town_Team[[#This Row],[Item name]]=" Jeans - Denim",Town_Team[[#This Row],[Item Amount]]*85%,Town_Team[[#This Row],[Item Amount]])</f>
        <v>2200</v>
      </c>
      <c r="K452" s="39" t="str">
        <f>TEXT(Town_Team[[#This Row],[Date ]],"dddd")</f>
        <v>Monday</v>
      </c>
    </row>
    <row r="453" spans="2:11" hidden="1" x14ac:dyDescent="0.3">
      <c r="B453" s="20">
        <v>449</v>
      </c>
      <c r="C453" s="19">
        <v>43914</v>
      </c>
      <c r="D453" s="21" t="s">
        <v>9</v>
      </c>
      <c r="E453" s="21" t="s">
        <v>14</v>
      </c>
      <c r="F453" s="21" t="s">
        <v>11</v>
      </c>
      <c r="G453" s="22">
        <v>900</v>
      </c>
      <c r="H453" s="20">
        <v>1</v>
      </c>
      <c r="I453" s="32">
        <f>Town_Team[[#This Row],[Item quantity]]*Town_Team[[#This Row],[Selling price]]</f>
        <v>900</v>
      </c>
      <c r="J453" s="33">
        <f>IF(Town_Team[[#This Row],[Item name]]=" Jeans - Denim",Town_Team[[#This Row],[Item Amount]]*85%,Town_Team[[#This Row],[Item Amount]])</f>
        <v>900</v>
      </c>
      <c r="K453" s="39" t="str">
        <f>TEXT(Town_Team[[#This Row],[Date ]],"dddd")</f>
        <v>Tuesday</v>
      </c>
    </row>
    <row r="454" spans="2:11" hidden="1" x14ac:dyDescent="0.3">
      <c r="B454" s="20">
        <v>450</v>
      </c>
      <c r="C454" s="19">
        <v>43915</v>
      </c>
      <c r="D454" s="21" t="s">
        <v>9</v>
      </c>
      <c r="E454" s="21" t="s">
        <v>18</v>
      </c>
      <c r="F454" s="21" t="s">
        <v>17</v>
      </c>
      <c r="G454" s="22">
        <v>600</v>
      </c>
      <c r="H454" s="20">
        <v>1</v>
      </c>
      <c r="I454" s="32">
        <f>Town_Team[[#This Row],[Item quantity]]*Town_Team[[#This Row],[Selling price]]</f>
        <v>600</v>
      </c>
      <c r="J454" s="33">
        <f>IF(Town_Team[[#This Row],[Item name]]=" Jeans - Denim",Town_Team[[#This Row],[Item Amount]]*85%,Town_Team[[#This Row],[Item Amount]])</f>
        <v>600</v>
      </c>
      <c r="K454" s="39" t="str">
        <f>TEXT(Town_Team[[#This Row],[Date ]],"dddd")</f>
        <v>Wednesday</v>
      </c>
    </row>
    <row r="455" spans="2:11" hidden="1" x14ac:dyDescent="0.3">
      <c r="B455" s="20">
        <v>451</v>
      </c>
      <c r="C455" s="19">
        <v>43916</v>
      </c>
      <c r="D455" s="21" t="s">
        <v>9</v>
      </c>
      <c r="E455" s="21" t="s">
        <v>18</v>
      </c>
      <c r="F455" s="21" t="s">
        <v>17</v>
      </c>
      <c r="G455" s="22">
        <v>600</v>
      </c>
      <c r="H455" s="20">
        <v>1</v>
      </c>
      <c r="I455" s="32">
        <f>Town_Team[[#This Row],[Item quantity]]*Town_Team[[#This Row],[Selling price]]</f>
        <v>600</v>
      </c>
      <c r="J455" s="33">
        <f>IF(Town_Team[[#This Row],[Item name]]=" Jeans - Denim",Town_Team[[#This Row],[Item Amount]]*85%,Town_Team[[#This Row],[Item Amount]])</f>
        <v>600</v>
      </c>
      <c r="K455" s="39" t="str">
        <f>TEXT(Town_Team[[#This Row],[Date ]],"dddd")</f>
        <v>Thursday</v>
      </c>
    </row>
    <row r="456" spans="2:11" hidden="1" x14ac:dyDescent="0.3">
      <c r="B456" s="20">
        <v>452</v>
      </c>
      <c r="C456" s="19">
        <v>43917</v>
      </c>
      <c r="D456" s="21" t="s">
        <v>9</v>
      </c>
      <c r="E456" s="21" t="s">
        <v>21</v>
      </c>
      <c r="F456" s="21" t="s">
        <v>20</v>
      </c>
      <c r="G456" s="22">
        <v>1200</v>
      </c>
      <c r="H456" s="20">
        <v>1</v>
      </c>
      <c r="I456" s="32">
        <f>Town_Team[[#This Row],[Item quantity]]*Town_Team[[#This Row],[Selling price]]</f>
        <v>1200</v>
      </c>
      <c r="J456" s="33">
        <f>IF(Town_Team[[#This Row],[Item name]]=" Jeans - Denim",Town_Team[[#This Row],[Item Amount]]*85%,Town_Team[[#This Row],[Item Amount]])</f>
        <v>1200</v>
      </c>
      <c r="K456" s="39" t="str">
        <f>TEXT(Town_Team[[#This Row],[Date ]],"dddd")</f>
        <v>Friday</v>
      </c>
    </row>
    <row r="457" spans="2:11" hidden="1" x14ac:dyDescent="0.3">
      <c r="B457" s="20">
        <v>453</v>
      </c>
      <c r="C457" s="19">
        <v>43918</v>
      </c>
      <c r="D457" s="21" t="s">
        <v>9</v>
      </c>
      <c r="E457" s="21" t="s">
        <v>14</v>
      </c>
      <c r="F457" s="21" t="s">
        <v>11</v>
      </c>
      <c r="G457" s="22">
        <v>900</v>
      </c>
      <c r="H457" s="20">
        <v>1</v>
      </c>
      <c r="I457" s="32">
        <f>Town_Team[[#This Row],[Item quantity]]*Town_Team[[#This Row],[Selling price]]</f>
        <v>900</v>
      </c>
      <c r="J457" s="33">
        <f>IF(Town_Team[[#This Row],[Item name]]=" Jeans - Denim",Town_Team[[#This Row],[Item Amount]]*85%,Town_Team[[#This Row],[Item Amount]])</f>
        <v>900</v>
      </c>
      <c r="K457" s="39" t="str">
        <f>TEXT(Town_Team[[#This Row],[Date ]],"dddd")</f>
        <v>Saturday</v>
      </c>
    </row>
    <row r="458" spans="2:11" hidden="1" x14ac:dyDescent="0.3">
      <c r="B458" s="20">
        <v>454</v>
      </c>
      <c r="C458" s="19">
        <v>43919</v>
      </c>
      <c r="D458" s="21" t="s">
        <v>9</v>
      </c>
      <c r="E458" s="21" t="s">
        <v>16</v>
      </c>
      <c r="F458" s="21" t="s">
        <v>17</v>
      </c>
      <c r="G458" s="22">
        <v>800</v>
      </c>
      <c r="H458" s="20">
        <v>1</v>
      </c>
      <c r="I458" s="32">
        <f>Town_Team[[#This Row],[Item quantity]]*Town_Team[[#This Row],[Selling price]]</f>
        <v>800</v>
      </c>
      <c r="J458" s="33">
        <f>IF(Town_Team[[#This Row],[Item name]]=" Jeans - Denim",Town_Team[[#This Row],[Item Amount]]*85%,Town_Team[[#This Row],[Item Amount]])</f>
        <v>800</v>
      </c>
      <c r="K458" s="39" t="str">
        <f>TEXT(Town_Team[[#This Row],[Date ]],"dddd")</f>
        <v>Sunday</v>
      </c>
    </row>
    <row r="459" spans="2:11" hidden="1" x14ac:dyDescent="0.3">
      <c r="B459" s="20">
        <v>455</v>
      </c>
      <c r="C459" s="19">
        <v>43920</v>
      </c>
      <c r="D459" s="21" t="s">
        <v>9</v>
      </c>
      <c r="E459" s="21" t="s">
        <v>14</v>
      </c>
      <c r="F459" s="21" t="s">
        <v>11</v>
      </c>
      <c r="G459" s="22">
        <v>900</v>
      </c>
      <c r="H459" s="20">
        <v>1</v>
      </c>
      <c r="I459" s="32">
        <f>Town_Team[[#This Row],[Item quantity]]*Town_Team[[#This Row],[Selling price]]</f>
        <v>900</v>
      </c>
      <c r="J459" s="33">
        <f>IF(Town_Team[[#This Row],[Item name]]=" Jeans - Denim",Town_Team[[#This Row],[Item Amount]]*85%,Town_Team[[#This Row],[Item Amount]])</f>
        <v>900</v>
      </c>
      <c r="K459" s="39" t="str">
        <f>TEXT(Town_Team[[#This Row],[Date ]],"dddd")</f>
        <v>Monday</v>
      </c>
    </row>
    <row r="460" spans="2:11" hidden="1" x14ac:dyDescent="0.3">
      <c r="B460" s="20">
        <v>456</v>
      </c>
      <c r="C460" s="19">
        <v>43921</v>
      </c>
      <c r="D460" s="21" t="s">
        <v>9</v>
      </c>
      <c r="E460" s="21" t="s">
        <v>10</v>
      </c>
      <c r="F460" s="21" t="s">
        <v>11</v>
      </c>
      <c r="G460" s="22">
        <v>1100</v>
      </c>
      <c r="H460" s="20">
        <v>1</v>
      </c>
      <c r="I460" s="32">
        <f>Town_Team[[#This Row],[Item quantity]]*Town_Team[[#This Row],[Selling price]]</f>
        <v>1100</v>
      </c>
      <c r="J460" s="33">
        <f>IF(Town_Team[[#This Row],[Item name]]=" Jeans - Denim",Town_Team[[#This Row],[Item Amount]]*85%,Town_Team[[#This Row],[Item Amount]])</f>
        <v>1100</v>
      </c>
      <c r="K460" s="39" t="str">
        <f>TEXT(Town_Team[[#This Row],[Date ]],"dddd")</f>
        <v>Tuesday</v>
      </c>
    </row>
    <row r="461" spans="2:11" hidden="1" x14ac:dyDescent="0.3">
      <c r="B461" s="20">
        <v>457</v>
      </c>
      <c r="C461" s="19">
        <v>43922</v>
      </c>
      <c r="D461" s="21" t="s">
        <v>9</v>
      </c>
      <c r="E461" s="21" t="s">
        <v>24</v>
      </c>
      <c r="F461" s="21" t="s">
        <v>23</v>
      </c>
      <c r="G461" s="22">
        <v>600</v>
      </c>
      <c r="H461" s="20">
        <v>1</v>
      </c>
      <c r="I461" s="32">
        <f>Town_Team[[#This Row],[Item quantity]]*Town_Team[[#This Row],[Selling price]]</f>
        <v>600</v>
      </c>
      <c r="J461" s="33">
        <f>IF(Town_Team[[#This Row],[Item name]]=" Jeans - Denim",Town_Team[[#This Row],[Item Amount]]*85%,Town_Team[[#This Row],[Item Amount]])</f>
        <v>600</v>
      </c>
      <c r="K461" s="39" t="str">
        <f>TEXT(Town_Team[[#This Row],[Date ]],"dddd")</f>
        <v>Wednesday</v>
      </c>
    </row>
    <row r="462" spans="2:11" hidden="1" x14ac:dyDescent="0.3">
      <c r="B462" s="20">
        <v>458</v>
      </c>
      <c r="C462" s="19">
        <v>43923</v>
      </c>
      <c r="D462" s="21" t="s">
        <v>9</v>
      </c>
      <c r="E462" s="21" t="s">
        <v>10</v>
      </c>
      <c r="F462" s="21" t="s">
        <v>11</v>
      </c>
      <c r="G462" s="22">
        <v>1100</v>
      </c>
      <c r="H462" s="20">
        <v>1</v>
      </c>
      <c r="I462" s="32">
        <f>Town_Team[[#This Row],[Item quantity]]*Town_Team[[#This Row],[Selling price]]</f>
        <v>1100</v>
      </c>
      <c r="J462" s="33">
        <f>IF(Town_Team[[#This Row],[Item name]]=" Jeans - Denim",Town_Team[[#This Row],[Item Amount]]*85%,Town_Team[[#This Row],[Item Amount]])</f>
        <v>1100</v>
      </c>
      <c r="K462" s="39" t="str">
        <f>TEXT(Town_Team[[#This Row],[Date ]],"dddd")</f>
        <v>Thursday</v>
      </c>
    </row>
    <row r="463" spans="2:11" hidden="1" x14ac:dyDescent="0.3">
      <c r="B463" s="20">
        <v>459</v>
      </c>
      <c r="C463" s="19">
        <v>43924</v>
      </c>
      <c r="D463" s="21" t="s">
        <v>9</v>
      </c>
      <c r="E463" s="21" t="s">
        <v>16</v>
      </c>
      <c r="F463" s="21" t="s">
        <v>17</v>
      </c>
      <c r="G463" s="22">
        <v>800</v>
      </c>
      <c r="H463" s="20">
        <v>1</v>
      </c>
      <c r="I463" s="32">
        <f>Town_Team[[#This Row],[Item quantity]]*Town_Team[[#This Row],[Selling price]]</f>
        <v>800</v>
      </c>
      <c r="J463" s="33">
        <f>IF(Town_Team[[#This Row],[Item name]]=" Jeans - Denim",Town_Team[[#This Row],[Item Amount]]*85%,Town_Team[[#This Row],[Item Amount]])</f>
        <v>800</v>
      </c>
      <c r="K463" s="39" t="str">
        <f>TEXT(Town_Team[[#This Row],[Date ]],"dddd")</f>
        <v>Friday</v>
      </c>
    </row>
    <row r="464" spans="2:11" hidden="1" x14ac:dyDescent="0.3">
      <c r="B464" s="20">
        <v>460</v>
      </c>
      <c r="C464" s="19">
        <v>43925</v>
      </c>
      <c r="D464" s="21" t="s">
        <v>9</v>
      </c>
      <c r="E464" s="21" t="s">
        <v>14</v>
      </c>
      <c r="F464" s="21" t="s">
        <v>11</v>
      </c>
      <c r="G464" s="22">
        <v>900</v>
      </c>
      <c r="H464" s="20">
        <v>1</v>
      </c>
      <c r="I464" s="32">
        <f>Town_Team[[#This Row],[Item quantity]]*Town_Team[[#This Row],[Selling price]]</f>
        <v>900</v>
      </c>
      <c r="J464" s="33">
        <f>IF(Town_Team[[#This Row],[Item name]]=" Jeans - Denim",Town_Team[[#This Row],[Item Amount]]*85%,Town_Team[[#This Row],[Item Amount]])</f>
        <v>900</v>
      </c>
      <c r="K464" s="39" t="str">
        <f>TEXT(Town_Team[[#This Row],[Date ]],"dddd")</f>
        <v>Saturday</v>
      </c>
    </row>
    <row r="465" spans="2:11" hidden="1" x14ac:dyDescent="0.3">
      <c r="B465" s="20">
        <v>461</v>
      </c>
      <c r="C465" s="19">
        <v>43926</v>
      </c>
      <c r="D465" s="21" t="s">
        <v>9</v>
      </c>
      <c r="E465" s="21" t="s">
        <v>10</v>
      </c>
      <c r="F465" s="21" t="s">
        <v>11</v>
      </c>
      <c r="G465" s="22">
        <v>1100</v>
      </c>
      <c r="H465" s="20">
        <v>1</v>
      </c>
      <c r="I465" s="32">
        <f>Town_Team[[#This Row],[Item quantity]]*Town_Team[[#This Row],[Selling price]]</f>
        <v>1100</v>
      </c>
      <c r="J465" s="33">
        <f>IF(Town_Team[[#This Row],[Item name]]=" Jeans - Denim",Town_Team[[#This Row],[Item Amount]]*85%,Town_Team[[#This Row],[Item Amount]])</f>
        <v>1100</v>
      </c>
      <c r="K465" s="39" t="str">
        <f>TEXT(Town_Team[[#This Row],[Date ]],"dddd")</f>
        <v>Sunday</v>
      </c>
    </row>
    <row r="466" spans="2:11" hidden="1" x14ac:dyDescent="0.3">
      <c r="B466" s="20">
        <v>462</v>
      </c>
      <c r="C466" s="19">
        <v>43927</v>
      </c>
      <c r="D466" s="21" t="s">
        <v>9</v>
      </c>
      <c r="E466" s="21" t="s">
        <v>14</v>
      </c>
      <c r="F466" s="21" t="s">
        <v>11</v>
      </c>
      <c r="G466" s="22">
        <v>900</v>
      </c>
      <c r="H466" s="20">
        <v>1</v>
      </c>
      <c r="I466" s="32">
        <f>Town_Team[[#This Row],[Item quantity]]*Town_Team[[#This Row],[Selling price]]</f>
        <v>900</v>
      </c>
      <c r="J466" s="33">
        <f>IF(Town_Team[[#This Row],[Item name]]=" Jeans - Denim",Town_Team[[#This Row],[Item Amount]]*85%,Town_Team[[#This Row],[Item Amount]])</f>
        <v>900</v>
      </c>
      <c r="K466" s="39" t="str">
        <f>TEXT(Town_Team[[#This Row],[Date ]],"dddd")</f>
        <v>Monday</v>
      </c>
    </row>
    <row r="467" spans="2:11" hidden="1" x14ac:dyDescent="0.3">
      <c r="B467" s="20">
        <v>463</v>
      </c>
      <c r="C467" s="19">
        <v>43928</v>
      </c>
      <c r="D467" s="21" t="s">
        <v>9</v>
      </c>
      <c r="E467" s="21" t="s">
        <v>18</v>
      </c>
      <c r="F467" s="21" t="s">
        <v>17</v>
      </c>
      <c r="G467" s="22">
        <v>600</v>
      </c>
      <c r="H467" s="20">
        <v>1</v>
      </c>
      <c r="I467" s="32">
        <f>Town_Team[[#This Row],[Item quantity]]*Town_Team[[#This Row],[Selling price]]</f>
        <v>600</v>
      </c>
      <c r="J467" s="33">
        <f>IF(Town_Team[[#This Row],[Item name]]=" Jeans - Denim",Town_Team[[#This Row],[Item Amount]]*85%,Town_Team[[#This Row],[Item Amount]])</f>
        <v>600</v>
      </c>
      <c r="K467" s="39" t="str">
        <f>TEXT(Town_Team[[#This Row],[Date ]],"dddd")</f>
        <v>Tuesday</v>
      </c>
    </row>
    <row r="468" spans="2:11" hidden="1" x14ac:dyDescent="0.3">
      <c r="B468" s="20">
        <v>464</v>
      </c>
      <c r="C468" s="19">
        <v>43929</v>
      </c>
      <c r="D468" s="21" t="s">
        <v>9</v>
      </c>
      <c r="E468" s="21" t="s">
        <v>10</v>
      </c>
      <c r="F468" s="21" t="s">
        <v>11</v>
      </c>
      <c r="G468" s="22">
        <v>1100</v>
      </c>
      <c r="H468" s="20">
        <v>1</v>
      </c>
      <c r="I468" s="32">
        <f>Town_Team[[#This Row],[Item quantity]]*Town_Team[[#This Row],[Selling price]]</f>
        <v>1100</v>
      </c>
      <c r="J468" s="33">
        <f>IF(Town_Team[[#This Row],[Item name]]=" Jeans - Denim",Town_Team[[#This Row],[Item Amount]]*85%,Town_Team[[#This Row],[Item Amount]])</f>
        <v>1100</v>
      </c>
      <c r="K468" s="39" t="str">
        <f>TEXT(Town_Team[[#This Row],[Date ]],"dddd")</f>
        <v>Wednesday</v>
      </c>
    </row>
    <row r="469" spans="2:11" hidden="1" x14ac:dyDescent="0.3">
      <c r="B469" s="20">
        <v>465</v>
      </c>
      <c r="C469" s="19">
        <v>43930</v>
      </c>
      <c r="D469" s="21" t="s">
        <v>9</v>
      </c>
      <c r="E469" s="21" t="s">
        <v>10</v>
      </c>
      <c r="F469" s="21" t="s">
        <v>11</v>
      </c>
      <c r="G469" s="22">
        <v>1100</v>
      </c>
      <c r="H469" s="20">
        <v>2</v>
      </c>
      <c r="I469" s="32">
        <f>Town_Team[[#This Row],[Item quantity]]*Town_Team[[#This Row],[Selling price]]</f>
        <v>2200</v>
      </c>
      <c r="J469" s="33">
        <f>IF(Town_Team[[#This Row],[Item name]]=" Jeans - Denim",Town_Team[[#This Row],[Item Amount]]*85%,Town_Team[[#This Row],[Item Amount]])</f>
        <v>2200</v>
      </c>
      <c r="K469" s="39" t="str">
        <f>TEXT(Town_Team[[#This Row],[Date ]],"dddd")</f>
        <v>Thursday</v>
      </c>
    </row>
    <row r="470" spans="2:11" hidden="1" x14ac:dyDescent="0.3">
      <c r="B470" s="20">
        <v>466</v>
      </c>
      <c r="C470" s="19">
        <v>43931</v>
      </c>
      <c r="D470" s="21" t="s">
        <v>9</v>
      </c>
      <c r="E470" s="21" t="s">
        <v>10</v>
      </c>
      <c r="F470" s="21" t="s">
        <v>11</v>
      </c>
      <c r="G470" s="22">
        <v>1100</v>
      </c>
      <c r="H470" s="20">
        <v>1</v>
      </c>
      <c r="I470" s="32">
        <f>Town_Team[[#This Row],[Item quantity]]*Town_Team[[#This Row],[Selling price]]</f>
        <v>1100</v>
      </c>
      <c r="J470" s="33">
        <f>IF(Town_Team[[#This Row],[Item name]]=" Jeans - Denim",Town_Team[[#This Row],[Item Amount]]*85%,Town_Team[[#This Row],[Item Amount]])</f>
        <v>1100</v>
      </c>
      <c r="K470" s="39" t="str">
        <f>TEXT(Town_Team[[#This Row],[Date ]],"dddd")</f>
        <v>Friday</v>
      </c>
    </row>
    <row r="471" spans="2:11" hidden="1" x14ac:dyDescent="0.3">
      <c r="B471" s="20">
        <v>467</v>
      </c>
      <c r="C471" s="19">
        <v>43932</v>
      </c>
      <c r="D471" s="21" t="s">
        <v>9</v>
      </c>
      <c r="E471" s="21" t="s">
        <v>10</v>
      </c>
      <c r="F471" s="21" t="s">
        <v>11</v>
      </c>
      <c r="G471" s="22">
        <v>1100</v>
      </c>
      <c r="H471" s="20">
        <v>1</v>
      </c>
      <c r="I471" s="32">
        <f>Town_Team[[#This Row],[Item quantity]]*Town_Team[[#This Row],[Selling price]]</f>
        <v>1100</v>
      </c>
      <c r="J471" s="33">
        <f>IF(Town_Team[[#This Row],[Item name]]=" Jeans - Denim",Town_Team[[#This Row],[Item Amount]]*85%,Town_Team[[#This Row],[Item Amount]])</f>
        <v>1100</v>
      </c>
      <c r="K471" s="39" t="str">
        <f>TEXT(Town_Team[[#This Row],[Date ]],"dddd")</f>
        <v>Saturday</v>
      </c>
    </row>
    <row r="472" spans="2:11" hidden="1" x14ac:dyDescent="0.3">
      <c r="B472" s="20">
        <v>468</v>
      </c>
      <c r="C472" s="19">
        <v>43933</v>
      </c>
      <c r="D472" s="21" t="s">
        <v>9</v>
      </c>
      <c r="E472" s="21" t="s">
        <v>10</v>
      </c>
      <c r="F472" s="21" t="s">
        <v>11</v>
      </c>
      <c r="G472" s="22">
        <v>1100</v>
      </c>
      <c r="H472" s="20">
        <v>1</v>
      </c>
      <c r="I472" s="32">
        <f>Town_Team[[#This Row],[Item quantity]]*Town_Team[[#This Row],[Selling price]]</f>
        <v>1100</v>
      </c>
      <c r="J472" s="33">
        <f>IF(Town_Team[[#This Row],[Item name]]=" Jeans - Denim",Town_Team[[#This Row],[Item Amount]]*85%,Town_Team[[#This Row],[Item Amount]])</f>
        <v>1100</v>
      </c>
      <c r="K472" s="39" t="str">
        <f>TEXT(Town_Team[[#This Row],[Date ]],"dddd")</f>
        <v>Sunday</v>
      </c>
    </row>
    <row r="473" spans="2:11" hidden="1" x14ac:dyDescent="0.3">
      <c r="B473" s="20">
        <v>469</v>
      </c>
      <c r="C473" s="19">
        <v>43934</v>
      </c>
      <c r="D473" s="21" t="s">
        <v>9</v>
      </c>
      <c r="E473" s="21" t="s">
        <v>18</v>
      </c>
      <c r="F473" s="21" t="s">
        <v>17</v>
      </c>
      <c r="G473" s="22">
        <v>600</v>
      </c>
      <c r="H473" s="20">
        <v>1</v>
      </c>
      <c r="I473" s="32">
        <f>Town_Team[[#This Row],[Item quantity]]*Town_Team[[#This Row],[Selling price]]</f>
        <v>600</v>
      </c>
      <c r="J473" s="33">
        <f>IF(Town_Team[[#This Row],[Item name]]=" Jeans - Denim",Town_Team[[#This Row],[Item Amount]]*85%,Town_Team[[#This Row],[Item Amount]])</f>
        <v>600</v>
      </c>
      <c r="K473" s="39" t="str">
        <f>TEXT(Town_Team[[#This Row],[Date ]],"dddd")</f>
        <v>Monday</v>
      </c>
    </row>
    <row r="474" spans="2:11" hidden="1" x14ac:dyDescent="0.3">
      <c r="B474" s="20">
        <v>470</v>
      </c>
      <c r="C474" s="19">
        <v>43935</v>
      </c>
      <c r="D474" s="21" t="s">
        <v>9</v>
      </c>
      <c r="E474" s="21" t="s">
        <v>10</v>
      </c>
      <c r="F474" s="21" t="s">
        <v>11</v>
      </c>
      <c r="G474" s="22">
        <v>1100</v>
      </c>
      <c r="H474" s="20">
        <v>1</v>
      </c>
      <c r="I474" s="32">
        <f>Town_Team[[#This Row],[Item quantity]]*Town_Team[[#This Row],[Selling price]]</f>
        <v>1100</v>
      </c>
      <c r="J474" s="33">
        <f>IF(Town_Team[[#This Row],[Item name]]=" Jeans - Denim",Town_Team[[#This Row],[Item Amount]]*85%,Town_Team[[#This Row],[Item Amount]])</f>
        <v>1100</v>
      </c>
      <c r="K474" s="39" t="str">
        <f>TEXT(Town_Team[[#This Row],[Date ]],"dddd")</f>
        <v>Tuesday</v>
      </c>
    </row>
    <row r="475" spans="2:11" hidden="1" x14ac:dyDescent="0.3">
      <c r="B475" s="20">
        <v>471</v>
      </c>
      <c r="C475" s="19">
        <v>43936</v>
      </c>
      <c r="D475" s="21" t="s">
        <v>9</v>
      </c>
      <c r="E475" s="21" t="s">
        <v>18</v>
      </c>
      <c r="F475" s="21" t="s">
        <v>17</v>
      </c>
      <c r="G475" s="22">
        <v>600</v>
      </c>
      <c r="H475" s="20">
        <v>1</v>
      </c>
      <c r="I475" s="32">
        <f>Town_Team[[#This Row],[Item quantity]]*Town_Team[[#This Row],[Selling price]]</f>
        <v>600</v>
      </c>
      <c r="J475" s="33">
        <f>IF(Town_Team[[#This Row],[Item name]]=" Jeans - Denim",Town_Team[[#This Row],[Item Amount]]*85%,Town_Team[[#This Row],[Item Amount]])</f>
        <v>600</v>
      </c>
      <c r="K475" s="39" t="str">
        <f>TEXT(Town_Team[[#This Row],[Date ]],"dddd")</f>
        <v>Wednesday</v>
      </c>
    </row>
    <row r="476" spans="2:11" hidden="1" x14ac:dyDescent="0.3">
      <c r="B476" s="20">
        <v>472</v>
      </c>
      <c r="C476" s="19">
        <v>43937</v>
      </c>
      <c r="D476" s="21" t="s">
        <v>9</v>
      </c>
      <c r="E476" s="21" t="s">
        <v>14</v>
      </c>
      <c r="F476" s="21" t="s">
        <v>11</v>
      </c>
      <c r="G476" s="22">
        <v>900</v>
      </c>
      <c r="H476" s="20">
        <v>1</v>
      </c>
      <c r="I476" s="32">
        <f>Town_Team[[#This Row],[Item quantity]]*Town_Team[[#This Row],[Selling price]]</f>
        <v>900</v>
      </c>
      <c r="J476" s="33">
        <f>IF(Town_Team[[#This Row],[Item name]]=" Jeans - Denim",Town_Team[[#This Row],[Item Amount]]*85%,Town_Team[[#This Row],[Item Amount]])</f>
        <v>900</v>
      </c>
      <c r="K476" s="39" t="str">
        <f>TEXT(Town_Team[[#This Row],[Date ]],"dddd")</f>
        <v>Thursday</v>
      </c>
    </row>
    <row r="477" spans="2:11" hidden="1" x14ac:dyDescent="0.3">
      <c r="B477" s="20">
        <v>473</v>
      </c>
      <c r="C477" s="19">
        <v>43938</v>
      </c>
      <c r="D477" s="21" t="s">
        <v>9</v>
      </c>
      <c r="E477" s="21" t="s">
        <v>10</v>
      </c>
      <c r="F477" s="21" t="s">
        <v>11</v>
      </c>
      <c r="G477" s="22">
        <v>1100</v>
      </c>
      <c r="H477" s="20">
        <v>1</v>
      </c>
      <c r="I477" s="32">
        <f>Town_Team[[#This Row],[Item quantity]]*Town_Team[[#This Row],[Selling price]]</f>
        <v>1100</v>
      </c>
      <c r="J477" s="33">
        <f>IF(Town_Team[[#This Row],[Item name]]=" Jeans - Denim",Town_Team[[#This Row],[Item Amount]]*85%,Town_Team[[#This Row],[Item Amount]])</f>
        <v>1100</v>
      </c>
      <c r="K477" s="39" t="str">
        <f>TEXT(Town_Team[[#This Row],[Date ]],"dddd")</f>
        <v>Friday</v>
      </c>
    </row>
    <row r="478" spans="2:11" hidden="1" x14ac:dyDescent="0.3">
      <c r="B478" s="20">
        <v>474</v>
      </c>
      <c r="C478" s="19">
        <v>43939</v>
      </c>
      <c r="D478" s="21" t="s">
        <v>9</v>
      </c>
      <c r="E478" s="21" t="s">
        <v>18</v>
      </c>
      <c r="F478" s="21" t="s">
        <v>17</v>
      </c>
      <c r="G478" s="22">
        <v>600</v>
      </c>
      <c r="H478" s="20">
        <v>1</v>
      </c>
      <c r="I478" s="32">
        <f>Town_Team[[#This Row],[Item quantity]]*Town_Team[[#This Row],[Selling price]]</f>
        <v>600</v>
      </c>
      <c r="J478" s="33">
        <f>IF(Town_Team[[#This Row],[Item name]]=" Jeans - Denim",Town_Team[[#This Row],[Item Amount]]*85%,Town_Team[[#This Row],[Item Amount]])</f>
        <v>600</v>
      </c>
      <c r="K478" s="39" t="str">
        <f>TEXT(Town_Team[[#This Row],[Date ]],"dddd")</f>
        <v>Saturday</v>
      </c>
    </row>
    <row r="479" spans="2:11" hidden="1" x14ac:dyDescent="0.3">
      <c r="B479" s="20">
        <v>475</v>
      </c>
      <c r="C479" s="19">
        <v>43940</v>
      </c>
      <c r="D479" s="21" t="s">
        <v>9</v>
      </c>
      <c r="E479" s="21" t="s">
        <v>18</v>
      </c>
      <c r="F479" s="21" t="s">
        <v>17</v>
      </c>
      <c r="G479" s="22">
        <v>600</v>
      </c>
      <c r="H479" s="20">
        <v>1</v>
      </c>
      <c r="I479" s="32">
        <f>Town_Team[[#This Row],[Item quantity]]*Town_Team[[#This Row],[Selling price]]</f>
        <v>600</v>
      </c>
      <c r="J479" s="33">
        <f>IF(Town_Team[[#This Row],[Item name]]=" Jeans - Denim",Town_Team[[#This Row],[Item Amount]]*85%,Town_Team[[#This Row],[Item Amount]])</f>
        <v>600</v>
      </c>
      <c r="K479" s="39" t="str">
        <f>TEXT(Town_Team[[#This Row],[Date ]],"dddd")</f>
        <v>Sunday</v>
      </c>
    </row>
    <row r="480" spans="2:11" hidden="1" x14ac:dyDescent="0.3">
      <c r="B480" s="20">
        <v>476</v>
      </c>
      <c r="C480" s="19">
        <v>43941</v>
      </c>
      <c r="D480" s="21" t="s">
        <v>9</v>
      </c>
      <c r="E480" s="21" t="s">
        <v>19</v>
      </c>
      <c r="F480" s="21" t="s">
        <v>20</v>
      </c>
      <c r="G480" s="22">
        <v>850</v>
      </c>
      <c r="H480" s="20">
        <v>1</v>
      </c>
      <c r="I480" s="32">
        <f>Town_Team[[#This Row],[Item quantity]]*Town_Team[[#This Row],[Selling price]]</f>
        <v>850</v>
      </c>
      <c r="J480" s="33">
        <f>IF(Town_Team[[#This Row],[Item name]]=" Jeans - Denim",Town_Team[[#This Row],[Item Amount]]*85%,Town_Team[[#This Row],[Item Amount]])</f>
        <v>850</v>
      </c>
      <c r="K480" s="39" t="str">
        <f>TEXT(Town_Team[[#This Row],[Date ]],"dddd")</f>
        <v>Monday</v>
      </c>
    </row>
    <row r="481" spans="2:11" hidden="1" x14ac:dyDescent="0.3">
      <c r="B481" s="20">
        <v>477</v>
      </c>
      <c r="C481" s="19">
        <v>43942</v>
      </c>
      <c r="D481" s="21" t="s">
        <v>9</v>
      </c>
      <c r="E481" s="21" t="s">
        <v>18</v>
      </c>
      <c r="F481" s="21" t="s">
        <v>17</v>
      </c>
      <c r="G481" s="22">
        <v>600</v>
      </c>
      <c r="H481" s="20">
        <v>1</v>
      </c>
      <c r="I481" s="32">
        <f>Town_Team[[#This Row],[Item quantity]]*Town_Team[[#This Row],[Selling price]]</f>
        <v>600</v>
      </c>
      <c r="J481" s="33">
        <f>IF(Town_Team[[#This Row],[Item name]]=" Jeans - Denim",Town_Team[[#This Row],[Item Amount]]*85%,Town_Team[[#This Row],[Item Amount]])</f>
        <v>600</v>
      </c>
      <c r="K481" s="39" t="str">
        <f>TEXT(Town_Team[[#This Row],[Date ]],"dddd")</f>
        <v>Tuesday</v>
      </c>
    </row>
    <row r="482" spans="2:11" hidden="1" x14ac:dyDescent="0.3">
      <c r="B482" s="20">
        <v>478</v>
      </c>
      <c r="C482" s="19">
        <v>43943</v>
      </c>
      <c r="D482" s="21" t="s">
        <v>9</v>
      </c>
      <c r="E482" s="21" t="s">
        <v>10</v>
      </c>
      <c r="F482" s="21" t="s">
        <v>11</v>
      </c>
      <c r="G482" s="22">
        <v>1100</v>
      </c>
      <c r="H482" s="20">
        <v>1</v>
      </c>
      <c r="I482" s="32">
        <f>Town_Team[[#This Row],[Item quantity]]*Town_Team[[#This Row],[Selling price]]</f>
        <v>1100</v>
      </c>
      <c r="J482" s="33">
        <f>IF(Town_Team[[#This Row],[Item name]]=" Jeans - Denim",Town_Team[[#This Row],[Item Amount]]*85%,Town_Team[[#This Row],[Item Amount]])</f>
        <v>1100</v>
      </c>
      <c r="K482" s="39" t="str">
        <f>TEXT(Town_Team[[#This Row],[Date ]],"dddd")</f>
        <v>Wednesday</v>
      </c>
    </row>
    <row r="483" spans="2:11" hidden="1" x14ac:dyDescent="0.3">
      <c r="B483" s="20">
        <v>479</v>
      </c>
      <c r="C483" s="19">
        <v>43944</v>
      </c>
      <c r="D483" s="21" t="s">
        <v>9</v>
      </c>
      <c r="E483" s="21" t="s">
        <v>24</v>
      </c>
      <c r="F483" s="21" t="s">
        <v>23</v>
      </c>
      <c r="G483" s="22">
        <v>300</v>
      </c>
      <c r="H483" s="20">
        <v>1</v>
      </c>
      <c r="I483" s="32">
        <f>Town_Team[[#This Row],[Item quantity]]*Town_Team[[#This Row],[Selling price]]</f>
        <v>300</v>
      </c>
      <c r="J483" s="33">
        <f>IF(Town_Team[[#This Row],[Item name]]=" Jeans - Denim",Town_Team[[#This Row],[Item Amount]]*85%,Town_Team[[#This Row],[Item Amount]])</f>
        <v>300</v>
      </c>
      <c r="K483" s="39" t="str">
        <f>TEXT(Town_Team[[#This Row],[Date ]],"dddd")</f>
        <v>Thursday</v>
      </c>
    </row>
    <row r="484" spans="2:11" hidden="1" x14ac:dyDescent="0.3">
      <c r="B484" s="20">
        <v>480</v>
      </c>
      <c r="C484" s="19">
        <v>43945</v>
      </c>
      <c r="D484" s="21" t="s">
        <v>9</v>
      </c>
      <c r="E484" s="21" t="s">
        <v>24</v>
      </c>
      <c r="F484" s="21" t="s">
        <v>23</v>
      </c>
      <c r="G484" s="22">
        <v>300</v>
      </c>
      <c r="H484" s="20">
        <v>1</v>
      </c>
      <c r="I484" s="32">
        <f>Town_Team[[#This Row],[Item quantity]]*Town_Team[[#This Row],[Selling price]]</f>
        <v>300</v>
      </c>
      <c r="J484" s="33">
        <f>IF(Town_Team[[#This Row],[Item name]]=" Jeans - Denim",Town_Team[[#This Row],[Item Amount]]*85%,Town_Team[[#This Row],[Item Amount]])</f>
        <v>300</v>
      </c>
      <c r="K484" s="39" t="str">
        <f>TEXT(Town_Team[[#This Row],[Date ]],"dddd")</f>
        <v>Friday</v>
      </c>
    </row>
    <row r="485" spans="2:11" hidden="1" x14ac:dyDescent="0.3">
      <c r="B485" s="20">
        <v>481</v>
      </c>
      <c r="C485" s="19">
        <v>43946</v>
      </c>
      <c r="D485" s="21" t="s">
        <v>9</v>
      </c>
      <c r="E485" s="21" t="s">
        <v>18</v>
      </c>
      <c r="F485" s="21" t="s">
        <v>17</v>
      </c>
      <c r="G485" s="22">
        <v>600</v>
      </c>
      <c r="H485" s="20">
        <v>1</v>
      </c>
      <c r="I485" s="32">
        <f>Town_Team[[#This Row],[Item quantity]]*Town_Team[[#This Row],[Selling price]]</f>
        <v>600</v>
      </c>
      <c r="J485" s="33">
        <f>IF(Town_Team[[#This Row],[Item name]]=" Jeans - Denim",Town_Team[[#This Row],[Item Amount]]*85%,Town_Team[[#This Row],[Item Amount]])</f>
        <v>600</v>
      </c>
      <c r="K485" s="39" t="str">
        <f>TEXT(Town_Team[[#This Row],[Date ]],"dddd")</f>
        <v>Saturday</v>
      </c>
    </row>
    <row r="486" spans="2:11" hidden="1" x14ac:dyDescent="0.3">
      <c r="B486" s="20">
        <v>482</v>
      </c>
      <c r="C486" s="19">
        <v>43947</v>
      </c>
      <c r="D486" s="21" t="s">
        <v>9</v>
      </c>
      <c r="E486" s="21" t="s">
        <v>22</v>
      </c>
      <c r="F486" s="21" t="s">
        <v>23</v>
      </c>
      <c r="G486" s="22">
        <v>800</v>
      </c>
      <c r="H486" s="20">
        <v>1</v>
      </c>
      <c r="I486" s="32">
        <f>Town_Team[[#This Row],[Item quantity]]*Town_Team[[#This Row],[Selling price]]</f>
        <v>800</v>
      </c>
      <c r="J486" s="33">
        <f>IF(Town_Team[[#This Row],[Item name]]=" Jeans - Denim",Town_Team[[#This Row],[Item Amount]]*85%,Town_Team[[#This Row],[Item Amount]])</f>
        <v>800</v>
      </c>
      <c r="K486" s="39" t="str">
        <f>TEXT(Town_Team[[#This Row],[Date ]],"dddd")</f>
        <v>Sunday</v>
      </c>
    </row>
    <row r="487" spans="2:11" hidden="1" x14ac:dyDescent="0.3">
      <c r="B487" s="20">
        <v>483</v>
      </c>
      <c r="C487" s="19">
        <v>43948</v>
      </c>
      <c r="D487" s="21" t="s">
        <v>9</v>
      </c>
      <c r="E487" s="21" t="s">
        <v>18</v>
      </c>
      <c r="F487" s="21" t="s">
        <v>17</v>
      </c>
      <c r="G487" s="22">
        <v>600</v>
      </c>
      <c r="H487" s="20">
        <v>1</v>
      </c>
      <c r="I487" s="32">
        <f>Town_Team[[#This Row],[Item quantity]]*Town_Team[[#This Row],[Selling price]]</f>
        <v>600</v>
      </c>
      <c r="J487" s="33">
        <f>IF(Town_Team[[#This Row],[Item name]]=" Jeans - Denim",Town_Team[[#This Row],[Item Amount]]*85%,Town_Team[[#This Row],[Item Amount]])</f>
        <v>600</v>
      </c>
      <c r="K487" s="39" t="str">
        <f>TEXT(Town_Team[[#This Row],[Date ]],"dddd")</f>
        <v>Monday</v>
      </c>
    </row>
    <row r="488" spans="2:11" hidden="1" x14ac:dyDescent="0.3">
      <c r="B488" s="20">
        <v>484</v>
      </c>
      <c r="C488" s="19">
        <v>43949</v>
      </c>
      <c r="D488" s="21" t="s">
        <v>9</v>
      </c>
      <c r="E488" s="21" t="s">
        <v>22</v>
      </c>
      <c r="F488" s="21" t="s">
        <v>23</v>
      </c>
      <c r="G488" s="22">
        <v>500</v>
      </c>
      <c r="H488" s="20">
        <v>1</v>
      </c>
      <c r="I488" s="32">
        <f>Town_Team[[#This Row],[Item quantity]]*Town_Team[[#This Row],[Selling price]]</f>
        <v>500</v>
      </c>
      <c r="J488" s="33">
        <f>IF(Town_Team[[#This Row],[Item name]]=" Jeans - Denim",Town_Team[[#This Row],[Item Amount]]*85%,Town_Team[[#This Row],[Item Amount]])</f>
        <v>500</v>
      </c>
      <c r="K488" s="39" t="str">
        <f>TEXT(Town_Team[[#This Row],[Date ]],"dddd")</f>
        <v>Tuesday</v>
      </c>
    </row>
    <row r="489" spans="2:11" hidden="1" x14ac:dyDescent="0.3">
      <c r="B489" s="20">
        <v>485</v>
      </c>
      <c r="C489" s="19">
        <v>43950</v>
      </c>
      <c r="D489" s="21" t="s">
        <v>9</v>
      </c>
      <c r="E489" s="21" t="s">
        <v>10</v>
      </c>
      <c r="F489" s="21" t="s">
        <v>11</v>
      </c>
      <c r="G489" s="22">
        <v>1100</v>
      </c>
      <c r="H489" s="20">
        <v>1</v>
      </c>
      <c r="I489" s="32">
        <f>Town_Team[[#This Row],[Item quantity]]*Town_Team[[#This Row],[Selling price]]</f>
        <v>1100</v>
      </c>
      <c r="J489" s="33">
        <f>IF(Town_Team[[#This Row],[Item name]]=" Jeans - Denim",Town_Team[[#This Row],[Item Amount]]*85%,Town_Team[[#This Row],[Item Amount]])</f>
        <v>1100</v>
      </c>
      <c r="K489" s="39" t="str">
        <f>TEXT(Town_Team[[#This Row],[Date ]],"dddd")</f>
        <v>Wednesday</v>
      </c>
    </row>
    <row r="490" spans="2:11" hidden="1" x14ac:dyDescent="0.3">
      <c r="B490" s="20">
        <v>486</v>
      </c>
      <c r="C490" s="19">
        <v>43951</v>
      </c>
      <c r="D490" s="21" t="s">
        <v>9</v>
      </c>
      <c r="E490" s="21" t="s">
        <v>18</v>
      </c>
      <c r="F490" s="21" t="s">
        <v>17</v>
      </c>
      <c r="G490" s="22">
        <v>600</v>
      </c>
      <c r="H490" s="20">
        <v>1</v>
      </c>
      <c r="I490" s="32">
        <f>Town_Team[[#This Row],[Item quantity]]*Town_Team[[#This Row],[Selling price]]</f>
        <v>600</v>
      </c>
      <c r="J490" s="33">
        <f>IF(Town_Team[[#This Row],[Item name]]=" Jeans - Denim",Town_Team[[#This Row],[Item Amount]]*85%,Town_Team[[#This Row],[Item Amount]])</f>
        <v>600</v>
      </c>
      <c r="K490" s="39" t="str">
        <f>TEXT(Town_Team[[#This Row],[Date ]],"dddd")</f>
        <v>Thursday</v>
      </c>
    </row>
    <row r="491" spans="2:11" hidden="1" x14ac:dyDescent="0.3">
      <c r="B491" s="20">
        <v>487</v>
      </c>
      <c r="C491" s="19">
        <v>43952</v>
      </c>
      <c r="D491" s="21" t="s">
        <v>9</v>
      </c>
      <c r="E491" s="21" t="s">
        <v>12</v>
      </c>
      <c r="F491" s="21" t="s">
        <v>11</v>
      </c>
      <c r="G491" s="22">
        <v>900</v>
      </c>
      <c r="H491" s="20">
        <v>1</v>
      </c>
      <c r="I491" s="32">
        <f>Town_Team[[#This Row],[Item quantity]]*Town_Team[[#This Row],[Selling price]]</f>
        <v>900</v>
      </c>
      <c r="J491" s="33">
        <f>IF(Town_Team[[#This Row],[Item name]]=" Jeans - Denim",Town_Team[[#This Row],[Item Amount]]*85%,Town_Team[[#This Row],[Item Amount]])</f>
        <v>765</v>
      </c>
      <c r="K491" s="39" t="str">
        <f>TEXT(Town_Team[[#This Row],[Date ]],"dddd")</f>
        <v>Friday</v>
      </c>
    </row>
    <row r="492" spans="2:11" hidden="1" x14ac:dyDescent="0.3">
      <c r="B492" s="20">
        <v>488</v>
      </c>
      <c r="C492" s="19">
        <v>43953</v>
      </c>
      <c r="D492" s="21" t="s">
        <v>9</v>
      </c>
      <c r="E492" s="21" t="s">
        <v>10</v>
      </c>
      <c r="F492" s="21" t="s">
        <v>11</v>
      </c>
      <c r="G492" s="22">
        <v>1100</v>
      </c>
      <c r="H492" s="20">
        <v>1</v>
      </c>
      <c r="I492" s="32">
        <f>Town_Team[[#This Row],[Item quantity]]*Town_Team[[#This Row],[Selling price]]</f>
        <v>1100</v>
      </c>
      <c r="J492" s="33">
        <f>IF(Town_Team[[#This Row],[Item name]]=" Jeans - Denim",Town_Team[[#This Row],[Item Amount]]*85%,Town_Team[[#This Row],[Item Amount]])</f>
        <v>1100</v>
      </c>
      <c r="K492" s="39" t="str">
        <f>TEXT(Town_Team[[#This Row],[Date ]],"dddd")</f>
        <v>Saturday</v>
      </c>
    </row>
    <row r="493" spans="2:11" hidden="1" x14ac:dyDescent="0.3">
      <c r="B493" s="20">
        <v>489</v>
      </c>
      <c r="C493" s="19">
        <v>43954</v>
      </c>
      <c r="D493" s="21" t="s">
        <v>9</v>
      </c>
      <c r="E493" s="21" t="s">
        <v>21</v>
      </c>
      <c r="F493" s="21" t="s">
        <v>20</v>
      </c>
      <c r="G493" s="22">
        <v>1200</v>
      </c>
      <c r="H493" s="20">
        <v>1</v>
      </c>
      <c r="I493" s="32">
        <f>Town_Team[[#This Row],[Item quantity]]*Town_Team[[#This Row],[Selling price]]</f>
        <v>1200</v>
      </c>
      <c r="J493" s="33">
        <f>IF(Town_Team[[#This Row],[Item name]]=" Jeans - Denim",Town_Team[[#This Row],[Item Amount]]*85%,Town_Team[[#This Row],[Item Amount]])</f>
        <v>1200</v>
      </c>
      <c r="K493" s="39" t="str">
        <f>TEXT(Town_Team[[#This Row],[Date ]],"dddd")</f>
        <v>Sunday</v>
      </c>
    </row>
    <row r="494" spans="2:11" hidden="1" x14ac:dyDescent="0.3">
      <c r="B494" s="20">
        <v>490</v>
      </c>
      <c r="C494" s="19">
        <v>43955</v>
      </c>
      <c r="D494" s="21" t="s">
        <v>9</v>
      </c>
      <c r="E494" s="21" t="s">
        <v>10</v>
      </c>
      <c r="F494" s="21" t="s">
        <v>11</v>
      </c>
      <c r="G494" s="22">
        <v>1100</v>
      </c>
      <c r="H494" s="20">
        <v>1</v>
      </c>
      <c r="I494" s="32">
        <f>Town_Team[[#This Row],[Item quantity]]*Town_Team[[#This Row],[Selling price]]</f>
        <v>1100</v>
      </c>
      <c r="J494" s="33">
        <f>IF(Town_Team[[#This Row],[Item name]]=" Jeans - Denim",Town_Team[[#This Row],[Item Amount]]*85%,Town_Team[[#This Row],[Item Amount]])</f>
        <v>1100</v>
      </c>
      <c r="K494" s="39" t="str">
        <f>TEXT(Town_Team[[#This Row],[Date ]],"dddd")</f>
        <v>Monday</v>
      </c>
    </row>
    <row r="495" spans="2:11" hidden="1" x14ac:dyDescent="0.3">
      <c r="B495" s="20">
        <v>491</v>
      </c>
      <c r="C495" s="19">
        <v>43956</v>
      </c>
      <c r="D495" s="21" t="s">
        <v>9</v>
      </c>
      <c r="E495" s="21" t="s">
        <v>12</v>
      </c>
      <c r="F495" s="21" t="s">
        <v>11</v>
      </c>
      <c r="G495" s="22">
        <v>900</v>
      </c>
      <c r="H495" s="20">
        <v>1</v>
      </c>
      <c r="I495" s="32">
        <f>Town_Team[[#This Row],[Item quantity]]*Town_Team[[#This Row],[Selling price]]</f>
        <v>900</v>
      </c>
      <c r="J495" s="33">
        <f>IF(Town_Team[[#This Row],[Item name]]=" Jeans - Denim",Town_Team[[#This Row],[Item Amount]]*85%,Town_Team[[#This Row],[Item Amount]])</f>
        <v>765</v>
      </c>
      <c r="K495" s="39" t="str">
        <f>TEXT(Town_Team[[#This Row],[Date ]],"dddd")</f>
        <v>Tuesday</v>
      </c>
    </row>
    <row r="496" spans="2:11" hidden="1" x14ac:dyDescent="0.3">
      <c r="B496" s="20">
        <v>492</v>
      </c>
      <c r="C496" s="19">
        <v>43957</v>
      </c>
      <c r="D496" s="21" t="s">
        <v>9</v>
      </c>
      <c r="E496" s="21" t="s">
        <v>22</v>
      </c>
      <c r="F496" s="21" t="s">
        <v>23</v>
      </c>
      <c r="G496" s="22">
        <v>900</v>
      </c>
      <c r="H496" s="20">
        <v>1</v>
      </c>
      <c r="I496" s="32">
        <f>Town_Team[[#This Row],[Item quantity]]*Town_Team[[#This Row],[Selling price]]</f>
        <v>900</v>
      </c>
      <c r="J496" s="33">
        <f>IF(Town_Team[[#This Row],[Item name]]=" Jeans - Denim",Town_Team[[#This Row],[Item Amount]]*85%,Town_Team[[#This Row],[Item Amount]])</f>
        <v>900</v>
      </c>
      <c r="K496" s="39" t="str">
        <f>TEXT(Town_Team[[#This Row],[Date ]],"dddd")</f>
        <v>Wednesday</v>
      </c>
    </row>
    <row r="497" spans="2:11" hidden="1" x14ac:dyDescent="0.3">
      <c r="B497" s="20">
        <v>493</v>
      </c>
      <c r="C497" s="19">
        <v>43958</v>
      </c>
      <c r="D497" s="21" t="s">
        <v>9</v>
      </c>
      <c r="E497" s="21" t="s">
        <v>24</v>
      </c>
      <c r="F497" s="21" t="s">
        <v>23</v>
      </c>
      <c r="G497" s="22">
        <v>600</v>
      </c>
      <c r="H497" s="20">
        <v>1</v>
      </c>
      <c r="I497" s="32">
        <f>Town_Team[[#This Row],[Item quantity]]*Town_Team[[#This Row],[Selling price]]</f>
        <v>600</v>
      </c>
      <c r="J497" s="33">
        <f>IF(Town_Team[[#This Row],[Item name]]=" Jeans - Denim",Town_Team[[#This Row],[Item Amount]]*85%,Town_Team[[#This Row],[Item Amount]])</f>
        <v>600</v>
      </c>
      <c r="K497" s="39" t="str">
        <f>TEXT(Town_Team[[#This Row],[Date ]],"dddd")</f>
        <v>Thursday</v>
      </c>
    </row>
    <row r="498" spans="2:11" hidden="1" x14ac:dyDescent="0.3">
      <c r="B498" s="20">
        <v>494</v>
      </c>
      <c r="C498" s="19">
        <v>43959</v>
      </c>
      <c r="D498" s="21" t="s">
        <v>9</v>
      </c>
      <c r="E498" s="21" t="s">
        <v>10</v>
      </c>
      <c r="F498" s="21" t="s">
        <v>11</v>
      </c>
      <c r="G498" s="22">
        <v>1100</v>
      </c>
      <c r="H498" s="20">
        <v>1</v>
      </c>
      <c r="I498" s="32">
        <f>Town_Team[[#This Row],[Item quantity]]*Town_Team[[#This Row],[Selling price]]</f>
        <v>1100</v>
      </c>
      <c r="J498" s="33">
        <f>IF(Town_Team[[#This Row],[Item name]]=" Jeans - Denim",Town_Team[[#This Row],[Item Amount]]*85%,Town_Team[[#This Row],[Item Amount]])</f>
        <v>1100</v>
      </c>
      <c r="K498" s="39" t="str">
        <f>TEXT(Town_Team[[#This Row],[Date ]],"dddd")</f>
        <v>Friday</v>
      </c>
    </row>
    <row r="499" spans="2:11" hidden="1" x14ac:dyDescent="0.3">
      <c r="B499" s="20">
        <v>495</v>
      </c>
      <c r="C499" s="19">
        <v>43960</v>
      </c>
      <c r="D499" s="21" t="s">
        <v>9</v>
      </c>
      <c r="E499" s="21" t="s">
        <v>10</v>
      </c>
      <c r="F499" s="21" t="s">
        <v>11</v>
      </c>
      <c r="G499" s="22">
        <v>1100</v>
      </c>
      <c r="H499" s="20">
        <v>1</v>
      </c>
      <c r="I499" s="32">
        <f>Town_Team[[#This Row],[Item quantity]]*Town_Team[[#This Row],[Selling price]]</f>
        <v>1100</v>
      </c>
      <c r="J499" s="33">
        <f>IF(Town_Team[[#This Row],[Item name]]=" Jeans - Denim",Town_Team[[#This Row],[Item Amount]]*85%,Town_Team[[#This Row],[Item Amount]])</f>
        <v>1100</v>
      </c>
      <c r="K499" s="39" t="str">
        <f>TEXT(Town_Team[[#This Row],[Date ]],"dddd")</f>
        <v>Saturday</v>
      </c>
    </row>
    <row r="500" spans="2:11" hidden="1" x14ac:dyDescent="0.3">
      <c r="B500" s="20">
        <v>496</v>
      </c>
      <c r="C500" s="19">
        <v>43961</v>
      </c>
      <c r="D500" s="21" t="s">
        <v>9</v>
      </c>
      <c r="E500" s="21" t="s">
        <v>22</v>
      </c>
      <c r="F500" s="21" t="s">
        <v>23</v>
      </c>
      <c r="G500" s="22">
        <v>500</v>
      </c>
      <c r="H500" s="20">
        <v>1</v>
      </c>
      <c r="I500" s="32">
        <f>Town_Team[[#This Row],[Item quantity]]*Town_Team[[#This Row],[Selling price]]</f>
        <v>500</v>
      </c>
      <c r="J500" s="33">
        <f>IF(Town_Team[[#This Row],[Item name]]=" Jeans - Denim",Town_Team[[#This Row],[Item Amount]]*85%,Town_Team[[#This Row],[Item Amount]])</f>
        <v>500</v>
      </c>
      <c r="K500" s="39" t="str">
        <f>TEXT(Town_Team[[#This Row],[Date ]],"dddd")</f>
        <v>Sunday</v>
      </c>
    </row>
    <row r="501" spans="2:11" hidden="1" x14ac:dyDescent="0.3">
      <c r="B501" s="20">
        <v>497</v>
      </c>
      <c r="C501" s="19">
        <v>43962</v>
      </c>
      <c r="D501" s="21" t="s">
        <v>9</v>
      </c>
      <c r="E501" s="21" t="s">
        <v>19</v>
      </c>
      <c r="F501" s="21" t="s">
        <v>20</v>
      </c>
      <c r="G501" s="22">
        <v>850</v>
      </c>
      <c r="H501" s="20">
        <v>1</v>
      </c>
      <c r="I501" s="32">
        <f>Town_Team[[#This Row],[Item quantity]]*Town_Team[[#This Row],[Selling price]]</f>
        <v>850</v>
      </c>
      <c r="J501" s="33">
        <f>IF(Town_Team[[#This Row],[Item name]]=" Jeans - Denim",Town_Team[[#This Row],[Item Amount]]*85%,Town_Team[[#This Row],[Item Amount]])</f>
        <v>850</v>
      </c>
      <c r="K501" s="39" t="str">
        <f>TEXT(Town_Team[[#This Row],[Date ]],"dddd")</f>
        <v>Monday</v>
      </c>
    </row>
    <row r="502" spans="2:11" hidden="1" x14ac:dyDescent="0.3">
      <c r="B502" s="20">
        <v>498</v>
      </c>
      <c r="C502" s="19">
        <v>43963</v>
      </c>
      <c r="D502" s="21" t="s">
        <v>9</v>
      </c>
      <c r="E502" s="21" t="s">
        <v>10</v>
      </c>
      <c r="F502" s="21" t="s">
        <v>11</v>
      </c>
      <c r="G502" s="22">
        <v>1100</v>
      </c>
      <c r="H502" s="20">
        <v>1</v>
      </c>
      <c r="I502" s="32">
        <f>Town_Team[[#This Row],[Item quantity]]*Town_Team[[#This Row],[Selling price]]</f>
        <v>1100</v>
      </c>
      <c r="J502" s="33">
        <f>IF(Town_Team[[#This Row],[Item name]]=" Jeans - Denim",Town_Team[[#This Row],[Item Amount]]*85%,Town_Team[[#This Row],[Item Amount]])</f>
        <v>1100</v>
      </c>
      <c r="K502" s="39" t="str">
        <f>TEXT(Town_Team[[#This Row],[Date ]],"dddd")</f>
        <v>Tuesday</v>
      </c>
    </row>
    <row r="503" spans="2:11" hidden="1" x14ac:dyDescent="0.3">
      <c r="B503" s="20">
        <v>499</v>
      </c>
      <c r="C503" s="19">
        <v>43964</v>
      </c>
      <c r="D503" s="21" t="s">
        <v>9</v>
      </c>
      <c r="E503" s="21" t="s">
        <v>24</v>
      </c>
      <c r="F503" s="21" t="s">
        <v>23</v>
      </c>
      <c r="G503" s="22">
        <v>300</v>
      </c>
      <c r="H503" s="20">
        <v>1</v>
      </c>
      <c r="I503" s="32">
        <f>Town_Team[[#This Row],[Item quantity]]*Town_Team[[#This Row],[Selling price]]</f>
        <v>300</v>
      </c>
      <c r="J503" s="33">
        <f>IF(Town_Team[[#This Row],[Item name]]=" Jeans - Denim",Town_Team[[#This Row],[Item Amount]]*85%,Town_Team[[#This Row],[Item Amount]])</f>
        <v>300</v>
      </c>
      <c r="K503" s="39" t="str">
        <f>TEXT(Town_Team[[#This Row],[Date ]],"dddd")</f>
        <v>Wednesday</v>
      </c>
    </row>
    <row r="504" spans="2:11" hidden="1" x14ac:dyDescent="0.3">
      <c r="B504" s="20">
        <v>500</v>
      </c>
      <c r="C504" s="19">
        <v>43965</v>
      </c>
      <c r="D504" s="21" t="s">
        <v>9</v>
      </c>
      <c r="E504" s="21" t="s">
        <v>16</v>
      </c>
      <c r="F504" s="21" t="s">
        <v>17</v>
      </c>
      <c r="G504" s="22">
        <v>800</v>
      </c>
      <c r="H504" s="20">
        <v>1</v>
      </c>
      <c r="I504" s="32">
        <f>Town_Team[[#This Row],[Item quantity]]*Town_Team[[#This Row],[Selling price]]</f>
        <v>800</v>
      </c>
      <c r="J504" s="33">
        <f>IF(Town_Team[[#This Row],[Item name]]=" Jeans - Denim",Town_Team[[#This Row],[Item Amount]]*85%,Town_Team[[#This Row],[Item Amount]])</f>
        <v>800</v>
      </c>
      <c r="K504" s="39" t="str">
        <f>TEXT(Town_Team[[#This Row],[Date ]],"dddd")</f>
        <v>Thursday</v>
      </c>
    </row>
    <row r="505" spans="2:11" hidden="1" x14ac:dyDescent="0.3">
      <c r="B505" s="20">
        <v>501</v>
      </c>
      <c r="C505" s="19">
        <v>43966</v>
      </c>
      <c r="D505" s="21" t="s">
        <v>9</v>
      </c>
      <c r="E505" s="21" t="s">
        <v>12</v>
      </c>
      <c r="F505" s="21" t="s">
        <v>11</v>
      </c>
      <c r="G505" s="22">
        <v>900</v>
      </c>
      <c r="H505" s="20">
        <v>1</v>
      </c>
      <c r="I505" s="32">
        <f>Town_Team[[#This Row],[Item quantity]]*Town_Team[[#This Row],[Selling price]]</f>
        <v>900</v>
      </c>
      <c r="J505" s="33">
        <f>IF(Town_Team[[#This Row],[Item name]]=" Jeans - Denim",Town_Team[[#This Row],[Item Amount]]*85%,Town_Team[[#This Row],[Item Amount]])</f>
        <v>765</v>
      </c>
      <c r="K505" s="39" t="str">
        <f>TEXT(Town_Team[[#This Row],[Date ]],"dddd")</f>
        <v>Friday</v>
      </c>
    </row>
    <row r="506" spans="2:11" hidden="1" x14ac:dyDescent="0.3">
      <c r="B506" s="20">
        <v>502</v>
      </c>
      <c r="C506" s="19">
        <v>43967</v>
      </c>
      <c r="D506" s="21" t="s">
        <v>9</v>
      </c>
      <c r="E506" s="21" t="s">
        <v>10</v>
      </c>
      <c r="F506" s="21" t="s">
        <v>11</v>
      </c>
      <c r="G506" s="22">
        <v>1100</v>
      </c>
      <c r="H506" s="20">
        <v>1</v>
      </c>
      <c r="I506" s="32">
        <f>Town_Team[[#This Row],[Item quantity]]*Town_Team[[#This Row],[Selling price]]</f>
        <v>1100</v>
      </c>
      <c r="J506" s="33">
        <f>IF(Town_Team[[#This Row],[Item name]]=" Jeans - Denim",Town_Team[[#This Row],[Item Amount]]*85%,Town_Team[[#This Row],[Item Amount]])</f>
        <v>1100</v>
      </c>
      <c r="K506" s="39" t="str">
        <f>TEXT(Town_Team[[#This Row],[Date ]],"dddd")</f>
        <v>Saturday</v>
      </c>
    </row>
    <row r="507" spans="2:11" hidden="1" x14ac:dyDescent="0.3">
      <c r="B507" s="20">
        <v>503</v>
      </c>
      <c r="C507" s="19">
        <v>43968</v>
      </c>
      <c r="D507" s="21" t="s">
        <v>9</v>
      </c>
      <c r="E507" s="21" t="s">
        <v>22</v>
      </c>
      <c r="F507" s="21" t="s">
        <v>23</v>
      </c>
      <c r="G507" s="22">
        <v>500</v>
      </c>
      <c r="H507" s="20">
        <v>1</v>
      </c>
      <c r="I507" s="32">
        <f>Town_Team[[#This Row],[Item quantity]]*Town_Team[[#This Row],[Selling price]]</f>
        <v>500</v>
      </c>
      <c r="J507" s="33">
        <f>IF(Town_Team[[#This Row],[Item name]]=" Jeans - Denim",Town_Team[[#This Row],[Item Amount]]*85%,Town_Team[[#This Row],[Item Amount]])</f>
        <v>500</v>
      </c>
      <c r="K507" s="39" t="str">
        <f>TEXT(Town_Team[[#This Row],[Date ]],"dddd")</f>
        <v>Sunday</v>
      </c>
    </row>
    <row r="508" spans="2:11" hidden="1" x14ac:dyDescent="0.3">
      <c r="B508" s="20">
        <v>504</v>
      </c>
      <c r="C508" s="19">
        <v>43969</v>
      </c>
      <c r="D508" s="21" t="s">
        <v>9</v>
      </c>
      <c r="E508" s="21" t="s">
        <v>18</v>
      </c>
      <c r="F508" s="21" t="s">
        <v>17</v>
      </c>
      <c r="G508" s="22">
        <v>600</v>
      </c>
      <c r="H508" s="20">
        <v>1</v>
      </c>
      <c r="I508" s="32">
        <f>Town_Team[[#This Row],[Item quantity]]*Town_Team[[#This Row],[Selling price]]</f>
        <v>600</v>
      </c>
      <c r="J508" s="33">
        <f>IF(Town_Team[[#This Row],[Item name]]=" Jeans - Denim",Town_Team[[#This Row],[Item Amount]]*85%,Town_Team[[#This Row],[Item Amount]])</f>
        <v>600</v>
      </c>
      <c r="K508" s="39" t="str">
        <f>TEXT(Town_Team[[#This Row],[Date ]],"dddd")</f>
        <v>Monday</v>
      </c>
    </row>
    <row r="509" spans="2:11" hidden="1" x14ac:dyDescent="0.3">
      <c r="B509" s="20">
        <v>505</v>
      </c>
      <c r="C509" s="19">
        <v>43970</v>
      </c>
      <c r="D509" s="21" t="s">
        <v>9</v>
      </c>
      <c r="E509" s="21" t="s">
        <v>14</v>
      </c>
      <c r="F509" s="21" t="s">
        <v>11</v>
      </c>
      <c r="G509" s="22">
        <v>900</v>
      </c>
      <c r="H509" s="20">
        <v>1</v>
      </c>
      <c r="I509" s="32">
        <f>Town_Team[[#This Row],[Item quantity]]*Town_Team[[#This Row],[Selling price]]</f>
        <v>900</v>
      </c>
      <c r="J509" s="33">
        <f>IF(Town_Team[[#This Row],[Item name]]=" Jeans - Denim",Town_Team[[#This Row],[Item Amount]]*85%,Town_Team[[#This Row],[Item Amount]])</f>
        <v>900</v>
      </c>
      <c r="K509" s="39" t="str">
        <f>TEXT(Town_Team[[#This Row],[Date ]],"dddd")</f>
        <v>Tuesday</v>
      </c>
    </row>
    <row r="510" spans="2:11" hidden="1" x14ac:dyDescent="0.3">
      <c r="B510" s="20">
        <v>506</v>
      </c>
      <c r="C510" s="19">
        <v>43971</v>
      </c>
      <c r="D510" s="21" t="s">
        <v>9</v>
      </c>
      <c r="E510" s="21" t="s">
        <v>24</v>
      </c>
      <c r="F510" s="21" t="s">
        <v>23</v>
      </c>
      <c r="G510" s="22">
        <v>600</v>
      </c>
      <c r="H510" s="20">
        <v>1</v>
      </c>
      <c r="I510" s="32">
        <f>Town_Team[[#This Row],[Item quantity]]*Town_Team[[#This Row],[Selling price]]</f>
        <v>600</v>
      </c>
      <c r="J510" s="33">
        <f>IF(Town_Team[[#This Row],[Item name]]=" Jeans - Denim",Town_Team[[#This Row],[Item Amount]]*85%,Town_Team[[#This Row],[Item Amount]])</f>
        <v>600</v>
      </c>
      <c r="K510" s="39" t="str">
        <f>TEXT(Town_Team[[#This Row],[Date ]],"dddd")</f>
        <v>Wednesday</v>
      </c>
    </row>
    <row r="511" spans="2:11" hidden="1" x14ac:dyDescent="0.3">
      <c r="B511" s="20">
        <v>507</v>
      </c>
      <c r="C511" s="19">
        <v>43972</v>
      </c>
      <c r="D511" s="21" t="s">
        <v>9</v>
      </c>
      <c r="E511" s="21" t="s">
        <v>18</v>
      </c>
      <c r="F511" s="21" t="s">
        <v>17</v>
      </c>
      <c r="G511" s="22">
        <v>600</v>
      </c>
      <c r="H511" s="20">
        <v>1</v>
      </c>
      <c r="I511" s="32">
        <f>Town_Team[[#This Row],[Item quantity]]*Town_Team[[#This Row],[Selling price]]</f>
        <v>600</v>
      </c>
      <c r="J511" s="33">
        <f>IF(Town_Team[[#This Row],[Item name]]=" Jeans - Denim",Town_Team[[#This Row],[Item Amount]]*85%,Town_Team[[#This Row],[Item Amount]])</f>
        <v>600</v>
      </c>
      <c r="K511" s="39" t="str">
        <f>TEXT(Town_Team[[#This Row],[Date ]],"dddd")</f>
        <v>Thursday</v>
      </c>
    </row>
    <row r="512" spans="2:11" hidden="1" x14ac:dyDescent="0.3">
      <c r="B512" s="20">
        <v>508</v>
      </c>
      <c r="C512" s="19">
        <v>43973</v>
      </c>
      <c r="D512" s="21" t="s">
        <v>9</v>
      </c>
      <c r="E512" s="21" t="s">
        <v>10</v>
      </c>
      <c r="F512" s="21" t="s">
        <v>11</v>
      </c>
      <c r="G512" s="22">
        <v>1100</v>
      </c>
      <c r="H512" s="20">
        <v>1</v>
      </c>
      <c r="I512" s="32">
        <f>Town_Team[[#This Row],[Item quantity]]*Town_Team[[#This Row],[Selling price]]</f>
        <v>1100</v>
      </c>
      <c r="J512" s="33">
        <f>IF(Town_Team[[#This Row],[Item name]]=" Jeans - Denim",Town_Team[[#This Row],[Item Amount]]*85%,Town_Team[[#This Row],[Item Amount]])</f>
        <v>1100</v>
      </c>
      <c r="K512" s="39" t="str">
        <f>TEXT(Town_Team[[#This Row],[Date ]],"dddd")</f>
        <v>Friday</v>
      </c>
    </row>
    <row r="513" spans="2:11" hidden="1" x14ac:dyDescent="0.3">
      <c r="B513" s="20">
        <v>509</v>
      </c>
      <c r="C513" s="19">
        <v>43974</v>
      </c>
      <c r="D513" s="21" t="s">
        <v>9</v>
      </c>
      <c r="E513" s="21" t="s">
        <v>10</v>
      </c>
      <c r="F513" s="21" t="s">
        <v>11</v>
      </c>
      <c r="G513" s="22">
        <v>1100</v>
      </c>
      <c r="H513" s="20">
        <v>2</v>
      </c>
      <c r="I513" s="32">
        <f>Town_Team[[#This Row],[Item quantity]]*Town_Team[[#This Row],[Selling price]]</f>
        <v>2200</v>
      </c>
      <c r="J513" s="33">
        <f>IF(Town_Team[[#This Row],[Item name]]=" Jeans - Denim",Town_Team[[#This Row],[Item Amount]]*85%,Town_Team[[#This Row],[Item Amount]])</f>
        <v>2200</v>
      </c>
      <c r="K513" s="39" t="str">
        <f>TEXT(Town_Team[[#This Row],[Date ]],"dddd")</f>
        <v>Saturday</v>
      </c>
    </row>
    <row r="514" spans="2:11" hidden="1" x14ac:dyDescent="0.3">
      <c r="B514" s="20">
        <v>510</v>
      </c>
      <c r="C514" s="19">
        <v>43975</v>
      </c>
      <c r="D514" s="21" t="s">
        <v>9</v>
      </c>
      <c r="E514" s="21" t="s">
        <v>10</v>
      </c>
      <c r="F514" s="21" t="s">
        <v>11</v>
      </c>
      <c r="G514" s="22">
        <v>1100</v>
      </c>
      <c r="H514" s="20">
        <v>1</v>
      </c>
      <c r="I514" s="32">
        <f>Town_Team[[#This Row],[Item quantity]]*Town_Team[[#This Row],[Selling price]]</f>
        <v>1100</v>
      </c>
      <c r="J514" s="33">
        <f>IF(Town_Team[[#This Row],[Item name]]=" Jeans - Denim",Town_Team[[#This Row],[Item Amount]]*85%,Town_Team[[#This Row],[Item Amount]])</f>
        <v>1100</v>
      </c>
      <c r="K514" s="39" t="str">
        <f>TEXT(Town_Team[[#This Row],[Date ]],"dddd")</f>
        <v>Sunday</v>
      </c>
    </row>
    <row r="515" spans="2:11" hidden="1" x14ac:dyDescent="0.3">
      <c r="B515" s="20">
        <v>511</v>
      </c>
      <c r="C515" s="19">
        <v>43976</v>
      </c>
      <c r="D515" s="21" t="s">
        <v>9</v>
      </c>
      <c r="E515" s="21" t="s">
        <v>19</v>
      </c>
      <c r="F515" s="21" t="s">
        <v>20</v>
      </c>
      <c r="G515" s="22">
        <v>850</v>
      </c>
      <c r="H515" s="20">
        <v>1</v>
      </c>
      <c r="I515" s="32">
        <f>Town_Team[[#This Row],[Item quantity]]*Town_Team[[#This Row],[Selling price]]</f>
        <v>850</v>
      </c>
      <c r="J515" s="33">
        <f>IF(Town_Team[[#This Row],[Item name]]=" Jeans - Denim",Town_Team[[#This Row],[Item Amount]]*85%,Town_Team[[#This Row],[Item Amount]])</f>
        <v>850</v>
      </c>
      <c r="K515" s="39" t="str">
        <f>TEXT(Town_Team[[#This Row],[Date ]],"dddd")</f>
        <v>Monday</v>
      </c>
    </row>
    <row r="516" spans="2:11" hidden="1" x14ac:dyDescent="0.3">
      <c r="B516" s="20">
        <v>512</v>
      </c>
      <c r="C516" s="19">
        <v>43977</v>
      </c>
      <c r="D516" s="21" t="s">
        <v>9</v>
      </c>
      <c r="E516" s="21" t="s">
        <v>10</v>
      </c>
      <c r="F516" s="21" t="s">
        <v>11</v>
      </c>
      <c r="G516" s="22">
        <v>1100</v>
      </c>
      <c r="H516" s="20">
        <v>1</v>
      </c>
      <c r="I516" s="32">
        <f>Town_Team[[#This Row],[Item quantity]]*Town_Team[[#This Row],[Selling price]]</f>
        <v>1100</v>
      </c>
      <c r="J516" s="33">
        <f>IF(Town_Team[[#This Row],[Item name]]=" Jeans - Denim",Town_Team[[#This Row],[Item Amount]]*85%,Town_Team[[#This Row],[Item Amount]])</f>
        <v>1100</v>
      </c>
      <c r="K516" s="39" t="str">
        <f>TEXT(Town_Team[[#This Row],[Date ]],"dddd")</f>
        <v>Tuesday</v>
      </c>
    </row>
    <row r="517" spans="2:11" hidden="1" x14ac:dyDescent="0.3">
      <c r="B517" s="20">
        <v>513</v>
      </c>
      <c r="C517" s="19">
        <v>43978</v>
      </c>
      <c r="D517" s="21" t="s">
        <v>9</v>
      </c>
      <c r="E517" s="21" t="s">
        <v>12</v>
      </c>
      <c r="F517" s="21" t="s">
        <v>11</v>
      </c>
      <c r="G517" s="22">
        <v>900</v>
      </c>
      <c r="H517" s="20">
        <v>1</v>
      </c>
      <c r="I517" s="32">
        <f>Town_Team[[#This Row],[Item quantity]]*Town_Team[[#This Row],[Selling price]]</f>
        <v>900</v>
      </c>
      <c r="J517" s="33">
        <f>IF(Town_Team[[#This Row],[Item name]]=" Jeans - Denim",Town_Team[[#This Row],[Item Amount]]*85%,Town_Team[[#This Row],[Item Amount]])</f>
        <v>765</v>
      </c>
      <c r="K517" s="39" t="str">
        <f>TEXT(Town_Team[[#This Row],[Date ]],"dddd")</f>
        <v>Wednesday</v>
      </c>
    </row>
    <row r="518" spans="2:11" hidden="1" x14ac:dyDescent="0.3">
      <c r="B518" s="20">
        <v>514</v>
      </c>
      <c r="C518" s="19">
        <v>43979</v>
      </c>
      <c r="D518" s="21" t="s">
        <v>9</v>
      </c>
      <c r="E518" s="21" t="s">
        <v>14</v>
      </c>
      <c r="F518" s="21" t="s">
        <v>11</v>
      </c>
      <c r="G518" s="22">
        <v>900</v>
      </c>
      <c r="H518" s="20">
        <v>1</v>
      </c>
      <c r="I518" s="32">
        <f>Town_Team[[#This Row],[Item quantity]]*Town_Team[[#This Row],[Selling price]]</f>
        <v>900</v>
      </c>
      <c r="J518" s="33">
        <f>IF(Town_Team[[#This Row],[Item name]]=" Jeans - Denim",Town_Team[[#This Row],[Item Amount]]*85%,Town_Team[[#This Row],[Item Amount]])</f>
        <v>900</v>
      </c>
      <c r="K518" s="39" t="str">
        <f>TEXT(Town_Team[[#This Row],[Date ]],"dddd")</f>
        <v>Thursday</v>
      </c>
    </row>
    <row r="519" spans="2:11" hidden="1" x14ac:dyDescent="0.3">
      <c r="B519" s="20">
        <v>515</v>
      </c>
      <c r="C519" s="19">
        <v>43980</v>
      </c>
      <c r="D519" s="21" t="s">
        <v>9</v>
      </c>
      <c r="E519" s="21" t="s">
        <v>12</v>
      </c>
      <c r="F519" s="21" t="s">
        <v>11</v>
      </c>
      <c r="G519" s="22">
        <v>900</v>
      </c>
      <c r="H519" s="20">
        <v>1</v>
      </c>
      <c r="I519" s="32">
        <f>Town_Team[[#This Row],[Item quantity]]*Town_Team[[#This Row],[Selling price]]</f>
        <v>900</v>
      </c>
      <c r="J519" s="33">
        <f>IF(Town_Team[[#This Row],[Item name]]=" Jeans - Denim",Town_Team[[#This Row],[Item Amount]]*85%,Town_Team[[#This Row],[Item Amount]])</f>
        <v>765</v>
      </c>
      <c r="K519" s="39" t="str">
        <f>TEXT(Town_Team[[#This Row],[Date ]],"dddd")</f>
        <v>Friday</v>
      </c>
    </row>
    <row r="520" spans="2:11" hidden="1" x14ac:dyDescent="0.3">
      <c r="B520" s="20">
        <v>516</v>
      </c>
      <c r="C520" s="19">
        <v>43981</v>
      </c>
      <c r="D520" s="21" t="s">
        <v>9</v>
      </c>
      <c r="E520" s="21" t="s">
        <v>15</v>
      </c>
      <c r="F520" s="21" t="s">
        <v>11</v>
      </c>
      <c r="G520" s="22">
        <v>1000</v>
      </c>
      <c r="H520" s="20">
        <v>1</v>
      </c>
      <c r="I520" s="32">
        <f>Town_Team[[#This Row],[Item quantity]]*Town_Team[[#This Row],[Selling price]]</f>
        <v>1000</v>
      </c>
      <c r="J520" s="33">
        <f>IF(Town_Team[[#This Row],[Item name]]=" Jeans - Denim",Town_Team[[#This Row],[Item Amount]]*85%,Town_Team[[#This Row],[Item Amount]])</f>
        <v>1000</v>
      </c>
      <c r="K520" s="39" t="str">
        <f>TEXT(Town_Team[[#This Row],[Date ]],"dddd")</f>
        <v>Saturday</v>
      </c>
    </row>
    <row r="521" spans="2:11" hidden="1" x14ac:dyDescent="0.3">
      <c r="B521" s="20">
        <v>517</v>
      </c>
      <c r="C521" s="19">
        <v>43982</v>
      </c>
      <c r="D521" s="21" t="s">
        <v>9</v>
      </c>
      <c r="E521" s="21" t="s">
        <v>21</v>
      </c>
      <c r="F521" s="21" t="s">
        <v>20</v>
      </c>
      <c r="G521" s="22">
        <v>1200</v>
      </c>
      <c r="H521" s="20">
        <v>1</v>
      </c>
      <c r="I521" s="32">
        <f>Town_Team[[#This Row],[Item quantity]]*Town_Team[[#This Row],[Selling price]]</f>
        <v>1200</v>
      </c>
      <c r="J521" s="33">
        <f>IF(Town_Team[[#This Row],[Item name]]=" Jeans - Denim",Town_Team[[#This Row],[Item Amount]]*85%,Town_Team[[#This Row],[Item Amount]])</f>
        <v>1200</v>
      </c>
      <c r="K521" s="39" t="str">
        <f>TEXT(Town_Team[[#This Row],[Date ]],"dddd")</f>
        <v>Sunday</v>
      </c>
    </row>
    <row r="522" spans="2:11" hidden="1" x14ac:dyDescent="0.3">
      <c r="B522" s="20">
        <v>518</v>
      </c>
      <c r="C522" s="19">
        <v>43983</v>
      </c>
      <c r="D522" s="21" t="s">
        <v>9</v>
      </c>
      <c r="E522" s="21" t="s">
        <v>14</v>
      </c>
      <c r="F522" s="21" t="s">
        <v>11</v>
      </c>
      <c r="G522" s="22">
        <v>900</v>
      </c>
      <c r="H522" s="20">
        <v>1</v>
      </c>
      <c r="I522" s="32">
        <f>Town_Team[[#This Row],[Item quantity]]*Town_Team[[#This Row],[Selling price]]</f>
        <v>900</v>
      </c>
      <c r="J522" s="33">
        <f>IF(Town_Team[[#This Row],[Item name]]=" Jeans - Denim",Town_Team[[#This Row],[Item Amount]]*85%,Town_Team[[#This Row],[Item Amount]])</f>
        <v>900</v>
      </c>
      <c r="K522" s="39" t="str">
        <f>TEXT(Town_Team[[#This Row],[Date ]],"dddd")</f>
        <v>Monday</v>
      </c>
    </row>
    <row r="523" spans="2:11" hidden="1" x14ac:dyDescent="0.3">
      <c r="B523" s="20">
        <v>519</v>
      </c>
      <c r="C523" s="19">
        <v>43984</v>
      </c>
      <c r="D523" s="21" t="s">
        <v>9</v>
      </c>
      <c r="E523" s="21" t="s">
        <v>18</v>
      </c>
      <c r="F523" s="21" t="s">
        <v>17</v>
      </c>
      <c r="G523" s="22">
        <v>600</v>
      </c>
      <c r="H523" s="20">
        <v>1</v>
      </c>
      <c r="I523" s="32">
        <f>Town_Team[[#This Row],[Item quantity]]*Town_Team[[#This Row],[Selling price]]</f>
        <v>600</v>
      </c>
      <c r="J523" s="33">
        <f>IF(Town_Team[[#This Row],[Item name]]=" Jeans - Denim",Town_Team[[#This Row],[Item Amount]]*85%,Town_Team[[#This Row],[Item Amount]])</f>
        <v>600</v>
      </c>
      <c r="K523" s="39" t="str">
        <f>TEXT(Town_Team[[#This Row],[Date ]],"dddd")</f>
        <v>Tuesday</v>
      </c>
    </row>
    <row r="524" spans="2:11" hidden="1" x14ac:dyDescent="0.3">
      <c r="B524" s="20">
        <v>520</v>
      </c>
      <c r="C524" s="19">
        <v>43985</v>
      </c>
      <c r="D524" s="21" t="s">
        <v>9</v>
      </c>
      <c r="E524" s="21" t="s">
        <v>24</v>
      </c>
      <c r="F524" s="21" t="s">
        <v>23</v>
      </c>
      <c r="G524" s="22">
        <v>600</v>
      </c>
      <c r="H524" s="20">
        <v>1</v>
      </c>
      <c r="I524" s="32">
        <f>Town_Team[[#This Row],[Item quantity]]*Town_Team[[#This Row],[Selling price]]</f>
        <v>600</v>
      </c>
      <c r="J524" s="33">
        <f>IF(Town_Team[[#This Row],[Item name]]=" Jeans - Denim",Town_Team[[#This Row],[Item Amount]]*85%,Town_Team[[#This Row],[Item Amount]])</f>
        <v>600</v>
      </c>
      <c r="K524" s="39" t="str">
        <f>TEXT(Town_Team[[#This Row],[Date ]],"dddd")</f>
        <v>Wednesday</v>
      </c>
    </row>
    <row r="525" spans="2:11" hidden="1" x14ac:dyDescent="0.3">
      <c r="B525" s="20">
        <v>521</v>
      </c>
      <c r="C525" s="19">
        <v>43986</v>
      </c>
      <c r="D525" s="21" t="s">
        <v>9</v>
      </c>
      <c r="E525" s="21" t="s">
        <v>16</v>
      </c>
      <c r="F525" s="21" t="s">
        <v>17</v>
      </c>
      <c r="G525" s="22">
        <v>800</v>
      </c>
      <c r="H525" s="20">
        <v>1</v>
      </c>
      <c r="I525" s="32">
        <f>Town_Team[[#This Row],[Item quantity]]*Town_Team[[#This Row],[Selling price]]</f>
        <v>800</v>
      </c>
      <c r="J525" s="33">
        <f>IF(Town_Team[[#This Row],[Item name]]=" Jeans - Denim",Town_Team[[#This Row],[Item Amount]]*85%,Town_Team[[#This Row],[Item Amount]])</f>
        <v>800</v>
      </c>
      <c r="K525" s="39" t="str">
        <f>TEXT(Town_Team[[#This Row],[Date ]],"dddd")</f>
        <v>Thursday</v>
      </c>
    </row>
    <row r="526" spans="2:11" hidden="1" x14ac:dyDescent="0.3">
      <c r="B526" s="20">
        <v>522</v>
      </c>
      <c r="C526" s="19">
        <v>43987</v>
      </c>
      <c r="D526" s="21" t="s">
        <v>9</v>
      </c>
      <c r="E526" s="21" t="s">
        <v>24</v>
      </c>
      <c r="F526" s="21" t="s">
        <v>23</v>
      </c>
      <c r="G526" s="22">
        <v>600</v>
      </c>
      <c r="H526" s="20">
        <v>1</v>
      </c>
      <c r="I526" s="32">
        <f>Town_Team[[#This Row],[Item quantity]]*Town_Team[[#This Row],[Selling price]]</f>
        <v>600</v>
      </c>
      <c r="J526" s="33">
        <f>IF(Town_Team[[#This Row],[Item name]]=" Jeans - Denim",Town_Team[[#This Row],[Item Amount]]*85%,Town_Team[[#This Row],[Item Amount]])</f>
        <v>600</v>
      </c>
      <c r="K526" s="39" t="str">
        <f>TEXT(Town_Team[[#This Row],[Date ]],"dddd")</f>
        <v>Friday</v>
      </c>
    </row>
    <row r="527" spans="2:11" hidden="1" x14ac:dyDescent="0.3">
      <c r="B527" s="20">
        <v>523</v>
      </c>
      <c r="C527" s="19">
        <v>43988</v>
      </c>
      <c r="D527" s="21" t="s">
        <v>9</v>
      </c>
      <c r="E527" s="21" t="s">
        <v>10</v>
      </c>
      <c r="F527" s="21" t="s">
        <v>11</v>
      </c>
      <c r="G527" s="22">
        <v>1100</v>
      </c>
      <c r="H527" s="20">
        <v>1</v>
      </c>
      <c r="I527" s="32">
        <f>Town_Team[[#This Row],[Item quantity]]*Town_Team[[#This Row],[Selling price]]</f>
        <v>1100</v>
      </c>
      <c r="J527" s="33">
        <f>IF(Town_Team[[#This Row],[Item name]]=" Jeans - Denim",Town_Team[[#This Row],[Item Amount]]*85%,Town_Team[[#This Row],[Item Amount]])</f>
        <v>1100</v>
      </c>
      <c r="K527" s="39" t="str">
        <f>TEXT(Town_Team[[#This Row],[Date ]],"dddd")</f>
        <v>Saturday</v>
      </c>
    </row>
    <row r="528" spans="2:11" hidden="1" x14ac:dyDescent="0.3">
      <c r="B528" s="20">
        <v>524</v>
      </c>
      <c r="C528" s="19">
        <v>43989</v>
      </c>
      <c r="D528" s="21" t="s">
        <v>9</v>
      </c>
      <c r="E528" s="21" t="s">
        <v>10</v>
      </c>
      <c r="F528" s="21" t="s">
        <v>11</v>
      </c>
      <c r="G528" s="22">
        <v>1100</v>
      </c>
      <c r="H528" s="20">
        <v>1</v>
      </c>
      <c r="I528" s="32">
        <f>Town_Team[[#This Row],[Item quantity]]*Town_Team[[#This Row],[Selling price]]</f>
        <v>1100</v>
      </c>
      <c r="J528" s="33">
        <f>IF(Town_Team[[#This Row],[Item name]]=" Jeans - Denim",Town_Team[[#This Row],[Item Amount]]*85%,Town_Team[[#This Row],[Item Amount]])</f>
        <v>1100</v>
      </c>
      <c r="K528" s="39" t="str">
        <f>TEXT(Town_Team[[#This Row],[Date ]],"dddd")</f>
        <v>Sunday</v>
      </c>
    </row>
    <row r="529" spans="2:11" hidden="1" x14ac:dyDescent="0.3">
      <c r="B529" s="20">
        <v>525</v>
      </c>
      <c r="C529" s="19">
        <v>43990</v>
      </c>
      <c r="D529" s="21" t="s">
        <v>9</v>
      </c>
      <c r="E529" s="21" t="s">
        <v>19</v>
      </c>
      <c r="F529" s="21" t="s">
        <v>20</v>
      </c>
      <c r="G529" s="22">
        <v>850</v>
      </c>
      <c r="H529" s="20">
        <v>1</v>
      </c>
      <c r="I529" s="32">
        <f>Town_Team[[#This Row],[Item quantity]]*Town_Team[[#This Row],[Selling price]]</f>
        <v>850</v>
      </c>
      <c r="J529" s="33">
        <f>IF(Town_Team[[#This Row],[Item name]]=" Jeans - Denim",Town_Team[[#This Row],[Item Amount]]*85%,Town_Team[[#This Row],[Item Amount]])</f>
        <v>850</v>
      </c>
      <c r="K529" s="39" t="str">
        <f>TEXT(Town_Team[[#This Row],[Date ]],"dddd")</f>
        <v>Monday</v>
      </c>
    </row>
    <row r="530" spans="2:11" hidden="1" x14ac:dyDescent="0.3">
      <c r="B530" s="20">
        <v>526</v>
      </c>
      <c r="C530" s="19">
        <v>43991</v>
      </c>
      <c r="D530" s="21" t="s">
        <v>9</v>
      </c>
      <c r="E530" s="21" t="s">
        <v>10</v>
      </c>
      <c r="F530" s="21" t="s">
        <v>11</v>
      </c>
      <c r="G530" s="22">
        <v>1100</v>
      </c>
      <c r="H530" s="20">
        <v>1</v>
      </c>
      <c r="I530" s="32">
        <f>Town_Team[[#This Row],[Item quantity]]*Town_Team[[#This Row],[Selling price]]</f>
        <v>1100</v>
      </c>
      <c r="J530" s="33">
        <f>IF(Town_Team[[#This Row],[Item name]]=" Jeans - Denim",Town_Team[[#This Row],[Item Amount]]*85%,Town_Team[[#This Row],[Item Amount]])</f>
        <v>1100</v>
      </c>
      <c r="K530" s="39" t="str">
        <f>TEXT(Town_Team[[#This Row],[Date ]],"dddd")</f>
        <v>Tuesday</v>
      </c>
    </row>
    <row r="531" spans="2:11" hidden="1" x14ac:dyDescent="0.3">
      <c r="B531" s="20">
        <v>527</v>
      </c>
      <c r="C531" s="19">
        <v>43992</v>
      </c>
      <c r="D531" s="21" t="s">
        <v>9</v>
      </c>
      <c r="E531" s="21" t="s">
        <v>10</v>
      </c>
      <c r="F531" s="21" t="s">
        <v>11</v>
      </c>
      <c r="G531" s="22">
        <v>1100</v>
      </c>
      <c r="H531" s="20">
        <v>2</v>
      </c>
      <c r="I531" s="32">
        <f>Town_Team[[#This Row],[Item quantity]]*Town_Team[[#This Row],[Selling price]]</f>
        <v>2200</v>
      </c>
      <c r="J531" s="33">
        <f>IF(Town_Team[[#This Row],[Item name]]=" Jeans - Denim",Town_Team[[#This Row],[Item Amount]]*85%,Town_Team[[#This Row],[Item Amount]])</f>
        <v>2200</v>
      </c>
      <c r="K531" s="39" t="str">
        <f>TEXT(Town_Team[[#This Row],[Date ]],"dddd")</f>
        <v>Wednesday</v>
      </c>
    </row>
    <row r="532" spans="2:11" hidden="1" x14ac:dyDescent="0.3">
      <c r="B532" s="20">
        <v>528</v>
      </c>
      <c r="C532" s="19">
        <v>43993</v>
      </c>
      <c r="D532" s="21" t="s">
        <v>9</v>
      </c>
      <c r="E532" s="21" t="s">
        <v>24</v>
      </c>
      <c r="F532" s="21" t="s">
        <v>23</v>
      </c>
      <c r="G532" s="22">
        <v>300</v>
      </c>
      <c r="H532" s="20">
        <v>1</v>
      </c>
      <c r="I532" s="32">
        <f>Town_Team[[#This Row],[Item quantity]]*Town_Team[[#This Row],[Selling price]]</f>
        <v>300</v>
      </c>
      <c r="J532" s="33">
        <f>IF(Town_Team[[#This Row],[Item name]]=" Jeans - Denim",Town_Team[[#This Row],[Item Amount]]*85%,Town_Team[[#This Row],[Item Amount]])</f>
        <v>300</v>
      </c>
      <c r="K532" s="39" t="str">
        <f>TEXT(Town_Team[[#This Row],[Date ]],"dddd")</f>
        <v>Thursday</v>
      </c>
    </row>
    <row r="533" spans="2:11" hidden="1" x14ac:dyDescent="0.3">
      <c r="B533" s="20">
        <v>529</v>
      </c>
      <c r="C533" s="19">
        <v>43994</v>
      </c>
      <c r="D533" s="21" t="s">
        <v>9</v>
      </c>
      <c r="E533" s="21" t="s">
        <v>18</v>
      </c>
      <c r="F533" s="21" t="s">
        <v>17</v>
      </c>
      <c r="G533" s="22">
        <v>600</v>
      </c>
      <c r="H533" s="20">
        <v>1</v>
      </c>
      <c r="I533" s="32">
        <f>Town_Team[[#This Row],[Item quantity]]*Town_Team[[#This Row],[Selling price]]</f>
        <v>600</v>
      </c>
      <c r="J533" s="33">
        <f>IF(Town_Team[[#This Row],[Item name]]=" Jeans - Denim",Town_Team[[#This Row],[Item Amount]]*85%,Town_Team[[#This Row],[Item Amount]])</f>
        <v>600</v>
      </c>
      <c r="K533" s="39" t="str">
        <f>TEXT(Town_Team[[#This Row],[Date ]],"dddd")</f>
        <v>Friday</v>
      </c>
    </row>
    <row r="534" spans="2:11" hidden="1" x14ac:dyDescent="0.3">
      <c r="B534" s="20">
        <v>530</v>
      </c>
      <c r="C534" s="19">
        <v>43995</v>
      </c>
      <c r="D534" s="21" t="s">
        <v>9</v>
      </c>
      <c r="E534" s="21" t="s">
        <v>18</v>
      </c>
      <c r="F534" s="21" t="s">
        <v>17</v>
      </c>
      <c r="G534" s="22">
        <v>600</v>
      </c>
      <c r="H534" s="20">
        <v>1</v>
      </c>
      <c r="I534" s="32">
        <f>Town_Team[[#This Row],[Item quantity]]*Town_Team[[#This Row],[Selling price]]</f>
        <v>600</v>
      </c>
      <c r="J534" s="33">
        <f>IF(Town_Team[[#This Row],[Item name]]=" Jeans - Denim",Town_Team[[#This Row],[Item Amount]]*85%,Town_Team[[#This Row],[Item Amount]])</f>
        <v>600</v>
      </c>
      <c r="K534" s="39" t="str">
        <f>TEXT(Town_Team[[#This Row],[Date ]],"dddd")</f>
        <v>Saturday</v>
      </c>
    </row>
    <row r="535" spans="2:11" hidden="1" x14ac:dyDescent="0.3">
      <c r="B535" s="20">
        <v>531</v>
      </c>
      <c r="C535" s="19">
        <v>43996</v>
      </c>
      <c r="D535" s="21" t="s">
        <v>9</v>
      </c>
      <c r="E535" s="21" t="s">
        <v>10</v>
      </c>
      <c r="F535" s="21" t="s">
        <v>11</v>
      </c>
      <c r="G535" s="22">
        <v>1100</v>
      </c>
      <c r="H535" s="20">
        <v>1</v>
      </c>
      <c r="I535" s="32">
        <f>Town_Team[[#This Row],[Item quantity]]*Town_Team[[#This Row],[Selling price]]</f>
        <v>1100</v>
      </c>
      <c r="J535" s="33">
        <f>IF(Town_Team[[#This Row],[Item name]]=" Jeans - Denim",Town_Team[[#This Row],[Item Amount]]*85%,Town_Team[[#This Row],[Item Amount]])</f>
        <v>1100</v>
      </c>
      <c r="K535" s="39" t="str">
        <f>TEXT(Town_Team[[#This Row],[Date ]],"dddd")</f>
        <v>Sunday</v>
      </c>
    </row>
    <row r="536" spans="2:11" hidden="1" x14ac:dyDescent="0.3">
      <c r="B536" s="20">
        <v>532</v>
      </c>
      <c r="C536" s="19">
        <v>43997</v>
      </c>
      <c r="D536" s="21" t="s">
        <v>9</v>
      </c>
      <c r="E536" s="21" t="s">
        <v>14</v>
      </c>
      <c r="F536" s="21" t="s">
        <v>11</v>
      </c>
      <c r="G536" s="22">
        <v>900</v>
      </c>
      <c r="H536" s="20">
        <v>1</v>
      </c>
      <c r="I536" s="32">
        <f>Town_Team[[#This Row],[Item quantity]]*Town_Team[[#This Row],[Selling price]]</f>
        <v>900</v>
      </c>
      <c r="J536" s="33">
        <f>IF(Town_Team[[#This Row],[Item name]]=" Jeans - Denim",Town_Team[[#This Row],[Item Amount]]*85%,Town_Team[[#This Row],[Item Amount]])</f>
        <v>900</v>
      </c>
      <c r="K536" s="39" t="str">
        <f>TEXT(Town_Team[[#This Row],[Date ]],"dddd")</f>
        <v>Monday</v>
      </c>
    </row>
    <row r="537" spans="2:11" hidden="1" x14ac:dyDescent="0.3">
      <c r="B537" s="20">
        <v>533</v>
      </c>
      <c r="C537" s="19">
        <v>43998</v>
      </c>
      <c r="D537" s="21" t="s">
        <v>9</v>
      </c>
      <c r="E537" s="21" t="s">
        <v>12</v>
      </c>
      <c r="F537" s="21" t="s">
        <v>11</v>
      </c>
      <c r="G537" s="22">
        <v>900</v>
      </c>
      <c r="H537" s="20">
        <v>1</v>
      </c>
      <c r="I537" s="32">
        <f>Town_Team[[#This Row],[Item quantity]]*Town_Team[[#This Row],[Selling price]]</f>
        <v>900</v>
      </c>
      <c r="J537" s="33">
        <f>IF(Town_Team[[#This Row],[Item name]]=" Jeans - Denim",Town_Team[[#This Row],[Item Amount]]*85%,Town_Team[[#This Row],[Item Amount]])</f>
        <v>765</v>
      </c>
      <c r="K537" s="39" t="str">
        <f>TEXT(Town_Team[[#This Row],[Date ]],"dddd")</f>
        <v>Tuesday</v>
      </c>
    </row>
    <row r="538" spans="2:11" hidden="1" x14ac:dyDescent="0.3">
      <c r="B538" s="20">
        <v>534</v>
      </c>
      <c r="C538" s="19">
        <v>43999</v>
      </c>
      <c r="D538" s="21" t="s">
        <v>9</v>
      </c>
      <c r="E538" s="21" t="s">
        <v>12</v>
      </c>
      <c r="F538" s="21" t="s">
        <v>11</v>
      </c>
      <c r="G538" s="22">
        <v>900</v>
      </c>
      <c r="H538" s="20">
        <v>1</v>
      </c>
      <c r="I538" s="32">
        <f>Town_Team[[#This Row],[Item quantity]]*Town_Team[[#This Row],[Selling price]]</f>
        <v>900</v>
      </c>
      <c r="J538" s="33">
        <f>IF(Town_Team[[#This Row],[Item name]]=" Jeans - Denim",Town_Team[[#This Row],[Item Amount]]*85%,Town_Team[[#This Row],[Item Amount]])</f>
        <v>765</v>
      </c>
      <c r="K538" s="39" t="str">
        <f>TEXT(Town_Team[[#This Row],[Date ]],"dddd")</f>
        <v>Wednesday</v>
      </c>
    </row>
    <row r="539" spans="2:11" hidden="1" x14ac:dyDescent="0.3">
      <c r="B539" s="20">
        <v>535</v>
      </c>
      <c r="C539" s="19">
        <v>44000</v>
      </c>
      <c r="D539" s="21" t="s">
        <v>9</v>
      </c>
      <c r="E539" s="21" t="s">
        <v>10</v>
      </c>
      <c r="F539" s="21" t="s">
        <v>11</v>
      </c>
      <c r="G539" s="22">
        <v>1100</v>
      </c>
      <c r="H539" s="20">
        <v>1</v>
      </c>
      <c r="I539" s="32">
        <f>Town_Team[[#This Row],[Item quantity]]*Town_Team[[#This Row],[Selling price]]</f>
        <v>1100</v>
      </c>
      <c r="J539" s="33">
        <f>IF(Town_Team[[#This Row],[Item name]]=" Jeans - Denim",Town_Team[[#This Row],[Item Amount]]*85%,Town_Team[[#This Row],[Item Amount]])</f>
        <v>1100</v>
      </c>
      <c r="K539" s="39" t="str">
        <f>TEXT(Town_Team[[#This Row],[Date ]],"dddd")</f>
        <v>Thursday</v>
      </c>
    </row>
    <row r="540" spans="2:11" hidden="1" x14ac:dyDescent="0.3">
      <c r="B540" s="20">
        <v>536</v>
      </c>
      <c r="C540" s="19">
        <v>44001</v>
      </c>
      <c r="D540" s="21" t="s">
        <v>9</v>
      </c>
      <c r="E540" s="21" t="s">
        <v>24</v>
      </c>
      <c r="F540" s="21" t="s">
        <v>23</v>
      </c>
      <c r="G540" s="22">
        <v>600</v>
      </c>
      <c r="H540" s="20">
        <v>2</v>
      </c>
      <c r="I540" s="32">
        <f>Town_Team[[#This Row],[Item quantity]]*Town_Team[[#This Row],[Selling price]]</f>
        <v>1200</v>
      </c>
      <c r="J540" s="33">
        <f>IF(Town_Team[[#This Row],[Item name]]=" Jeans - Denim",Town_Team[[#This Row],[Item Amount]]*85%,Town_Team[[#This Row],[Item Amount]])</f>
        <v>1200</v>
      </c>
      <c r="K540" s="39" t="str">
        <f>TEXT(Town_Team[[#This Row],[Date ]],"dddd")</f>
        <v>Friday</v>
      </c>
    </row>
    <row r="541" spans="2:11" hidden="1" x14ac:dyDescent="0.3">
      <c r="B541" s="20">
        <v>537</v>
      </c>
      <c r="C541" s="19">
        <v>44002</v>
      </c>
      <c r="D541" s="21" t="s">
        <v>9</v>
      </c>
      <c r="E541" s="21" t="s">
        <v>19</v>
      </c>
      <c r="F541" s="21" t="s">
        <v>20</v>
      </c>
      <c r="G541" s="22">
        <v>850</v>
      </c>
      <c r="H541" s="20">
        <v>1</v>
      </c>
      <c r="I541" s="32">
        <f>Town_Team[[#This Row],[Item quantity]]*Town_Team[[#This Row],[Selling price]]</f>
        <v>850</v>
      </c>
      <c r="J541" s="33">
        <f>IF(Town_Team[[#This Row],[Item name]]=" Jeans - Denim",Town_Team[[#This Row],[Item Amount]]*85%,Town_Team[[#This Row],[Item Amount]])</f>
        <v>850</v>
      </c>
      <c r="K541" s="39" t="str">
        <f>TEXT(Town_Team[[#This Row],[Date ]],"dddd")</f>
        <v>Saturday</v>
      </c>
    </row>
    <row r="542" spans="2:11" hidden="1" x14ac:dyDescent="0.3">
      <c r="B542" s="20">
        <v>538</v>
      </c>
      <c r="C542" s="19">
        <v>44003</v>
      </c>
      <c r="D542" s="21" t="s">
        <v>9</v>
      </c>
      <c r="E542" s="21" t="s">
        <v>12</v>
      </c>
      <c r="F542" s="21" t="s">
        <v>11</v>
      </c>
      <c r="G542" s="22">
        <v>900</v>
      </c>
      <c r="H542" s="20">
        <v>1</v>
      </c>
      <c r="I542" s="32">
        <f>Town_Team[[#This Row],[Item quantity]]*Town_Team[[#This Row],[Selling price]]</f>
        <v>900</v>
      </c>
      <c r="J542" s="33">
        <f>IF(Town_Team[[#This Row],[Item name]]=" Jeans - Denim",Town_Team[[#This Row],[Item Amount]]*85%,Town_Team[[#This Row],[Item Amount]])</f>
        <v>765</v>
      </c>
      <c r="K542" s="39" t="str">
        <f>TEXT(Town_Team[[#This Row],[Date ]],"dddd")</f>
        <v>Sunday</v>
      </c>
    </row>
    <row r="543" spans="2:11" hidden="1" x14ac:dyDescent="0.3">
      <c r="B543" s="20">
        <v>539</v>
      </c>
      <c r="C543" s="19">
        <v>44004</v>
      </c>
      <c r="D543" s="21" t="s">
        <v>9</v>
      </c>
      <c r="E543" s="21" t="s">
        <v>18</v>
      </c>
      <c r="F543" s="21" t="s">
        <v>17</v>
      </c>
      <c r="G543" s="22">
        <v>600</v>
      </c>
      <c r="H543" s="20">
        <v>1</v>
      </c>
      <c r="I543" s="32">
        <f>Town_Team[[#This Row],[Item quantity]]*Town_Team[[#This Row],[Selling price]]</f>
        <v>600</v>
      </c>
      <c r="J543" s="33">
        <f>IF(Town_Team[[#This Row],[Item name]]=" Jeans - Denim",Town_Team[[#This Row],[Item Amount]]*85%,Town_Team[[#This Row],[Item Amount]])</f>
        <v>600</v>
      </c>
      <c r="K543" s="39" t="str">
        <f>TEXT(Town_Team[[#This Row],[Date ]],"dddd")</f>
        <v>Monday</v>
      </c>
    </row>
    <row r="544" spans="2:11" hidden="1" x14ac:dyDescent="0.3">
      <c r="B544" s="20">
        <v>540</v>
      </c>
      <c r="C544" s="19">
        <v>44005</v>
      </c>
      <c r="D544" s="21" t="s">
        <v>9</v>
      </c>
      <c r="E544" s="21" t="s">
        <v>18</v>
      </c>
      <c r="F544" s="21" t="s">
        <v>17</v>
      </c>
      <c r="G544" s="22">
        <v>600</v>
      </c>
      <c r="H544" s="20">
        <v>1</v>
      </c>
      <c r="I544" s="32">
        <f>Town_Team[[#This Row],[Item quantity]]*Town_Team[[#This Row],[Selling price]]</f>
        <v>600</v>
      </c>
      <c r="J544" s="33">
        <f>IF(Town_Team[[#This Row],[Item name]]=" Jeans - Denim",Town_Team[[#This Row],[Item Amount]]*85%,Town_Team[[#This Row],[Item Amount]])</f>
        <v>600</v>
      </c>
      <c r="K544" s="39" t="str">
        <f>TEXT(Town_Team[[#This Row],[Date ]],"dddd")</f>
        <v>Tuesday</v>
      </c>
    </row>
    <row r="545" spans="2:11" hidden="1" x14ac:dyDescent="0.3">
      <c r="B545" s="20">
        <v>541</v>
      </c>
      <c r="C545" s="19">
        <v>44006</v>
      </c>
      <c r="D545" s="21" t="s">
        <v>9</v>
      </c>
      <c r="E545" s="21" t="s">
        <v>10</v>
      </c>
      <c r="F545" s="21" t="s">
        <v>11</v>
      </c>
      <c r="G545" s="22">
        <v>1100</v>
      </c>
      <c r="H545" s="20">
        <v>1</v>
      </c>
      <c r="I545" s="32">
        <f>Town_Team[[#This Row],[Item quantity]]*Town_Team[[#This Row],[Selling price]]</f>
        <v>1100</v>
      </c>
      <c r="J545" s="33">
        <f>IF(Town_Team[[#This Row],[Item name]]=" Jeans - Denim",Town_Team[[#This Row],[Item Amount]]*85%,Town_Team[[#This Row],[Item Amount]])</f>
        <v>1100</v>
      </c>
      <c r="K545" s="39" t="str">
        <f>TEXT(Town_Team[[#This Row],[Date ]],"dddd")</f>
        <v>Wednesday</v>
      </c>
    </row>
    <row r="546" spans="2:11" hidden="1" x14ac:dyDescent="0.3">
      <c r="B546" s="20">
        <v>542</v>
      </c>
      <c r="C546" s="19">
        <v>44007</v>
      </c>
      <c r="D546" s="21" t="s">
        <v>9</v>
      </c>
      <c r="E546" s="21" t="s">
        <v>10</v>
      </c>
      <c r="F546" s="21" t="s">
        <v>11</v>
      </c>
      <c r="G546" s="22">
        <v>1100</v>
      </c>
      <c r="H546" s="20">
        <v>1</v>
      </c>
      <c r="I546" s="32">
        <f>Town_Team[[#This Row],[Item quantity]]*Town_Team[[#This Row],[Selling price]]</f>
        <v>1100</v>
      </c>
      <c r="J546" s="33">
        <f>IF(Town_Team[[#This Row],[Item name]]=" Jeans - Denim",Town_Team[[#This Row],[Item Amount]]*85%,Town_Team[[#This Row],[Item Amount]])</f>
        <v>1100</v>
      </c>
      <c r="K546" s="39" t="str">
        <f>TEXT(Town_Team[[#This Row],[Date ]],"dddd")</f>
        <v>Thursday</v>
      </c>
    </row>
    <row r="547" spans="2:11" hidden="1" x14ac:dyDescent="0.3">
      <c r="B547" s="20">
        <v>543</v>
      </c>
      <c r="C547" s="19">
        <v>44008</v>
      </c>
      <c r="D547" s="21" t="s">
        <v>9</v>
      </c>
      <c r="E547" s="21" t="s">
        <v>10</v>
      </c>
      <c r="F547" s="21" t="s">
        <v>11</v>
      </c>
      <c r="G547" s="22">
        <v>1100</v>
      </c>
      <c r="H547" s="20">
        <v>1</v>
      </c>
      <c r="I547" s="32">
        <f>Town_Team[[#This Row],[Item quantity]]*Town_Team[[#This Row],[Selling price]]</f>
        <v>1100</v>
      </c>
      <c r="J547" s="33">
        <f>IF(Town_Team[[#This Row],[Item name]]=" Jeans - Denim",Town_Team[[#This Row],[Item Amount]]*85%,Town_Team[[#This Row],[Item Amount]])</f>
        <v>1100</v>
      </c>
      <c r="K547" s="39" t="str">
        <f>TEXT(Town_Team[[#This Row],[Date ]],"dddd")</f>
        <v>Friday</v>
      </c>
    </row>
    <row r="548" spans="2:11" hidden="1" x14ac:dyDescent="0.3">
      <c r="B548" s="20">
        <v>544</v>
      </c>
      <c r="C548" s="19">
        <v>44009</v>
      </c>
      <c r="D548" s="21" t="s">
        <v>9</v>
      </c>
      <c r="E548" s="21" t="s">
        <v>10</v>
      </c>
      <c r="F548" s="21" t="s">
        <v>11</v>
      </c>
      <c r="G548" s="22">
        <v>1100</v>
      </c>
      <c r="H548" s="20">
        <v>1</v>
      </c>
      <c r="I548" s="32">
        <f>Town_Team[[#This Row],[Item quantity]]*Town_Team[[#This Row],[Selling price]]</f>
        <v>1100</v>
      </c>
      <c r="J548" s="33">
        <f>IF(Town_Team[[#This Row],[Item name]]=" Jeans - Denim",Town_Team[[#This Row],[Item Amount]]*85%,Town_Team[[#This Row],[Item Amount]])</f>
        <v>1100</v>
      </c>
      <c r="K548" s="39" t="str">
        <f>TEXT(Town_Team[[#This Row],[Date ]],"dddd")</f>
        <v>Saturday</v>
      </c>
    </row>
    <row r="549" spans="2:11" hidden="1" x14ac:dyDescent="0.3">
      <c r="B549" s="20">
        <v>545</v>
      </c>
      <c r="C549" s="19">
        <v>44010</v>
      </c>
      <c r="D549" s="21" t="s">
        <v>9</v>
      </c>
      <c r="E549" s="21" t="s">
        <v>12</v>
      </c>
      <c r="F549" s="21" t="s">
        <v>11</v>
      </c>
      <c r="G549" s="22">
        <v>1100</v>
      </c>
      <c r="H549" s="20">
        <v>1</v>
      </c>
      <c r="I549" s="32">
        <f>Town_Team[[#This Row],[Item quantity]]*Town_Team[[#This Row],[Selling price]]</f>
        <v>1100</v>
      </c>
      <c r="J549" s="33">
        <f>IF(Town_Team[[#This Row],[Item name]]=" Jeans - Denim",Town_Team[[#This Row],[Item Amount]]*85%,Town_Team[[#This Row],[Item Amount]])</f>
        <v>935</v>
      </c>
      <c r="K549" s="39" t="str">
        <f>TEXT(Town_Team[[#This Row],[Date ]],"dddd")</f>
        <v>Sunday</v>
      </c>
    </row>
    <row r="550" spans="2:11" hidden="1" x14ac:dyDescent="0.3">
      <c r="B550" s="20">
        <v>546</v>
      </c>
      <c r="C550" s="19">
        <v>44011</v>
      </c>
      <c r="D550" s="21" t="s">
        <v>9</v>
      </c>
      <c r="E550" s="21" t="s">
        <v>12</v>
      </c>
      <c r="F550" s="21" t="s">
        <v>11</v>
      </c>
      <c r="G550" s="22">
        <v>1100</v>
      </c>
      <c r="H550" s="20">
        <v>1</v>
      </c>
      <c r="I550" s="32">
        <f>Town_Team[[#This Row],[Item quantity]]*Town_Team[[#This Row],[Selling price]]</f>
        <v>1100</v>
      </c>
      <c r="J550" s="33">
        <f>IF(Town_Team[[#This Row],[Item name]]=" Jeans - Denim",Town_Team[[#This Row],[Item Amount]]*85%,Town_Team[[#This Row],[Item Amount]])</f>
        <v>935</v>
      </c>
      <c r="K550" s="39" t="str">
        <f>TEXT(Town_Team[[#This Row],[Date ]],"dddd")</f>
        <v>Monday</v>
      </c>
    </row>
    <row r="551" spans="2:11" hidden="1" x14ac:dyDescent="0.3">
      <c r="B551" s="20">
        <v>547</v>
      </c>
      <c r="C551" s="19">
        <v>44012</v>
      </c>
      <c r="D551" s="21" t="s">
        <v>9</v>
      </c>
      <c r="E551" s="21" t="s">
        <v>12</v>
      </c>
      <c r="F551" s="21" t="s">
        <v>11</v>
      </c>
      <c r="G551" s="22">
        <v>1100</v>
      </c>
      <c r="H551" s="20">
        <v>1</v>
      </c>
      <c r="I551" s="32">
        <f>Town_Team[[#This Row],[Item quantity]]*Town_Team[[#This Row],[Selling price]]</f>
        <v>1100</v>
      </c>
      <c r="J551" s="33">
        <f>IF(Town_Team[[#This Row],[Item name]]=" Jeans - Denim",Town_Team[[#This Row],[Item Amount]]*85%,Town_Team[[#This Row],[Item Amount]])</f>
        <v>935</v>
      </c>
      <c r="K551" s="39" t="str">
        <f>TEXT(Town_Team[[#This Row],[Date ]],"dddd")</f>
        <v>Tuesday</v>
      </c>
    </row>
    <row r="552" spans="2:11" hidden="1" x14ac:dyDescent="0.3">
      <c r="B552" s="20">
        <v>548</v>
      </c>
      <c r="C552" s="19">
        <v>44013</v>
      </c>
      <c r="D552" s="21" t="s">
        <v>9</v>
      </c>
      <c r="E552" s="21" t="s">
        <v>12</v>
      </c>
      <c r="F552" s="21" t="s">
        <v>11</v>
      </c>
      <c r="G552" s="22">
        <v>1100</v>
      </c>
      <c r="H552" s="20">
        <v>2</v>
      </c>
      <c r="I552" s="32">
        <f>Town_Team[[#This Row],[Item quantity]]*Town_Team[[#This Row],[Selling price]]</f>
        <v>2200</v>
      </c>
      <c r="J552" s="33">
        <f>IF(Town_Team[[#This Row],[Item name]]=" Jeans - Denim",Town_Team[[#This Row],[Item Amount]]*85%,Town_Team[[#This Row],[Item Amount]])</f>
        <v>1870</v>
      </c>
      <c r="K552" s="39" t="str">
        <f>TEXT(Town_Team[[#This Row],[Date ]],"dddd")</f>
        <v>Wednesday</v>
      </c>
    </row>
    <row r="553" spans="2:11" hidden="1" x14ac:dyDescent="0.3">
      <c r="B553" s="20">
        <v>549</v>
      </c>
      <c r="C553" s="19">
        <v>44014</v>
      </c>
      <c r="D553" s="21" t="s">
        <v>9</v>
      </c>
      <c r="E553" s="21" t="s">
        <v>12</v>
      </c>
      <c r="F553" s="21" t="s">
        <v>11</v>
      </c>
      <c r="G553" s="22">
        <v>1100</v>
      </c>
      <c r="H553" s="20">
        <v>1</v>
      </c>
      <c r="I553" s="32">
        <f>Town_Team[[#This Row],[Item quantity]]*Town_Team[[#This Row],[Selling price]]</f>
        <v>1100</v>
      </c>
      <c r="J553" s="33">
        <f>IF(Town_Team[[#This Row],[Item name]]=" Jeans - Denim",Town_Team[[#This Row],[Item Amount]]*85%,Town_Team[[#This Row],[Item Amount]])</f>
        <v>935</v>
      </c>
      <c r="K553" s="39" t="str">
        <f>TEXT(Town_Team[[#This Row],[Date ]],"dddd")</f>
        <v>Thursday</v>
      </c>
    </row>
    <row r="554" spans="2:11" hidden="1" x14ac:dyDescent="0.3">
      <c r="B554" s="20">
        <v>550</v>
      </c>
      <c r="C554" s="19">
        <v>44015</v>
      </c>
      <c r="D554" s="21" t="s">
        <v>9</v>
      </c>
      <c r="E554" s="21" t="s">
        <v>12</v>
      </c>
      <c r="F554" s="21" t="s">
        <v>11</v>
      </c>
      <c r="G554" s="22">
        <v>1100</v>
      </c>
      <c r="H554" s="20">
        <v>1</v>
      </c>
      <c r="I554" s="32">
        <f>Town_Team[[#This Row],[Item quantity]]*Town_Team[[#This Row],[Selling price]]</f>
        <v>1100</v>
      </c>
      <c r="J554" s="33">
        <f>IF(Town_Team[[#This Row],[Item name]]=" Jeans - Denim",Town_Team[[#This Row],[Item Amount]]*85%,Town_Team[[#This Row],[Item Amount]])</f>
        <v>935</v>
      </c>
      <c r="K554" s="39" t="str">
        <f>TEXT(Town_Team[[#This Row],[Date ]],"dddd")</f>
        <v>Friday</v>
      </c>
    </row>
    <row r="555" spans="2:11" hidden="1" x14ac:dyDescent="0.3">
      <c r="B555" s="20">
        <v>551</v>
      </c>
      <c r="C555" s="19">
        <v>44016</v>
      </c>
      <c r="D555" s="21" t="s">
        <v>9</v>
      </c>
      <c r="E555" s="21" t="s">
        <v>12</v>
      </c>
      <c r="F555" s="21" t="s">
        <v>11</v>
      </c>
      <c r="G555" s="22">
        <v>900</v>
      </c>
      <c r="H555" s="20">
        <v>1</v>
      </c>
      <c r="I555" s="32">
        <f>Town_Team[[#This Row],[Item quantity]]*Town_Team[[#This Row],[Selling price]]</f>
        <v>900</v>
      </c>
      <c r="J555" s="33">
        <f>IF(Town_Team[[#This Row],[Item name]]=" Jeans - Denim",Town_Team[[#This Row],[Item Amount]]*85%,Town_Team[[#This Row],[Item Amount]])</f>
        <v>765</v>
      </c>
      <c r="K555" s="39" t="str">
        <f>TEXT(Town_Team[[#This Row],[Date ]],"dddd")</f>
        <v>Saturday</v>
      </c>
    </row>
    <row r="556" spans="2:11" hidden="1" x14ac:dyDescent="0.3">
      <c r="B556" s="20">
        <v>552</v>
      </c>
      <c r="C556" s="19">
        <v>44017</v>
      </c>
      <c r="D556" s="21" t="s">
        <v>9</v>
      </c>
      <c r="E556" s="21" t="s">
        <v>12</v>
      </c>
      <c r="F556" s="21" t="s">
        <v>11</v>
      </c>
      <c r="G556" s="22">
        <v>900</v>
      </c>
      <c r="H556" s="20">
        <v>1</v>
      </c>
      <c r="I556" s="32">
        <f>Town_Team[[#This Row],[Item quantity]]*Town_Team[[#This Row],[Selling price]]</f>
        <v>900</v>
      </c>
      <c r="J556" s="33">
        <f>IF(Town_Team[[#This Row],[Item name]]=" Jeans - Denim",Town_Team[[#This Row],[Item Amount]]*85%,Town_Team[[#This Row],[Item Amount]])</f>
        <v>765</v>
      </c>
      <c r="K556" s="39" t="str">
        <f>TEXT(Town_Team[[#This Row],[Date ]],"dddd")</f>
        <v>Sunday</v>
      </c>
    </row>
    <row r="557" spans="2:11" hidden="1" x14ac:dyDescent="0.3">
      <c r="B557" s="20">
        <v>553</v>
      </c>
      <c r="C557" s="19">
        <v>44018</v>
      </c>
      <c r="D557" s="21" t="s">
        <v>9</v>
      </c>
      <c r="E557" s="21" t="s">
        <v>12</v>
      </c>
      <c r="F557" s="21" t="s">
        <v>11</v>
      </c>
      <c r="G557" s="22">
        <v>900</v>
      </c>
      <c r="H557" s="20">
        <v>1</v>
      </c>
      <c r="I557" s="32">
        <f>Town_Team[[#This Row],[Item quantity]]*Town_Team[[#This Row],[Selling price]]</f>
        <v>900</v>
      </c>
      <c r="J557" s="33">
        <f>IF(Town_Team[[#This Row],[Item name]]=" Jeans - Denim",Town_Team[[#This Row],[Item Amount]]*85%,Town_Team[[#This Row],[Item Amount]])</f>
        <v>765</v>
      </c>
      <c r="K557" s="39" t="str">
        <f>TEXT(Town_Team[[#This Row],[Date ]],"dddd")</f>
        <v>Monday</v>
      </c>
    </row>
    <row r="558" spans="2:11" hidden="1" x14ac:dyDescent="0.3">
      <c r="B558" s="20">
        <v>554</v>
      </c>
      <c r="C558" s="19">
        <v>44019</v>
      </c>
      <c r="D558" s="21" t="s">
        <v>9</v>
      </c>
      <c r="E558" s="21" t="s">
        <v>12</v>
      </c>
      <c r="F558" s="21" t="s">
        <v>11</v>
      </c>
      <c r="G558" s="22">
        <v>900</v>
      </c>
      <c r="H558" s="20">
        <v>2</v>
      </c>
      <c r="I558" s="32">
        <f>Town_Team[[#This Row],[Item quantity]]*Town_Team[[#This Row],[Selling price]]</f>
        <v>1800</v>
      </c>
      <c r="J558" s="33">
        <f>IF(Town_Team[[#This Row],[Item name]]=" Jeans - Denim",Town_Team[[#This Row],[Item Amount]]*85%,Town_Team[[#This Row],[Item Amount]])</f>
        <v>1530</v>
      </c>
      <c r="K558" s="39" t="str">
        <f>TEXT(Town_Team[[#This Row],[Date ]],"dddd")</f>
        <v>Tuesday</v>
      </c>
    </row>
    <row r="559" spans="2:11" hidden="1" x14ac:dyDescent="0.3">
      <c r="B559" s="20">
        <v>555</v>
      </c>
      <c r="C559" s="19">
        <v>44020</v>
      </c>
      <c r="D559" s="21" t="s">
        <v>9</v>
      </c>
      <c r="E559" s="21" t="s">
        <v>12</v>
      </c>
      <c r="F559" s="21" t="s">
        <v>11</v>
      </c>
      <c r="G559" s="22">
        <v>900</v>
      </c>
      <c r="H559" s="20">
        <v>1</v>
      </c>
      <c r="I559" s="32">
        <f>Town_Team[[#This Row],[Item quantity]]*Town_Team[[#This Row],[Selling price]]</f>
        <v>900</v>
      </c>
      <c r="J559" s="33">
        <f>IF(Town_Team[[#This Row],[Item name]]=" Jeans - Denim",Town_Team[[#This Row],[Item Amount]]*85%,Town_Team[[#This Row],[Item Amount]])</f>
        <v>765</v>
      </c>
      <c r="K559" s="39" t="str">
        <f>TEXT(Town_Team[[#This Row],[Date ]],"dddd")</f>
        <v>Wednesday</v>
      </c>
    </row>
    <row r="560" spans="2:11" hidden="1" x14ac:dyDescent="0.3">
      <c r="B560" s="20">
        <v>556</v>
      </c>
      <c r="C560" s="19">
        <v>44021</v>
      </c>
      <c r="D560" s="21" t="s">
        <v>9</v>
      </c>
      <c r="E560" s="21" t="s">
        <v>12</v>
      </c>
      <c r="F560" s="21" t="s">
        <v>11</v>
      </c>
      <c r="G560" s="22">
        <v>900</v>
      </c>
      <c r="H560" s="20">
        <v>1</v>
      </c>
      <c r="I560" s="32">
        <f>Town_Team[[#This Row],[Item quantity]]*Town_Team[[#This Row],[Selling price]]</f>
        <v>900</v>
      </c>
      <c r="J560" s="33">
        <f>IF(Town_Team[[#This Row],[Item name]]=" Jeans - Denim",Town_Team[[#This Row],[Item Amount]]*85%,Town_Team[[#This Row],[Item Amount]])</f>
        <v>765</v>
      </c>
      <c r="K560" s="39" t="str">
        <f>TEXT(Town_Team[[#This Row],[Date ]],"dddd")</f>
        <v>Thursday</v>
      </c>
    </row>
    <row r="561" spans="2:11" hidden="1" x14ac:dyDescent="0.3">
      <c r="B561" s="20">
        <v>557</v>
      </c>
      <c r="C561" s="19">
        <v>44022</v>
      </c>
      <c r="D561" s="21" t="s">
        <v>9</v>
      </c>
      <c r="E561" s="21" t="s">
        <v>12</v>
      </c>
      <c r="F561" s="21" t="s">
        <v>11</v>
      </c>
      <c r="G561" s="22">
        <v>1100</v>
      </c>
      <c r="H561" s="20">
        <v>1</v>
      </c>
      <c r="I561" s="32">
        <f>Town_Team[[#This Row],[Item quantity]]*Town_Team[[#This Row],[Selling price]]</f>
        <v>1100</v>
      </c>
      <c r="J561" s="33">
        <f>IF(Town_Team[[#This Row],[Item name]]=" Jeans - Denim",Town_Team[[#This Row],[Item Amount]]*85%,Town_Team[[#This Row],[Item Amount]])</f>
        <v>935</v>
      </c>
      <c r="K561" s="39" t="str">
        <f>TEXT(Town_Team[[#This Row],[Date ]],"dddd")</f>
        <v>Friday</v>
      </c>
    </row>
    <row r="562" spans="2:11" x14ac:dyDescent="0.3">
      <c r="B562" s="20">
        <v>558</v>
      </c>
      <c r="C562" s="19">
        <v>44023</v>
      </c>
      <c r="D562" s="21" t="s">
        <v>13</v>
      </c>
      <c r="E562" s="21" t="s">
        <v>12</v>
      </c>
      <c r="F562" s="21" t="s">
        <v>11</v>
      </c>
      <c r="G562" s="22">
        <v>900</v>
      </c>
      <c r="H562" s="20">
        <v>1</v>
      </c>
      <c r="I562" s="32">
        <f>Town_Team[[#This Row],[Item quantity]]*Town_Team[[#This Row],[Selling price]]</f>
        <v>900</v>
      </c>
      <c r="J562" s="33">
        <f>IF(Town_Team[[#This Row],[Item name]]=" Jeans - Denim",Town_Team[[#This Row],[Item Amount]]*85%,Town_Team[[#This Row],[Item Amount]])</f>
        <v>765</v>
      </c>
      <c r="K562" s="39" t="str">
        <f>TEXT(Town_Team[[#This Row],[Date ]],"dddd")</f>
        <v>Saturday</v>
      </c>
    </row>
    <row r="563" spans="2:11" x14ac:dyDescent="0.3">
      <c r="B563" s="20">
        <v>559</v>
      </c>
      <c r="C563" s="19">
        <v>44024</v>
      </c>
      <c r="D563" s="21" t="s">
        <v>13</v>
      </c>
      <c r="E563" s="21" t="s">
        <v>12</v>
      </c>
      <c r="F563" s="21" t="s">
        <v>11</v>
      </c>
      <c r="G563" s="22">
        <v>1100</v>
      </c>
      <c r="H563" s="20">
        <v>2</v>
      </c>
      <c r="I563" s="32">
        <f>Town_Team[[#This Row],[Item quantity]]*Town_Team[[#This Row],[Selling price]]</f>
        <v>2200</v>
      </c>
      <c r="J563" s="33">
        <f>IF(Town_Team[[#This Row],[Item name]]=" Jeans - Denim",Town_Team[[#This Row],[Item Amount]]*85%,Town_Team[[#This Row],[Item Amount]])</f>
        <v>1870</v>
      </c>
      <c r="K563" s="39" t="str">
        <f>TEXT(Town_Team[[#This Row],[Date ]],"dddd")</f>
        <v>Sunday</v>
      </c>
    </row>
    <row r="564" spans="2:11" x14ac:dyDescent="0.3">
      <c r="B564" s="20">
        <v>560</v>
      </c>
      <c r="C564" s="19">
        <v>44025</v>
      </c>
      <c r="D564" s="21" t="s">
        <v>13</v>
      </c>
      <c r="E564" s="21" t="s">
        <v>12</v>
      </c>
      <c r="F564" s="21" t="s">
        <v>11</v>
      </c>
      <c r="G564" s="22">
        <v>1100</v>
      </c>
      <c r="H564" s="20">
        <v>1</v>
      </c>
      <c r="I564" s="32">
        <f>Town_Team[[#This Row],[Item quantity]]*Town_Team[[#This Row],[Selling price]]</f>
        <v>1100</v>
      </c>
      <c r="J564" s="33">
        <f>IF(Town_Team[[#This Row],[Item name]]=" Jeans - Denim",Town_Team[[#This Row],[Item Amount]]*85%,Town_Team[[#This Row],[Item Amount]])</f>
        <v>935</v>
      </c>
      <c r="K564" s="39" t="str">
        <f>TEXT(Town_Team[[#This Row],[Date ]],"dddd")</f>
        <v>Monday</v>
      </c>
    </row>
    <row r="565" spans="2:11" x14ac:dyDescent="0.3">
      <c r="B565" s="20">
        <v>561</v>
      </c>
      <c r="C565" s="19">
        <v>44026</v>
      </c>
      <c r="D565" s="21" t="s">
        <v>13</v>
      </c>
      <c r="E565" s="21" t="s">
        <v>12</v>
      </c>
      <c r="F565" s="21" t="s">
        <v>11</v>
      </c>
      <c r="G565" s="22">
        <v>900</v>
      </c>
      <c r="H565" s="20">
        <v>1</v>
      </c>
      <c r="I565" s="32">
        <f>Town_Team[[#This Row],[Item quantity]]*Town_Team[[#This Row],[Selling price]]</f>
        <v>900</v>
      </c>
      <c r="J565" s="33">
        <f>IF(Town_Team[[#This Row],[Item name]]=" Jeans - Denim",Town_Team[[#This Row],[Item Amount]]*85%,Town_Team[[#This Row],[Item Amount]])</f>
        <v>765</v>
      </c>
      <c r="K565" s="39" t="str">
        <f>TEXT(Town_Team[[#This Row],[Date ]],"dddd")</f>
        <v>Tuesday</v>
      </c>
    </row>
    <row r="566" spans="2:11" x14ac:dyDescent="0.3">
      <c r="B566" s="20">
        <v>562</v>
      </c>
      <c r="C566" s="19">
        <v>44027</v>
      </c>
      <c r="D566" s="21" t="s">
        <v>13</v>
      </c>
      <c r="E566" s="21" t="s">
        <v>12</v>
      </c>
      <c r="F566" s="21" t="s">
        <v>11</v>
      </c>
      <c r="G566" s="22">
        <v>900</v>
      </c>
      <c r="H566" s="20">
        <v>1</v>
      </c>
      <c r="I566" s="32">
        <f>Town_Team[[#This Row],[Item quantity]]*Town_Team[[#This Row],[Selling price]]</f>
        <v>900</v>
      </c>
      <c r="J566" s="33">
        <f>IF(Town_Team[[#This Row],[Item name]]=" Jeans - Denim",Town_Team[[#This Row],[Item Amount]]*85%,Town_Team[[#This Row],[Item Amount]])</f>
        <v>765</v>
      </c>
      <c r="K566" s="39" t="str">
        <f>TEXT(Town_Team[[#This Row],[Date ]],"dddd")</f>
        <v>Wednesday</v>
      </c>
    </row>
    <row r="567" spans="2:11" x14ac:dyDescent="0.3">
      <c r="B567" s="20">
        <v>563</v>
      </c>
      <c r="C567" s="19">
        <v>44028</v>
      </c>
      <c r="D567" s="21" t="s">
        <v>13</v>
      </c>
      <c r="E567" s="21" t="s">
        <v>14</v>
      </c>
      <c r="F567" s="21" t="s">
        <v>11</v>
      </c>
      <c r="G567" s="22">
        <v>900</v>
      </c>
      <c r="H567" s="20">
        <v>1</v>
      </c>
      <c r="I567" s="32">
        <f>Town_Team[[#This Row],[Item quantity]]*Town_Team[[#This Row],[Selling price]]</f>
        <v>900</v>
      </c>
      <c r="J567" s="33">
        <f>IF(Town_Team[[#This Row],[Item name]]=" Jeans - Denim",Town_Team[[#This Row],[Item Amount]]*85%,Town_Team[[#This Row],[Item Amount]])</f>
        <v>900</v>
      </c>
      <c r="K567" s="39" t="str">
        <f>TEXT(Town_Team[[#This Row],[Date ]],"dddd")</f>
        <v>Thursday</v>
      </c>
    </row>
    <row r="568" spans="2:11" x14ac:dyDescent="0.3">
      <c r="B568" s="20">
        <v>564</v>
      </c>
      <c r="C568" s="19">
        <v>44029</v>
      </c>
      <c r="D568" s="21" t="s">
        <v>13</v>
      </c>
      <c r="E568" s="21" t="s">
        <v>12</v>
      </c>
      <c r="F568" s="21" t="s">
        <v>11</v>
      </c>
      <c r="G568" s="22">
        <v>1100</v>
      </c>
      <c r="H568" s="20">
        <v>1</v>
      </c>
      <c r="I568" s="32">
        <f>Town_Team[[#This Row],[Item quantity]]*Town_Team[[#This Row],[Selling price]]</f>
        <v>1100</v>
      </c>
      <c r="J568" s="33">
        <f>IF(Town_Team[[#This Row],[Item name]]=" Jeans - Denim",Town_Team[[#This Row],[Item Amount]]*85%,Town_Team[[#This Row],[Item Amount]])</f>
        <v>935</v>
      </c>
      <c r="K568" s="39" t="str">
        <f>TEXT(Town_Team[[#This Row],[Date ]],"dddd")</f>
        <v>Friday</v>
      </c>
    </row>
    <row r="569" spans="2:11" x14ac:dyDescent="0.3">
      <c r="B569" s="20">
        <v>565</v>
      </c>
      <c r="C569" s="19">
        <v>44030</v>
      </c>
      <c r="D569" s="21" t="s">
        <v>13</v>
      </c>
      <c r="E569" s="21" t="s">
        <v>12</v>
      </c>
      <c r="F569" s="21" t="s">
        <v>11</v>
      </c>
      <c r="G569" s="22">
        <v>1100</v>
      </c>
      <c r="H569" s="20">
        <v>1</v>
      </c>
      <c r="I569" s="32">
        <f>Town_Team[[#This Row],[Item quantity]]*Town_Team[[#This Row],[Selling price]]</f>
        <v>1100</v>
      </c>
      <c r="J569" s="33">
        <f>IF(Town_Team[[#This Row],[Item name]]=" Jeans - Denim",Town_Team[[#This Row],[Item Amount]]*85%,Town_Team[[#This Row],[Item Amount]])</f>
        <v>935</v>
      </c>
      <c r="K569" s="39" t="str">
        <f>TEXT(Town_Team[[#This Row],[Date ]],"dddd")</f>
        <v>Saturday</v>
      </c>
    </row>
    <row r="570" spans="2:11" x14ac:dyDescent="0.3">
      <c r="B570" s="20">
        <v>566</v>
      </c>
      <c r="C570" s="19">
        <v>44031</v>
      </c>
      <c r="D570" s="21" t="s">
        <v>13</v>
      </c>
      <c r="E570" s="21" t="s">
        <v>14</v>
      </c>
      <c r="F570" s="21" t="s">
        <v>11</v>
      </c>
      <c r="G570" s="22">
        <v>900</v>
      </c>
      <c r="H570" s="20">
        <v>1</v>
      </c>
      <c r="I570" s="32">
        <f>Town_Team[[#This Row],[Item quantity]]*Town_Team[[#This Row],[Selling price]]</f>
        <v>900</v>
      </c>
      <c r="J570" s="33">
        <f>IF(Town_Team[[#This Row],[Item name]]=" Jeans - Denim",Town_Team[[#This Row],[Item Amount]]*85%,Town_Team[[#This Row],[Item Amount]])</f>
        <v>900</v>
      </c>
      <c r="K570" s="39" t="str">
        <f>TEXT(Town_Team[[#This Row],[Date ]],"dddd")</f>
        <v>Sunday</v>
      </c>
    </row>
    <row r="571" spans="2:11" hidden="1" x14ac:dyDescent="0.3">
      <c r="B571" s="20">
        <v>567</v>
      </c>
      <c r="C571" s="19">
        <v>44032</v>
      </c>
      <c r="D571" s="21" t="s">
        <v>9</v>
      </c>
      <c r="E571" s="21" t="s">
        <v>12</v>
      </c>
      <c r="F571" s="21" t="s">
        <v>11</v>
      </c>
      <c r="G571" s="22">
        <v>900</v>
      </c>
      <c r="H571" s="20">
        <v>1</v>
      </c>
      <c r="I571" s="32">
        <f>Town_Team[[#This Row],[Item quantity]]*Town_Team[[#This Row],[Selling price]]</f>
        <v>900</v>
      </c>
      <c r="J571" s="33">
        <f>IF(Town_Team[[#This Row],[Item name]]=" Jeans - Denim",Town_Team[[#This Row],[Item Amount]]*85%,Town_Team[[#This Row],[Item Amount]])</f>
        <v>765</v>
      </c>
      <c r="K571" s="39" t="str">
        <f>TEXT(Town_Team[[#This Row],[Date ]],"dddd")</f>
        <v>Monday</v>
      </c>
    </row>
    <row r="572" spans="2:11" hidden="1" x14ac:dyDescent="0.3">
      <c r="B572" s="20">
        <v>568</v>
      </c>
      <c r="C572" s="19">
        <v>44033</v>
      </c>
      <c r="D572" s="21" t="s">
        <v>9</v>
      </c>
      <c r="E572" s="21" t="s">
        <v>14</v>
      </c>
      <c r="F572" s="21" t="s">
        <v>11</v>
      </c>
      <c r="G572" s="22">
        <v>900</v>
      </c>
      <c r="H572" s="20">
        <v>1</v>
      </c>
      <c r="I572" s="32">
        <f>Town_Team[[#This Row],[Item quantity]]*Town_Team[[#This Row],[Selling price]]</f>
        <v>900</v>
      </c>
      <c r="J572" s="33">
        <f>IF(Town_Team[[#This Row],[Item name]]=" Jeans - Denim",Town_Team[[#This Row],[Item Amount]]*85%,Town_Team[[#This Row],[Item Amount]])</f>
        <v>900</v>
      </c>
      <c r="K572" s="39" t="str">
        <f>TEXT(Town_Team[[#This Row],[Date ]],"dddd")</f>
        <v>Tuesday</v>
      </c>
    </row>
    <row r="573" spans="2:11" hidden="1" x14ac:dyDescent="0.3">
      <c r="B573" s="20">
        <v>569</v>
      </c>
      <c r="C573" s="19">
        <v>44034</v>
      </c>
      <c r="D573" s="21" t="s">
        <v>9</v>
      </c>
      <c r="E573" s="21" t="s">
        <v>12</v>
      </c>
      <c r="F573" s="21" t="s">
        <v>11</v>
      </c>
      <c r="G573" s="22">
        <v>1100</v>
      </c>
      <c r="H573" s="20">
        <v>1</v>
      </c>
      <c r="I573" s="32">
        <f>Town_Team[[#This Row],[Item quantity]]*Town_Team[[#This Row],[Selling price]]</f>
        <v>1100</v>
      </c>
      <c r="J573" s="33">
        <f>IF(Town_Team[[#This Row],[Item name]]=" Jeans - Denim",Town_Team[[#This Row],[Item Amount]]*85%,Town_Team[[#This Row],[Item Amount]])</f>
        <v>935</v>
      </c>
      <c r="K573" s="39" t="str">
        <f>TEXT(Town_Team[[#This Row],[Date ]],"dddd")</f>
        <v>Wednesday</v>
      </c>
    </row>
    <row r="574" spans="2:11" hidden="1" x14ac:dyDescent="0.3">
      <c r="B574" s="20">
        <v>570</v>
      </c>
      <c r="C574" s="19">
        <v>44035</v>
      </c>
      <c r="D574" s="21" t="s">
        <v>9</v>
      </c>
      <c r="E574" s="21" t="s">
        <v>12</v>
      </c>
      <c r="F574" s="21" t="s">
        <v>11</v>
      </c>
      <c r="G574" s="22">
        <v>1100</v>
      </c>
      <c r="H574" s="20">
        <v>1</v>
      </c>
      <c r="I574" s="32">
        <f>Town_Team[[#This Row],[Item quantity]]*Town_Team[[#This Row],[Selling price]]</f>
        <v>1100</v>
      </c>
      <c r="J574" s="33">
        <f>IF(Town_Team[[#This Row],[Item name]]=" Jeans - Denim",Town_Team[[#This Row],[Item Amount]]*85%,Town_Team[[#This Row],[Item Amount]])</f>
        <v>935</v>
      </c>
      <c r="K574" s="39" t="str">
        <f>TEXT(Town_Team[[#This Row],[Date ]],"dddd")</f>
        <v>Thursday</v>
      </c>
    </row>
    <row r="575" spans="2:11" hidden="1" x14ac:dyDescent="0.3">
      <c r="B575" s="20">
        <v>571</v>
      </c>
      <c r="C575" s="19">
        <v>44036</v>
      </c>
      <c r="D575" s="21" t="s">
        <v>9</v>
      </c>
      <c r="E575" s="21" t="s">
        <v>14</v>
      </c>
      <c r="F575" s="21" t="s">
        <v>11</v>
      </c>
      <c r="G575" s="22">
        <v>900</v>
      </c>
      <c r="H575" s="20">
        <v>1</v>
      </c>
      <c r="I575" s="32">
        <f>Town_Team[[#This Row],[Item quantity]]*Town_Team[[#This Row],[Selling price]]</f>
        <v>900</v>
      </c>
      <c r="J575" s="33">
        <f>IF(Town_Team[[#This Row],[Item name]]=" Jeans - Denim",Town_Team[[#This Row],[Item Amount]]*85%,Town_Team[[#This Row],[Item Amount]])</f>
        <v>900</v>
      </c>
      <c r="K575" s="39" t="str">
        <f>TEXT(Town_Team[[#This Row],[Date ]],"dddd")</f>
        <v>Friday</v>
      </c>
    </row>
    <row r="576" spans="2:11" hidden="1" x14ac:dyDescent="0.3">
      <c r="B576" s="20">
        <v>572</v>
      </c>
      <c r="C576" s="19">
        <v>44037</v>
      </c>
      <c r="D576" s="21" t="s">
        <v>9</v>
      </c>
      <c r="E576" s="21" t="s">
        <v>14</v>
      </c>
      <c r="F576" s="21" t="s">
        <v>11</v>
      </c>
      <c r="G576" s="22">
        <v>900</v>
      </c>
      <c r="H576" s="20">
        <v>1</v>
      </c>
      <c r="I576" s="32">
        <f>Town_Team[[#This Row],[Item quantity]]*Town_Team[[#This Row],[Selling price]]</f>
        <v>900</v>
      </c>
      <c r="J576" s="33">
        <f>IF(Town_Team[[#This Row],[Item name]]=" Jeans - Denim",Town_Team[[#This Row],[Item Amount]]*85%,Town_Team[[#This Row],[Item Amount]])</f>
        <v>900</v>
      </c>
      <c r="K576" s="39" t="str">
        <f>TEXT(Town_Team[[#This Row],[Date ]],"dddd")</f>
        <v>Saturday</v>
      </c>
    </row>
    <row r="577" spans="2:11" hidden="1" x14ac:dyDescent="0.3">
      <c r="B577" s="20">
        <v>573</v>
      </c>
      <c r="C577" s="19">
        <v>44038</v>
      </c>
      <c r="D577" s="21" t="s">
        <v>9</v>
      </c>
      <c r="E577" s="21" t="s">
        <v>14</v>
      </c>
      <c r="F577" s="21" t="s">
        <v>11</v>
      </c>
      <c r="G577" s="22">
        <v>900</v>
      </c>
      <c r="H577" s="20">
        <v>1</v>
      </c>
      <c r="I577" s="32">
        <f>Town_Team[[#This Row],[Item quantity]]*Town_Team[[#This Row],[Selling price]]</f>
        <v>900</v>
      </c>
      <c r="J577" s="33">
        <f>IF(Town_Team[[#This Row],[Item name]]=" Jeans - Denim",Town_Team[[#This Row],[Item Amount]]*85%,Town_Team[[#This Row],[Item Amount]])</f>
        <v>900</v>
      </c>
      <c r="K577" s="39" t="str">
        <f>TEXT(Town_Team[[#This Row],[Date ]],"dddd")</f>
        <v>Sunday</v>
      </c>
    </row>
    <row r="578" spans="2:11" hidden="1" x14ac:dyDescent="0.3">
      <c r="B578" s="20">
        <v>574</v>
      </c>
      <c r="C578" s="19">
        <v>44039</v>
      </c>
      <c r="D578" s="21" t="s">
        <v>9</v>
      </c>
      <c r="E578" s="21" t="s">
        <v>14</v>
      </c>
      <c r="F578" s="21" t="s">
        <v>11</v>
      </c>
      <c r="G578" s="22">
        <v>900</v>
      </c>
      <c r="H578" s="20">
        <v>1</v>
      </c>
      <c r="I578" s="32">
        <f>Town_Team[[#This Row],[Item quantity]]*Town_Team[[#This Row],[Selling price]]</f>
        <v>900</v>
      </c>
      <c r="J578" s="33">
        <f>IF(Town_Team[[#This Row],[Item name]]=" Jeans - Denim",Town_Team[[#This Row],[Item Amount]]*85%,Town_Team[[#This Row],[Item Amount]])</f>
        <v>900</v>
      </c>
      <c r="K578" s="39" t="str">
        <f>TEXT(Town_Team[[#This Row],[Date ]],"dddd")</f>
        <v>Monday</v>
      </c>
    </row>
    <row r="579" spans="2:11" hidden="1" x14ac:dyDescent="0.3">
      <c r="B579" s="20">
        <v>575</v>
      </c>
      <c r="C579" s="19">
        <v>44040</v>
      </c>
      <c r="D579" s="21" t="s">
        <v>9</v>
      </c>
      <c r="E579" s="21" t="s">
        <v>14</v>
      </c>
      <c r="F579" s="21" t="s">
        <v>11</v>
      </c>
      <c r="G579" s="22">
        <v>900</v>
      </c>
      <c r="H579" s="20">
        <v>1</v>
      </c>
      <c r="I579" s="32">
        <f>Town_Team[[#This Row],[Item quantity]]*Town_Team[[#This Row],[Selling price]]</f>
        <v>900</v>
      </c>
      <c r="J579" s="33">
        <f>IF(Town_Team[[#This Row],[Item name]]=" Jeans - Denim",Town_Team[[#This Row],[Item Amount]]*85%,Town_Team[[#This Row],[Item Amount]])</f>
        <v>900</v>
      </c>
      <c r="K579" s="39" t="str">
        <f>TEXT(Town_Team[[#This Row],[Date ]],"dddd")</f>
        <v>Tuesday</v>
      </c>
    </row>
    <row r="580" spans="2:11" hidden="1" x14ac:dyDescent="0.3">
      <c r="B580" s="20">
        <v>576</v>
      </c>
      <c r="C580" s="19">
        <v>44041</v>
      </c>
      <c r="D580" s="21" t="s">
        <v>9</v>
      </c>
      <c r="E580" s="21" t="s">
        <v>12</v>
      </c>
      <c r="F580" s="21" t="s">
        <v>11</v>
      </c>
      <c r="G580" s="22">
        <v>900</v>
      </c>
      <c r="H580" s="20">
        <v>1</v>
      </c>
      <c r="I580" s="32">
        <f>Town_Team[[#This Row],[Item quantity]]*Town_Team[[#This Row],[Selling price]]</f>
        <v>900</v>
      </c>
      <c r="J580" s="33">
        <f>IF(Town_Team[[#This Row],[Item name]]=" Jeans - Denim",Town_Team[[#This Row],[Item Amount]]*85%,Town_Team[[#This Row],[Item Amount]])</f>
        <v>765</v>
      </c>
      <c r="K580" s="39" t="str">
        <f>TEXT(Town_Team[[#This Row],[Date ]],"dddd")</f>
        <v>Wednesday</v>
      </c>
    </row>
    <row r="581" spans="2:11" hidden="1" x14ac:dyDescent="0.3">
      <c r="B581" s="20">
        <v>577</v>
      </c>
      <c r="C581" s="19">
        <v>44042</v>
      </c>
      <c r="D581" s="21" t="s">
        <v>9</v>
      </c>
      <c r="E581" s="21" t="s">
        <v>12</v>
      </c>
      <c r="F581" s="21" t="s">
        <v>11</v>
      </c>
      <c r="G581" s="22">
        <v>900</v>
      </c>
      <c r="H581" s="20">
        <v>1</v>
      </c>
      <c r="I581" s="32">
        <f>Town_Team[[#This Row],[Item quantity]]*Town_Team[[#This Row],[Selling price]]</f>
        <v>900</v>
      </c>
      <c r="J581" s="33">
        <f>IF(Town_Team[[#This Row],[Item name]]=" Jeans - Denim",Town_Team[[#This Row],[Item Amount]]*85%,Town_Team[[#This Row],[Item Amount]])</f>
        <v>765</v>
      </c>
      <c r="K581" s="39" t="str">
        <f>TEXT(Town_Team[[#This Row],[Date ]],"dddd")</f>
        <v>Thursday</v>
      </c>
    </row>
    <row r="582" spans="2:11" hidden="1" x14ac:dyDescent="0.3">
      <c r="B582" s="20">
        <v>578</v>
      </c>
      <c r="C582" s="19">
        <v>44043</v>
      </c>
      <c r="D582" s="21" t="s">
        <v>9</v>
      </c>
      <c r="E582" s="21" t="s">
        <v>12</v>
      </c>
      <c r="F582" s="21" t="s">
        <v>11</v>
      </c>
      <c r="G582" s="22">
        <v>900</v>
      </c>
      <c r="H582" s="20">
        <v>1</v>
      </c>
      <c r="I582" s="32">
        <f>Town_Team[[#This Row],[Item quantity]]*Town_Team[[#This Row],[Selling price]]</f>
        <v>900</v>
      </c>
      <c r="J582" s="33">
        <f>IF(Town_Team[[#This Row],[Item name]]=" Jeans - Denim",Town_Team[[#This Row],[Item Amount]]*85%,Town_Team[[#This Row],[Item Amount]])</f>
        <v>765</v>
      </c>
      <c r="K582" s="39" t="str">
        <f>TEXT(Town_Team[[#This Row],[Date ]],"dddd")</f>
        <v>Friday</v>
      </c>
    </row>
    <row r="583" spans="2:11" hidden="1" x14ac:dyDescent="0.3">
      <c r="B583" s="20">
        <v>579</v>
      </c>
      <c r="C583" s="19">
        <v>44044</v>
      </c>
      <c r="D583" s="21" t="s">
        <v>9</v>
      </c>
      <c r="E583" s="21" t="s">
        <v>12</v>
      </c>
      <c r="F583" s="21" t="s">
        <v>11</v>
      </c>
      <c r="G583" s="22">
        <v>1100</v>
      </c>
      <c r="H583" s="20">
        <v>1</v>
      </c>
      <c r="I583" s="32">
        <f>Town_Team[[#This Row],[Item quantity]]*Town_Team[[#This Row],[Selling price]]</f>
        <v>1100</v>
      </c>
      <c r="J583" s="33">
        <f>IF(Town_Team[[#This Row],[Item name]]=" Jeans - Denim",Town_Team[[#This Row],[Item Amount]]*85%,Town_Team[[#This Row],[Item Amount]])</f>
        <v>935</v>
      </c>
      <c r="K583" s="39" t="str">
        <f>TEXT(Town_Team[[#This Row],[Date ]],"dddd")</f>
        <v>Saturday</v>
      </c>
    </row>
    <row r="584" spans="2:11" hidden="1" x14ac:dyDescent="0.3">
      <c r="B584" s="20">
        <v>580</v>
      </c>
      <c r="C584" s="19">
        <v>44045</v>
      </c>
      <c r="D584" s="21" t="s">
        <v>9</v>
      </c>
      <c r="E584" s="21" t="s">
        <v>12</v>
      </c>
      <c r="F584" s="21" t="s">
        <v>11</v>
      </c>
      <c r="G584" s="22">
        <v>1100</v>
      </c>
      <c r="H584" s="20">
        <v>1</v>
      </c>
      <c r="I584" s="32">
        <f>Town_Team[[#This Row],[Item quantity]]*Town_Team[[#This Row],[Selling price]]</f>
        <v>1100</v>
      </c>
      <c r="J584" s="33">
        <f>IF(Town_Team[[#This Row],[Item name]]=" Jeans - Denim",Town_Team[[#This Row],[Item Amount]]*85%,Town_Team[[#This Row],[Item Amount]])</f>
        <v>935</v>
      </c>
      <c r="K584" s="39" t="str">
        <f>TEXT(Town_Team[[#This Row],[Date ]],"dddd")</f>
        <v>Sunday</v>
      </c>
    </row>
    <row r="585" spans="2:11" hidden="1" x14ac:dyDescent="0.3">
      <c r="B585" s="20">
        <v>581</v>
      </c>
      <c r="C585" s="19">
        <v>44046</v>
      </c>
      <c r="D585" s="21" t="s">
        <v>9</v>
      </c>
      <c r="E585" s="21" t="s">
        <v>15</v>
      </c>
      <c r="F585" s="21" t="s">
        <v>11</v>
      </c>
      <c r="G585" s="22">
        <v>1000</v>
      </c>
      <c r="H585" s="20">
        <v>1</v>
      </c>
      <c r="I585" s="32">
        <f>Town_Team[[#This Row],[Item quantity]]*Town_Team[[#This Row],[Selling price]]</f>
        <v>1000</v>
      </c>
      <c r="J585" s="33">
        <f>IF(Town_Team[[#This Row],[Item name]]=" Jeans - Denim",Town_Team[[#This Row],[Item Amount]]*85%,Town_Team[[#This Row],[Item Amount]])</f>
        <v>1000</v>
      </c>
      <c r="K585" s="39" t="str">
        <f>TEXT(Town_Team[[#This Row],[Date ]],"dddd")</f>
        <v>Monday</v>
      </c>
    </row>
    <row r="586" spans="2:11" hidden="1" x14ac:dyDescent="0.3">
      <c r="B586" s="20">
        <v>582</v>
      </c>
      <c r="C586" s="19">
        <v>44047</v>
      </c>
      <c r="D586" s="21" t="s">
        <v>9</v>
      </c>
      <c r="E586" s="21" t="s">
        <v>15</v>
      </c>
      <c r="F586" s="21" t="s">
        <v>11</v>
      </c>
      <c r="G586" s="22">
        <v>1000</v>
      </c>
      <c r="H586" s="20">
        <v>1</v>
      </c>
      <c r="I586" s="32">
        <f>Town_Team[[#This Row],[Item quantity]]*Town_Team[[#This Row],[Selling price]]</f>
        <v>1000</v>
      </c>
      <c r="J586" s="33">
        <f>IF(Town_Team[[#This Row],[Item name]]=" Jeans - Denim",Town_Team[[#This Row],[Item Amount]]*85%,Town_Team[[#This Row],[Item Amount]])</f>
        <v>1000</v>
      </c>
      <c r="K586" s="39" t="str">
        <f>TEXT(Town_Team[[#This Row],[Date ]],"dddd")</f>
        <v>Tuesday</v>
      </c>
    </row>
    <row r="587" spans="2:11" hidden="1" x14ac:dyDescent="0.3">
      <c r="B587" s="20">
        <v>583</v>
      </c>
      <c r="C587" s="19">
        <v>44048</v>
      </c>
      <c r="D587" s="21" t="s">
        <v>9</v>
      </c>
      <c r="E587" s="21" t="s">
        <v>12</v>
      </c>
      <c r="F587" s="21" t="s">
        <v>11</v>
      </c>
      <c r="G587" s="22">
        <v>1100</v>
      </c>
      <c r="H587" s="20">
        <v>1</v>
      </c>
      <c r="I587" s="32">
        <f>Town_Team[[#This Row],[Item quantity]]*Town_Team[[#This Row],[Selling price]]</f>
        <v>1100</v>
      </c>
      <c r="J587" s="33">
        <f>IF(Town_Team[[#This Row],[Item name]]=" Jeans - Denim",Town_Team[[#This Row],[Item Amount]]*85%,Town_Team[[#This Row],[Item Amount]])</f>
        <v>935</v>
      </c>
      <c r="K587" s="39" t="str">
        <f>TEXT(Town_Team[[#This Row],[Date ]],"dddd")</f>
        <v>Wednesday</v>
      </c>
    </row>
    <row r="588" spans="2:11" hidden="1" x14ac:dyDescent="0.3">
      <c r="B588" s="20">
        <v>584</v>
      </c>
      <c r="C588" s="19">
        <v>44049</v>
      </c>
      <c r="D588" s="21" t="s">
        <v>9</v>
      </c>
      <c r="E588" s="21" t="s">
        <v>15</v>
      </c>
      <c r="F588" s="21" t="s">
        <v>11</v>
      </c>
      <c r="G588" s="22">
        <v>1000</v>
      </c>
      <c r="H588" s="20">
        <v>1</v>
      </c>
      <c r="I588" s="32">
        <f>Town_Team[[#This Row],[Item quantity]]*Town_Team[[#This Row],[Selling price]]</f>
        <v>1000</v>
      </c>
      <c r="J588" s="33">
        <f>IF(Town_Team[[#This Row],[Item name]]=" Jeans - Denim",Town_Team[[#This Row],[Item Amount]]*85%,Town_Team[[#This Row],[Item Amount]])</f>
        <v>1000</v>
      </c>
      <c r="K588" s="39" t="str">
        <f>TEXT(Town_Team[[#This Row],[Date ]],"dddd")</f>
        <v>Thursday</v>
      </c>
    </row>
    <row r="589" spans="2:11" hidden="1" x14ac:dyDescent="0.3">
      <c r="B589" s="20">
        <v>585</v>
      </c>
      <c r="C589" s="19">
        <v>44050</v>
      </c>
      <c r="D589" s="21" t="s">
        <v>9</v>
      </c>
      <c r="E589" s="21" t="s">
        <v>12</v>
      </c>
      <c r="F589" s="21" t="s">
        <v>11</v>
      </c>
      <c r="G589" s="22">
        <v>900</v>
      </c>
      <c r="H589" s="20">
        <v>1</v>
      </c>
      <c r="I589" s="32">
        <f>Town_Team[[#This Row],[Item quantity]]*Town_Team[[#This Row],[Selling price]]</f>
        <v>900</v>
      </c>
      <c r="J589" s="33">
        <f>IF(Town_Team[[#This Row],[Item name]]=" Jeans - Denim",Town_Team[[#This Row],[Item Amount]]*85%,Town_Team[[#This Row],[Item Amount]])</f>
        <v>765</v>
      </c>
      <c r="K589" s="39" t="str">
        <f>TEXT(Town_Team[[#This Row],[Date ]],"dddd")</f>
        <v>Friday</v>
      </c>
    </row>
    <row r="590" spans="2:11" hidden="1" x14ac:dyDescent="0.3">
      <c r="B590" s="20">
        <v>586</v>
      </c>
      <c r="C590" s="19">
        <v>44051</v>
      </c>
      <c r="D590" s="21" t="s">
        <v>9</v>
      </c>
      <c r="E590" s="21" t="s">
        <v>12</v>
      </c>
      <c r="F590" s="21" t="s">
        <v>11</v>
      </c>
      <c r="G590" s="22">
        <v>900</v>
      </c>
      <c r="H590" s="20">
        <v>2</v>
      </c>
      <c r="I590" s="32">
        <f>Town_Team[[#This Row],[Item quantity]]*Town_Team[[#This Row],[Selling price]]</f>
        <v>1800</v>
      </c>
      <c r="J590" s="33">
        <f>IF(Town_Team[[#This Row],[Item name]]=" Jeans - Denim",Town_Team[[#This Row],[Item Amount]]*85%,Town_Team[[#This Row],[Item Amount]])</f>
        <v>1530</v>
      </c>
      <c r="K590" s="39" t="str">
        <f>TEXT(Town_Team[[#This Row],[Date ]],"dddd")</f>
        <v>Saturday</v>
      </c>
    </row>
    <row r="591" spans="2:11" hidden="1" x14ac:dyDescent="0.3">
      <c r="B591" s="20">
        <v>587</v>
      </c>
      <c r="C591" s="19">
        <v>44052</v>
      </c>
      <c r="D591" s="21" t="s">
        <v>9</v>
      </c>
      <c r="E591" s="21" t="s">
        <v>12</v>
      </c>
      <c r="F591" s="21" t="s">
        <v>11</v>
      </c>
      <c r="G591" s="22">
        <v>1100</v>
      </c>
      <c r="H591" s="20">
        <v>1</v>
      </c>
      <c r="I591" s="32">
        <f>Town_Team[[#This Row],[Item quantity]]*Town_Team[[#This Row],[Selling price]]</f>
        <v>1100</v>
      </c>
      <c r="J591" s="33">
        <f>IF(Town_Team[[#This Row],[Item name]]=" Jeans - Denim",Town_Team[[#This Row],[Item Amount]]*85%,Town_Team[[#This Row],[Item Amount]])</f>
        <v>935</v>
      </c>
      <c r="K591" s="39" t="str">
        <f>TEXT(Town_Team[[#This Row],[Date ]],"dddd")</f>
        <v>Sunday</v>
      </c>
    </row>
    <row r="592" spans="2:11" hidden="1" x14ac:dyDescent="0.3">
      <c r="B592" s="20">
        <v>588</v>
      </c>
      <c r="C592" s="19">
        <v>44053</v>
      </c>
      <c r="D592" s="21" t="s">
        <v>9</v>
      </c>
      <c r="E592" s="21" t="s">
        <v>12</v>
      </c>
      <c r="F592" s="21" t="s">
        <v>11</v>
      </c>
      <c r="G592" s="22">
        <v>900</v>
      </c>
      <c r="H592" s="20">
        <v>1</v>
      </c>
      <c r="I592" s="32">
        <f>Town_Team[[#This Row],[Item quantity]]*Town_Team[[#This Row],[Selling price]]</f>
        <v>900</v>
      </c>
      <c r="J592" s="33">
        <f>IF(Town_Team[[#This Row],[Item name]]=" Jeans - Denim",Town_Team[[#This Row],[Item Amount]]*85%,Town_Team[[#This Row],[Item Amount]])</f>
        <v>765</v>
      </c>
      <c r="K592" s="39" t="str">
        <f>TEXT(Town_Team[[#This Row],[Date ]],"dddd")</f>
        <v>Monday</v>
      </c>
    </row>
    <row r="593" spans="2:11" hidden="1" x14ac:dyDescent="0.3">
      <c r="B593" s="20">
        <v>589</v>
      </c>
      <c r="C593" s="19">
        <v>44054</v>
      </c>
      <c r="D593" s="21" t="s">
        <v>9</v>
      </c>
      <c r="E593" s="21" t="s">
        <v>12</v>
      </c>
      <c r="F593" s="21" t="s">
        <v>11</v>
      </c>
      <c r="G593" s="22">
        <v>1100</v>
      </c>
      <c r="H593" s="20">
        <v>1</v>
      </c>
      <c r="I593" s="32">
        <f>Town_Team[[#This Row],[Item quantity]]*Town_Team[[#This Row],[Selling price]]</f>
        <v>1100</v>
      </c>
      <c r="J593" s="33">
        <f>IF(Town_Team[[#This Row],[Item name]]=" Jeans - Denim",Town_Team[[#This Row],[Item Amount]]*85%,Town_Team[[#This Row],[Item Amount]])</f>
        <v>935</v>
      </c>
      <c r="K593" s="39" t="str">
        <f>TEXT(Town_Team[[#This Row],[Date ]],"dddd")</f>
        <v>Tuesday</v>
      </c>
    </row>
    <row r="594" spans="2:11" hidden="1" x14ac:dyDescent="0.3">
      <c r="B594" s="20">
        <v>590</v>
      </c>
      <c r="C594" s="19">
        <v>44055</v>
      </c>
      <c r="D594" s="21" t="s">
        <v>9</v>
      </c>
      <c r="E594" s="21" t="s">
        <v>16</v>
      </c>
      <c r="F594" s="21" t="s">
        <v>17</v>
      </c>
      <c r="G594" s="22">
        <v>800</v>
      </c>
      <c r="H594" s="20">
        <v>1</v>
      </c>
      <c r="I594" s="32">
        <f>Town_Team[[#This Row],[Item quantity]]*Town_Team[[#This Row],[Selling price]]</f>
        <v>800</v>
      </c>
      <c r="J594" s="33">
        <f>IF(Town_Team[[#This Row],[Item name]]=" Jeans - Denim",Town_Team[[#This Row],[Item Amount]]*85%,Town_Team[[#This Row],[Item Amount]])</f>
        <v>800</v>
      </c>
      <c r="K594" s="39" t="str">
        <f>TEXT(Town_Team[[#This Row],[Date ]],"dddd")</f>
        <v>Wednesday</v>
      </c>
    </row>
    <row r="595" spans="2:11" hidden="1" x14ac:dyDescent="0.3">
      <c r="B595" s="20">
        <v>591</v>
      </c>
      <c r="C595" s="19">
        <v>44056</v>
      </c>
      <c r="D595" s="21" t="s">
        <v>9</v>
      </c>
      <c r="E595" s="21" t="s">
        <v>16</v>
      </c>
      <c r="F595" s="21" t="s">
        <v>17</v>
      </c>
      <c r="G595" s="22">
        <v>800</v>
      </c>
      <c r="H595" s="20">
        <v>2</v>
      </c>
      <c r="I595" s="32">
        <f>Town_Team[[#This Row],[Item quantity]]*Town_Team[[#This Row],[Selling price]]</f>
        <v>1600</v>
      </c>
      <c r="J595" s="33">
        <f>IF(Town_Team[[#This Row],[Item name]]=" Jeans - Denim",Town_Team[[#This Row],[Item Amount]]*85%,Town_Team[[#This Row],[Item Amount]])</f>
        <v>1600</v>
      </c>
      <c r="K595" s="39" t="str">
        <f>TEXT(Town_Team[[#This Row],[Date ]],"dddd")</f>
        <v>Thursday</v>
      </c>
    </row>
    <row r="596" spans="2:11" hidden="1" x14ac:dyDescent="0.3">
      <c r="B596" s="20">
        <v>592</v>
      </c>
      <c r="C596" s="19">
        <v>44057</v>
      </c>
      <c r="D596" s="21" t="s">
        <v>9</v>
      </c>
      <c r="E596" s="21" t="s">
        <v>14</v>
      </c>
      <c r="F596" s="21" t="s">
        <v>11</v>
      </c>
      <c r="G596" s="22">
        <v>900</v>
      </c>
      <c r="H596" s="20">
        <v>1</v>
      </c>
      <c r="I596" s="32">
        <f>Town_Team[[#This Row],[Item quantity]]*Town_Team[[#This Row],[Selling price]]</f>
        <v>900</v>
      </c>
      <c r="J596" s="33">
        <f>IF(Town_Team[[#This Row],[Item name]]=" Jeans - Denim",Town_Team[[#This Row],[Item Amount]]*85%,Town_Team[[#This Row],[Item Amount]])</f>
        <v>900</v>
      </c>
      <c r="K596" s="39" t="str">
        <f>TEXT(Town_Team[[#This Row],[Date ]],"dddd")</f>
        <v>Friday</v>
      </c>
    </row>
    <row r="597" spans="2:11" hidden="1" x14ac:dyDescent="0.3">
      <c r="B597" s="20">
        <v>593</v>
      </c>
      <c r="C597" s="19">
        <v>44058</v>
      </c>
      <c r="D597" s="21" t="s">
        <v>9</v>
      </c>
      <c r="E597" s="21" t="s">
        <v>12</v>
      </c>
      <c r="F597" s="21" t="s">
        <v>11</v>
      </c>
      <c r="G597" s="22">
        <v>1100</v>
      </c>
      <c r="H597" s="20">
        <v>1</v>
      </c>
      <c r="I597" s="32">
        <f>Town_Team[[#This Row],[Item quantity]]*Town_Team[[#This Row],[Selling price]]</f>
        <v>1100</v>
      </c>
      <c r="J597" s="33">
        <f>IF(Town_Team[[#This Row],[Item name]]=" Jeans - Denim",Town_Team[[#This Row],[Item Amount]]*85%,Town_Team[[#This Row],[Item Amount]])</f>
        <v>935</v>
      </c>
      <c r="K597" s="39" t="str">
        <f>TEXT(Town_Team[[#This Row],[Date ]],"dddd")</f>
        <v>Saturday</v>
      </c>
    </row>
    <row r="598" spans="2:11" hidden="1" x14ac:dyDescent="0.3">
      <c r="B598" s="20">
        <v>594</v>
      </c>
      <c r="C598" s="19">
        <v>44059</v>
      </c>
      <c r="D598" s="21" t="s">
        <v>9</v>
      </c>
      <c r="E598" s="21" t="s">
        <v>16</v>
      </c>
      <c r="F598" s="21" t="s">
        <v>17</v>
      </c>
      <c r="G598" s="22">
        <v>800</v>
      </c>
      <c r="H598" s="20">
        <v>1</v>
      </c>
      <c r="I598" s="32">
        <f>Town_Team[[#This Row],[Item quantity]]*Town_Team[[#This Row],[Selling price]]</f>
        <v>800</v>
      </c>
      <c r="J598" s="33">
        <f>IF(Town_Team[[#This Row],[Item name]]=" Jeans - Denim",Town_Team[[#This Row],[Item Amount]]*85%,Town_Team[[#This Row],[Item Amount]])</f>
        <v>800</v>
      </c>
      <c r="K598" s="39" t="str">
        <f>TEXT(Town_Team[[#This Row],[Date ]],"dddd")</f>
        <v>Sunday</v>
      </c>
    </row>
    <row r="599" spans="2:11" hidden="1" x14ac:dyDescent="0.3">
      <c r="B599" s="20">
        <v>595</v>
      </c>
      <c r="C599" s="19">
        <v>44060</v>
      </c>
      <c r="D599" s="21" t="s">
        <v>9</v>
      </c>
      <c r="E599" s="21" t="s">
        <v>15</v>
      </c>
      <c r="F599" s="21" t="s">
        <v>11</v>
      </c>
      <c r="G599" s="22">
        <v>1000</v>
      </c>
      <c r="H599" s="20">
        <v>1</v>
      </c>
      <c r="I599" s="32">
        <f>Town_Team[[#This Row],[Item quantity]]*Town_Team[[#This Row],[Selling price]]</f>
        <v>1000</v>
      </c>
      <c r="J599" s="33">
        <f>IF(Town_Team[[#This Row],[Item name]]=" Jeans - Denim",Town_Team[[#This Row],[Item Amount]]*85%,Town_Team[[#This Row],[Item Amount]])</f>
        <v>1000</v>
      </c>
      <c r="K599" s="39" t="str">
        <f>TEXT(Town_Team[[#This Row],[Date ]],"dddd")</f>
        <v>Monday</v>
      </c>
    </row>
    <row r="600" spans="2:11" hidden="1" x14ac:dyDescent="0.3">
      <c r="B600" s="20">
        <v>596</v>
      </c>
      <c r="C600" s="19">
        <v>44061</v>
      </c>
      <c r="D600" s="21" t="s">
        <v>9</v>
      </c>
      <c r="E600" s="21" t="s">
        <v>16</v>
      </c>
      <c r="F600" s="21" t="s">
        <v>17</v>
      </c>
      <c r="G600" s="22">
        <v>800</v>
      </c>
      <c r="H600" s="20">
        <v>1</v>
      </c>
      <c r="I600" s="32">
        <f>Town_Team[[#This Row],[Item quantity]]*Town_Team[[#This Row],[Selling price]]</f>
        <v>800</v>
      </c>
      <c r="J600" s="33">
        <f>IF(Town_Team[[#This Row],[Item name]]=" Jeans - Denim",Town_Team[[#This Row],[Item Amount]]*85%,Town_Team[[#This Row],[Item Amount]])</f>
        <v>800</v>
      </c>
      <c r="K600" s="39" t="str">
        <f>TEXT(Town_Team[[#This Row],[Date ]],"dddd")</f>
        <v>Tuesday</v>
      </c>
    </row>
    <row r="601" spans="2:11" hidden="1" x14ac:dyDescent="0.3">
      <c r="B601" s="20">
        <v>597</v>
      </c>
      <c r="C601" s="19">
        <v>44062</v>
      </c>
      <c r="D601" s="21" t="s">
        <v>9</v>
      </c>
      <c r="E601" s="21" t="s">
        <v>18</v>
      </c>
      <c r="F601" s="21" t="s">
        <v>17</v>
      </c>
      <c r="G601" s="22">
        <v>600</v>
      </c>
      <c r="H601" s="20">
        <v>1</v>
      </c>
      <c r="I601" s="32">
        <f>Town_Team[[#This Row],[Item quantity]]*Town_Team[[#This Row],[Selling price]]</f>
        <v>600</v>
      </c>
      <c r="J601" s="33">
        <f>IF(Town_Team[[#This Row],[Item name]]=" Jeans - Denim",Town_Team[[#This Row],[Item Amount]]*85%,Town_Team[[#This Row],[Item Amount]])</f>
        <v>600</v>
      </c>
      <c r="K601" s="39" t="str">
        <f>TEXT(Town_Team[[#This Row],[Date ]],"dddd")</f>
        <v>Wednesday</v>
      </c>
    </row>
    <row r="602" spans="2:11" hidden="1" x14ac:dyDescent="0.3">
      <c r="B602" s="20">
        <v>598</v>
      </c>
      <c r="C602" s="19">
        <v>44063</v>
      </c>
      <c r="D602" s="21" t="s">
        <v>9</v>
      </c>
      <c r="E602" s="21" t="s">
        <v>12</v>
      </c>
      <c r="F602" s="21" t="s">
        <v>11</v>
      </c>
      <c r="G602" s="22">
        <v>900</v>
      </c>
      <c r="H602" s="20">
        <v>1</v>
      </c>
      <c r="I602" s="32">
        <f>Town_Team[[#This Row],[Item quantity]]*Town_Team[[#This Row],[Selling price]]</f>
        <v>900</v>
      </c>
      <c r="J602" s="33">
        <f>IF(Town_Team[[#This Row],[Item name]]=" Jeans - Denim",Town_Team[[#This Row],[Item Amount]]*85%,Town_Team[[#This Row],[Item Amount]])</f>
        <v>765</v>
      </c>
      <c r="K602" s="39" t="str">
        <f>TEXT(Town_Team[[#This Row],[Date ]],"dddd")</f>
        <v>Thursday</v>
      </c>
    </row>
    <row r="603" spans="2:11" hidden="1" x14ac:dyDescent="0.3">
      <c r="B603" s="20">
        <v>599</v>
      </c>
      <c r="C603" s="19">
        <v>44064</v>
      </c>
      <c r="D603" s="21" t="s">
        <v>9</v>
      </c>
      <c r="E603" s="21" t="s">
        <v>12</v>
      </c>
      <c r="F603" s="21" t="s">
        <v>11</v>
      </c>
      <c r="G603" s="22">
        <v>1100</v>
      </c>
      <c r="H603" s="20">
        <v>1</v>
      </c>
      <c r="I603" s="32">
        <f>Town_Team[[#This Row],[Item quantity]]*Town_Team[[#This Row],[Selling price]]</f>
        <v>1100</v>
      </c>
      <c r="J603" s="33">
        <f>IF(Town_Team[[#This Row],[Item name]]=" Jeans - Denim",Town_Team[[#This Row],[Item Amount]]*85%,Town_Team[[#This Row],[Item Amount]])</f>
        <v>935</v>
      </c>
      <c r="K603" s="39" t="str">
        <f>TEXT(Town_Team[[#This Row],[Date ]],"dddd")</f>
        <v>Friday</v>
      </c>
    </row>
    <row r="604" spans="2:11" hidden="1" x14ac:dyDescent="0.3">
      <c r="B604" s="20">
        <v>600</v>
      </c>
      <c r="C604" s="19">
        <v>44065</v>
      </c>
      <c r="D604" s="21" t="s">
        <v>9</v>
      </c>
      <c r="E604" s="21" t="s">
        <v>15</v>
      </c>
      <c r="F604" s="21" t="s">
        <v>11</v>
      </c>
      <c r="G604" s="22">
        <v>1000</v>
      </c>
      <c r="H604" s="20">
        <v>1</v>
      </c>
      <c r="I604" s="32">
        <f>Town_Team[[#This Row],[Item quantity]]*Town_Team[[#This Row],[Selling price]]</f>
        <v>1000</v>
      </c>
      <c r="J604" s="33">
        <f>IF(Town_Team[[#This Row],[Item name]]=" Jeans - Denim",Town_Team[[#This Row],[Item Amount]]*85%,Town_Team[[#This Row],[Item Amount]])</f>
        <v>1000</v>
      </c>
      <c r="K604" s="39" t="str">
        <f>TEXT(Town_Team[[#This Row],[Date ]],"dddd")</f>
        <v>Saturday</v>
      </c>
    </row>
    <row r="605" spans="2:11" hidden="1" x14ac:dyDescent="0.3">
      <c r="B605" s="20">
        <v>601</v>
      </c>
      <c r="C605" s="19">
        <v>44066</v>
      </c>
      <c r="D605" s="21" t="s">
        <v>9</v>
      </c>
      <c r="E605" s="21" t="s">
        <v>12</v>
      </c>
      <c r="F605" s="21" t="s">
        <v>11</v>
      </c>
      <c r="G605" s="22">
        <v>900</v>
      </c>
      <c r="H605" s="20">
        <v>1</v>
      </c>
      <c r="I605" s="32">
        <f>Town_Team[[#This Row],[Item quantity]]*Town_Team[[#This Row],[Selling price]]</f>
        <v>900</v>
      </c>
      <c r="J605" s="33">
        <f>IF(Town_Team[[#This Row],[Item name]]=" Jeans - Denim",Town_Team[[#This Row],[Item Amount]]*85%,Town_Team[[#This Row],[Item Amount]])</f>
        <v>765</v>
      </c>
      <c r="K605" s="39" t="str">
        <f>TEXT(Town_Team[[#This Row],[Date ]],"dddd")</f>
        <v>Sunday</v>
      </c>
    </row>
    <row r="606" spans="2:11" hidden="1" x14ac:dyDescent="0.3">
      <c r="B606" s="20">
        <v>602</v>
      </c>
      <c r="C606" s="19">
        <v>44067</v>
      </c>
      <c r="D606" s="21" t="s">
        <v>9</v>
      </c>
      <c r="E606" s="21" t="s">
        <v>12</v>
      </c>
      <c r="F606" s="21" t="s">
        <v>11</v>
      </c>
      <c r="G606" s="22">
        <v>1100</v>
      </c>
      <c r="H606" s="20">
        <v>2</v>
      </c>
      <c r="I606" s="32">
        <f>Town_Team[[#This Row],[Item quantity]]*Town_Team[[#This Row],[Selling price]]</f>
        <v>2200</v>
      </c>
      <c r="J606" s="33">
        <f>IF(Town_Team[[#This Row],[Item name]]=" Jeans - Denim",Town_Team[[#This Row],[Item Amount]]*85%,Town_Team[[#This Row],[Item Amount]])</f>
        <v>1870</v>
      </c>
      <c r="K606" s="39" t="str">
        <f>TEXT(Town_Team[[#This Row],[Date ]],"dddd")</f>
        <v>Monday</v>
      </c>
    </row>
    <row r="607" spans="2:11" hidden="1" x14ac:dyDescent="0.3">
      <c r="B607" s="20">
        <v>603</v>
      </c>
      <c r="C607" s="19">
        <v>44068</v>
      </c>
      <c r="D607" s="21" t="s">
        <v>9</v>
      </c>
      <c r="E607" s="21" t="s">
        <v>18</v>
      </c>
      <c r="F607" s="21" t="s">
        <v>17</v>
      </c>
      <c r="G607" s="22">
        <v>600</v>
      </c>
      <c r="H607" s="20">
        <v>1</v>
      </c>
      <c r="I607" s="32">
        <f>Town_Team[[#This Row],[Item quantity]]*Town_Team[[#This Row],[Selling price]]</f>
        <v>600</v>
      </c>
      <c r="J607" s="33">
        <f>IF(Town_Team[[#This Row],[Item name]]=" Jeans - Denim",Town_Team[[#This Row],[Item Amount]]*85%,Town_Team[[#This Row],[Item Amount]])</f>
        <v>600</v>
      </c>
      <c r="K607" s="39" t="str">
        <f>TEXT(Town_Team[[#This Row],[Date ]],"dddd")</f>
        <v>Tuesday</v>
      </c>
    </row>
    <row r="608" spans="2:11" hidden="1" x14ac:dyDescent="0.3">
      <c r="B608" s="20">
        <v>604</v>
      </c>
      <c r="C608" s="19">
        <v>44069</v>
      </c>
      <c r="D608" s="21" t="s">
        <v>9</v>
      </c>
      <c r="E608" s="21" t="s">
        <v>18</v>
      </c>
      <c r="F608" s="21" t="s">
        <v>17</v>
      </c>
      <c r="G608" s="22">
        <v>600</v>
      </c>
      <c r="H608" s="20">
        <v>1</v>
      </c>
      <c r="I608" s="32">
        <f>Town_Team[[#This Row],[Item quantity]]*Town_Team[[#This Row],[Selling price]]</f>
        <v>600</v>
      </c>
      <c r="J608" s="33">
        <f>IF(Town_Team[[#This Row],[Item name]]=" Jeans - Denim",Town_Team[[#This Row],[Item Amount]]*85%,Town_Team[[#This Row],[Item Amount]])</f>
        <v>600</v>
      </c>
      <c r="K608" s="39" t="str">
        <f>TEXT(Town_Team[[#This Row],[Date ]],"dddd")</f>
        <v>Wednesday</v>
      </c>
    </row>
    <row r="609" spans="2:11" hidden="1" x14ac:dyDescent="0.3">
      <c r="B609" s="20">
        <v>605</v>
      </c>
      <c r="C609" s="19">
        <v>44070</v>
      </c>
      <c r="D609" s="21" t="s">
        <v>9</v>
      </c>
      <c r="E609" s="21" t="s">
        <v>18</v>
      </c>
      <c r="F609" s="21" t="s">
        <v>17</v>
      </c>
      <c r="G609" s="22">
        <v>600</v>
      </c>
      <c r="H609" s="20">
        <v>1</v>
      </c>
      <c r="I609" s="32">
        <f>Town_Team[[#This Row],[Item quantity]]*Town_Team[[#This Row],[Selling price]]</f>
        <v>600</v>
      </c>
      <c r="J609" s="33">
        <f>IF(Town_Team[[#This Row],[Item name]]=" Jeans - Denim",Town_Team[[#This Row],[Item Amount]]*85%,Town_Team[[#This Row],[Item Amount]])</f>
        <v>600</v>
      </c>
      <c r="K609" s="39" t="str">
        <f>TEXT(Town_Team[[#This Row],[Date ]],"dddd")</f>
        <v>Thursday</v>
      </c>
    </row>
    <row r="610" spans="2:11" hidden="1" x14ac:dyDescent="0.3">
      <c r="B610" s="20">
        <v>606</v>
      </c>
      <c r="C610" s="19">
        <v>44071</v>
      </c>
      <c r="D610" s="21" t="s">
        <v>9</v>
      </c>
      <c r="E610" s="21" t="s">
        <v>12</v>
      </c>
      <c r="F610" s="21" t="s">
        <v>11</v>
      </c>
      <c r="G610" s="22">
        <v>900</v>
      </c>
      <c r="H610" s="20">
        <v>1</v>
      </c>
      <c r="I610" s="32">
        <f>Town_Team[[#This Row],[Item quantity]]*Town_Team[[#This Row],[Selling price]]</f>
        <v>900</v>
      </c>
      <c r="J610" s="33">
        <f>IF(Town_Team[[#This Row],[Item name]]=" Jeans - Denim",Town_Team[[#This Row],[Item Amount]]*85%,Town_Team[[#This Row],[Item Amount]])</f>
        <v>765</v>
      </c>
      <c r="K610" s="39" t="str">
        <f>TEXT(Town_Team[[#This Row],[Date ]],"dddd")</f>
        <v>Friday</v>
      </c>
    </row>
    <row r="611" spans="2:11" hidden="1" x14ac:dyDescent="0.3">
      <c r="B611" s="20">
        <v>607</v>
      </c>
      <c r="C611" s="19">
        <v>44072</v>
      </c>
      <c r="D611" s="21" t="s">
        <v>9</v>
      </c>
      <c r="E611" s="21" t="s">
        <v>18</v>
      </c>
      <c r="F611" s="21" t="s">
        <v>17</v>
      </c>
      <c r="G611" s="22">
        <v>600</v>
      </c>
      <c r="H611" s="20">
        <v>1</v>
      </c>
      <c r="I611" s="32">
        <f>Town_Team[[#This Row],[Item quantity]]*Town_Team[[#This Row],[Selling price]]</f>
        <v>600</v>
      </c>
      <c r="J611" s="33">
        <f>IF(Town_Team[[#This Row],[Item name]]=" Jeans - Denim",Town_Team[[#This Row],[Item Amount]]*85%,Town_Team[[#This Row],[Item Amount]])</f>
        <v>600</v>
      </c>
      <c r="K611" s="39" t="str">
        <f>TEXT(Town_Team[[#This Row],[Date ]],"dddd")</f>
        <v>Saturday</v>
      </c>
    </row>
    <row r="612" spans="2:11" hidden="1" x14ac:dyDescent="0.3">
      <c r="B612" s="20">
        <v>608</v>
      </c>
      <c r="C612" s="19">
        <v>44073</v>
      </c>
      <c r="D612" s="21" t="s">
        <v>9</v>
      </c>
      <c r="E612" s="21" t="s">
        <v>18</v>
      </c>
      <c r="F612" s="21" t="s">
        <v>17</v>
      </c>
      <c r="G612" s="22">
        <v>600</v>
      </c>
      <c r="H612" s="20">
        <v>1</v>
      </c>
      <c r="I612" s="32">
        <f>Town_Team[[#This Row],[Item quantity]]*Town_Team[[#This Row],[Selling price]]</f>
        <v>600</v>
      </c>
      <c r="J612" s="33">
        <f>IF(Town_Team[[#This Row],[Item name]]=" Jeans - Denim",Town_Team[[#This Row],[Item Amount]]*85%,Town_Team[[#This Row],[Item Amount]])</f>
        <v>600</v>
      </c>
      <c r="K612" s="39" t="str">
        <f>TEXT(Town_Team[[#This Row],[Date ]],"dddd")</f>
        <v>Sunday</v>
      </c>
    </row>
    <row r="613" spans="2:11" hidden="1" x14ac:dyDescent="0.3">
      <c r="B613" s="20">
        <v>609</v>
      </c>
      <c r="C613" s="19">
        <v>44074</v>
      </c>
      <c r="D613" s="21" t="s">
        <v>9</v>
      </c>
      <c r="E613" s="21" t="s">
        <v>12</v>
      </c>
      <c r="F613" s="21" t="s">
        <v>11</v>
      </c>
      <c r="G613" s="22">
        <v>1100</v>
      </c>
      <c r="H613" s="20">
        <v>1</v>
      </c>
      <c r="I613" s="32">
        <f>Town_Team[[#This Row],[Item quantity]]*Town_Team[[#This Row],[Selling price]]</f>
        <v>1100</v>
      </c>
      <c r="J613" s="33">
        <f>IF(Town_Team[[#This Row],[Item name]]=" Jeans - Denim",Town_Team[[#This Row],[Item Amount]]*85%,Town_Team[[#This Row],[Item Amount]])</f>
        <v>935</v>
      </c>
      <c r="K613" s="39" t="str">
        <f>TEXT(Town_Team[[#This Row],[Date ]],"dddd")</f>
        <v>Monday</v>
      </c>
    </row>
    <row r="614" spans="2:11" hidden="1" x14ac:dyDescent="0.3">
      <c r="B614" s="20">
        <v>610</v>
      </c>
      <c r="C614" s="19">
        <v>44075</v>
      </c>
      <c r="D614" s="21" t="s">
        <v>9</v>
      </c>
      <c r="E614" s="21" t="s">
        <v>14</v>
      </c>
      <c r="F614" s="21" t="s">
        <v>11</v>
      </c>
      <c r="G614" s="22">
        <v>900</v>
      </c>
      <c r="H614" s="20">
        <v>3</v>
      </c>
      <c r="I614" s="32">
        <f>Town_Team[[#This Row],[Item quantity]]*Town_Team[[#This Row],[Selling price]]</f>
        <v>2700</v>
      </c>
      <c r="J614" s="33">
        <f>IF(Town_Team[[#This Row],[Item name]]=" Jeans - Denim",Town_Team[[#This Row],[Item Amount]]*85%,Town_Team[[#This Row],[Item Amount]])</f>
        <v>2700</v>
      </c>
      <c r="K614" s="39" t="str">
        <f>TEXT(Town_Team[[#This Row],[Date ]],"dddd")</f>
        <v>Tuesday</v>
      </c>
    </row>
    <row r="615" spans="2:11" hidden="1" x14ac:dyDescent="0.3">
      <c r="B615" s="20">
        <v>611</v>
      </c>
      <c r="C615" s="19">
        <v>44076</v>
      </c>
      <c r="D615" s="21" t="s">
        <v>9</v>
      </c>
      <c r="E615" s="21" t="s">
        <v>12</v>
      </c>
      <c r="F615" s="21" t="s">
        <v>11</v>
      </c>
      <c r="G615" s="22">
        <v>1100</v>
      </c>
      <c r="H615" s="20">
        <v>2</v>
      </c>
      <c r="I615" s="32">
        <f>Town_Team[[#This Row],[Item quantity]]*Town_Team[[#This Row],[Selling price]]</f>
        <v>2200</v>
      </c>
      <c r="J615" s="33">
        <f>IF(Town_Team[[#This Row],[Item name]]=" Jeans - Denim",Town_Team[[#This Row],[Item Amount]]*85%,Town_Team[[#This Row],[Item Amount]])</f>
        <v>1870</v>
      </c>
      <c r="K615" s="39" t="str">
        <f>TEXT(Town_Team[[#This Row],[Date ]],"dddd")</f>
        <v>Wednesday</v>
      </c>
    </row>
    <row r="616" spans="2:11" hidden="1" x14ac:dyDescent="0.3">
      <c r="B616" s="20">
        <v>612</v>
      </c>
      <c r="C616" s="19">
        <v>44077</v>
      </c>
      <c r="D616" s="21" t="s">
        <v>9</v>
      </c>
      <c r="E616" s="21" t="s">
        <v>12</v>
      </c>
      <c r="F616" s="21" t="s">
        <v>11</v>
      </c>
      <c r="G616" s="22">
        <v>1100</v>
      </c>
      <c r="H616" s="20">
        <v>1</v>
      </c>
      <c r="I616" s="32">
        <f>Town_Team[[#This Row],[Item quantity]]*Town_Team[[#This Row],[Selling price]]</f>
        <v>1100</v>
      </c>
      <c r="J616" s="33">
        <f>IF(Town_Team[[#This Row],[Item name]]=" Jeans - Denim",Town_Team[[#This Row],[Item Amount]]*85%,Town_Team[[#This Row],[Item Amount]])</f>
        <v>935</v>
      </c>
      <c r="K616" s="39" t="str">
        <f>TEXT(Town_Team[[#This Row],[Date ]],"dddd")</f>
        <v>Thursday</v>
      </c>
    </row>
    <row r="617" spans="2:11" hidden="1" x14ac:dyDescent="0.3">
      <c r="B617" s="20">
        <v>613</v>
      </c>
      <c r="C617" s="19">
        <v>44078</v>
      </c>
      <c r="D617" s="21" t="s">
        <v>9</v>
      </c>
      <c r="E617" s="21" t="s">
        <v>18</v>
      </c>
      <c r="F617" s="21" t="s">
        <v>17</v>
      </c>
      <c r="G617" s="22">
        <v>600</v>
      </c>
      <c r="H617" s="20">
        <v>1</v>
      </c>
      <c r="I617" s="32">
        <f>Town_Team[[#This Row],[Item quantity]]*Town_Team[[#This Row],[Selling price]]</f>
        <v>600</v>
      </c>
      <c r="J617" s="33">
        <f>IF(Town_Team[[#This Row],[Item name]]=" Jeans - Denim",Town_Team[[#This Row],[Item Amount]]*85%,Town_Team[[#This Row],[Item Amount]])</f>
        <v>600</v>
      </c>
      <c r="K617" s="39" t="str">
        <f>TEXT(Town_Team[[#This Row],[Date ]],"dddd")</f>
        <v>Friday</v>
      </c>
    </row>
    <row r="618" spans="2:11" hidden="1" x14ac:dyDescent="0.3">
      <c r="B618" s="20">
        <v>614</v>
      </c>
      <c r="C618" s="19">
        <v>44079</v>
      </c>
      <c r="D618" s="21" t="s">
        <v>9</v>
      </c>
      <c r="E618" s="21" t="s">
        <v>12</v>
      </c>
      <c r="F618" s="21" t="s">
        <v>11</v>
      </c>
      <c r="G618" s="22">
        <v>900</v>
      </c>
      <c r="H618" s="20">
        <v>1</v>
      </c>
      <c r="I618" s="32">
        <f>Town_Team[[#This Row],[Item quantity]]*Town_Team[[#This Row],[Selling price]]</f>
        <v>900</v>
      </c>
      <c r="J618" s="33">
        <f>IF(Town_Team[[#This Row],[Item name]]=" Jeans - Denim",Town_Team[[#This Row],[Item Amount]]*85%,Town_Team[[#This Row],[Item Amount]])</f>
        <v>765</v>
      </c>
      <c r="K618" s="39" t="str">
        <f>TEXT(Town_Team[[#This Row],[Date ]],"dddd")</f>
        <v>Saturday</v>
      </c>
    </row>
    <row r="619" spans="2:11" hidden="1" x14ac:dyDescent="0.3">
      <c r="B619" s="20">
        <v>615</v>
      </c>
      <c r="C619" s="19">
        <v>44080</v>
      </c>
      <c r="D619" s="21" t="s">
        <v>9</v>
      </c>
      <c r="E619" s="21" t="s">
        <v>18</v>
      </c>
      <c r="F619" s="21" t="s">
        <v>17</v>
      </c>
      <c r="G619" s="22">
        <v>600</v>
      </c>
      <c r="H619" s="20">
        <v>1</v>
      </c>
      <c r="I619" s="32">
        <f>Town_Team[[#This Row],[Item quantity]]*Town_Team[[#This Row],[Selling price]]</f>
        <v>600</v>
      </c>
      <c r="J619" s="33">
        <f>IF(Town_Team[[#This Row],[Item name]]=" Jeans - Denim",Town_Team[[#This Row],[Item Amount]]*85%,Town_Team[[#This Row],[Item Amount]])</f>
        <v>600</v>
      </c>
      <c r="K619" s="39" t="str">
        <f>TEXT(Town_Team[[#This Row],[Date ]],"dddd")</f>
        <v>Sunday</v>
      </c>
    </row>
    <row r="620" spans="2:11" hidden="1" x14ac:dyDescent="0.3">
      <c r="B620" s="20">
        <v>616</v>
      </c>
      <c r="C620" s="19">
        <v>44081</v>
      </c>
      <c r="D620" s="21" t="s">
        <v>9</v>
      </c>
      <c r="E620" s="21" t="s">
        <v>18</v>
      </c>
      <c r="F620" s="21" t="s">
        <v>17</v>
      </c>
      <c r="G620" s="22">
        <v>600</v>
      </c>
      <c r="H620" s="20">
        <v>1</v>
      </c>
      <c r="I620" s="32">
        <f>Town_Team[[#This Row],[Item quantity]]*Town_Team[[#This Row],[Selling price]]</f>
        <v>600</v>
      </c>
      <c r="J620" s="33">
        <f>IF(Town_Team[[#This Row],[Item name]]=" Jeans - Denim",Town_Team[[#This Row],[Item Amount]]*85%,Town_Team[[#This Row],[Item Amount]])</f>
        <v>600</v>
      </c>
      <c r="K620" s="39" t="str">
        <f>TEXT(Town_Team[[#This Row],[Date ]],"dddd")</f>
        <v>Monday</v>
      </c>
    </row>
    <row r="621" spans="2:11" hidden="1" x14ac:dyDescent="0.3">
      <c r="B621" s="20">
        <v>617</v>
      </c>
      <c r="C621" s="19">
        <v>44082</v>
      </c>
      <c r="D621" s="21" t="s">
        <v>9</v>
      </c>
      <c r="E621" s="21" t="s">
        <v>12</v>
      </c>
      <c r="F621" s="21" t="s">
        <v>11</v>
      </c>
      <c r="G621" s="22">
        <v>900</v>
      </c>
      <c r="H621" s="20">
        <v>3</v>
      </c>
      <c r="I621" s="32">
        <f>Town_Team[[#This Row],[Item quantity]]*Town_Team[[#This Row],[Selling price]]</f>
        <v>2700</v>
      </c>
      <c r="J621" s="33">
        <f>IF(Town_Team[[#This Row],[Item name]]=" Jeans - Denim",Town_Team[[#This Row],[Item Amount]]*85%,Town_Team[[#This Row],[Item Amount]])</f>
        <v>2295</v>
      </c>
      <c r="K621" s="39" t="str">
        <f>TEXT(Town_Team[[#This Row],[Date ]],"dddd")</f>
        <v>Tuesday</v>
      </c>
    </row>
    <row r="622" spans="2:11" hidden="1" x14ac:dyDescent="0.3">
      <c r="B622" s="20">
        <v>618</v>
      </c>
      <c r="C622" s="19">
        <v>44083</v>
      </c>
      <c r="D622" s="21" t="s">
        <v>9</v>
      </c>
      <c r="E622" s="21" t="s">
        <v>18</v>
      </c>
      <c r="F622" s="21" t="s">
        <v>17</v>
      </c>
      <c r="G622" s="22">
        <v>600</v>
      </c>
      <c r="H622" s="20">
        <v>1</v>
      </c>
      <c r="I622" s="32">
        <f>Town_Team[[#This Row],[Item quantity]]*Town_Team[[#This Row],[Selling price]]</f>
        <v>600</v>
      </c>
      <c r="J622" s="33">
        <f>IF(Town_Team[[#This Row],[Item name]]=" Jeans - Denim",Town_Team[[#This Row],[Item Amount]]*85%,Town_Team[[#This Row],[Item Amount]])</f>
        <v>600</v>
      </c>
      <c r="K622" s="39" t="str">
        <f>TEXT(Town_Team[[#This Row],[Date ]],"dddd")</f>
        <v>Wednesday</v>
      </c>
    </row>
    <row r="623" spans="2:11" hidden="1" x14ac:dyDescent="0.3">
      <c r="B623" s="20">
        <v>619</v>
      </c>
      <c r="C623" s="19">
        <v>44084</v>
      </c>
      <c r="D623" s="21" t="s">
        <v>9</v>
      </c>
      <c r="E623" s="21" t="s">
        <v>16</v>
      </c>
      <c r="F623" s="21" t="s">
        <v>17</v>
      </c>
      <c r="G623" s="22">
        <v>800</v>
      </c>
      <c r="H623" s="20">
        <v>1</v>
      </c>
      <c r="I623" s="32">
        <f>Town_Team[[#This Row],[Item quantity]]*Town_Team[[#This Row],[Selling price]]</f>
        <v>800</v>
      </c>
      <c r="J623" s="33">
        <f>IF(Town_Team[[#This Row],[Item name]]=" Jeans - Denim",Town_Team[[#This Row],[Item Amount]]*85%,Town_Team[[#This Row],[Item Amount]])</f>
        <v>800</v>
      </c>
      <c r="K623" s="39" t="str">
        <f>TEXT(Town_Team[[#This Row],[Date ]],"dddd")</f>
        <v>Thursday</v>
      </c>
    </row>
    <row r="624" spans="2:11" hidden="1" x14ac:dyDescent="0.3">
      <c r="B624" s="20">
        <v>620</v>
      </c>
      <c r="C624" s="19">
        <v>44085</v>
      </c>
      <c r="D624" s="21" t="s">
        <v>9</v>
      </c>
      <c r="E624" s="21" t="s">
        <v>18</v>
      </c>
      <c r="F624" s="21" t="s">
        <v>17</v>
      </c>
      <c r="G624" s="22">
        <v>600</v>
      </c>
      <c r="H624" s="20">
        <v>1</v>
      </c>
      <c r="I624" s="32">
        <f>Town_Team[[#This Row],[Item quantity]]*Town_Team[[#This Row],[Selling price]]</f>
        <v>600</v>
      </c>
      <c r="J624" s="33">
        <f>IF(Town_Team[[#This Row],[Item name]]=" Jeans - Denim",Town_Team[[#This Row],[Item Amount]]*85%,Town_Team[[#This Row],[Item Amount]])</f>
        <v>600</v>
      </c>
      <c r="K624" s="39" t="str">
        <f>TEXT(Town_Team[[#This Row],[Date ]],"dddd")</f>
        <v>Friday</v>
      </c>
    </row>
    <row r="625" spans="2:11" hidden="1" x14ac:dyDescent="0.3">
      <c r="B625" s="20">
        <v>621</v>
      </c>
      <c r="C625" s="19">
        <v>44086</v>
      </c>
      <c r="D625" s="21" t="s">
        <v>9</v>
      </c>
      <c r="E625" s="21" t="s">
        <v>12</v>
      </c>
      <c r="F625" s="21" t="s">
        <v>11</v>
      </c>
      <c r="G625" s="22">
        <v>1100</v>
      </c>
      <c r="H625" s="20">
        <v>1</v>
      </c>
      <c r="I625" s="32">
        <f>Town_Team[[#This Row],[Item quantity]]*Town_Team[[#This Row],[Selling price]]</f>
        <v>1100</v>
      </c>
      <c r="J625" s="33">
        <f>IF(Town_Team[[#This Row],[Item name]]=" Jeans - Denim",Town_Team[[#This Row],[Item Amount]]*85%,Town_Team[[#This Row],[Item Amount]])</f>
        <v>935</v>
      </c>
      <c r="K625" s="39" t="str">
        <f>TEXT(Town_Team[[#This Row],[Date ]],"dddd")</f>
        <v>Saturday</v>
      </c>
    </row>
    <row r="626" spans="2:11" hidden="1" x14ac:dyDescent="0.3">
      <c r="B626" s="20">
        <v>622</v>
      </c>
      <c r="C626" s="19">
        <v>44087</v>
      </c>
      <c r="D626" s="21" t="s">
        <v>9</v>
      </c>
      <c r="E626" s="21" t="s">
        <v>14</v>
      </c>
      <c r="F626" s="21" t="s">
        <v>11</v>
      </c>
      <c r="G626" s="22">
        <v>900</v>
      </c>
      <c r="H626" s="20">
        <v>1</v>
      </c>
      <c r="I626" s="32">
        <f>Town_Team[[#This Row],[Item quantity]]*Town_Team[[#This Row],[Selling price]]</f>
        <v>900</v>
      </c>
      <c r="J626" s="33">
        <f>IF(Town_Team[[#This Row],[Item name]]=" Jeans - Denim",Town_Team[[#This Row],[Item Amount]]*85%,Town_Team[[#This Row],[Item Amount]])</f>
        <v>900</v>
      </c>
      <c r="K626" s="39" t="str">
        <f>TEXT(Town_Team[[#This Row],[Date ]],"dddd")</f>
        <v>Sunday</v>
      </c>
    </row>
    <row r="627" spans="2:11" hidden="1" x14ac:dyDescent="0.3">
      <c r="B627" s="20">
        <v>623</v>
      </c>
      <c r="C627" s="19">
        <v>44088</v>
      </c>
      <c r="D627" s="21" t="s">
        <v>9</v>
      </c>
      <c r="E627" s="21" t="s">
        <v>12</v>
      </c>
      <c r="F627" s="21" t="s">
        <v>11</v>
      </c>
      <c r="G627" s="22">
        <v>1100</v>
      </c>
      <c r="H627" s="20">
        <v>1</v>
      </c>
      <c r="I627" s="32">
        <f>Town_Team[[#This Row],[Item quantity]]*Town_Team[[#This Row],[Selling price]]</f>
        <v>1100</v>
      </c>
      <c r="J627" s="33">
        <f>IF(Town_Team[[#This Row],[Item name]]=" Jeans - Denim",Town_Team[[#This Row],[Item Amount]]*85%,Town_Team[[#This Row],[Item Amount]])</f>
        <v>935</v>
      </c>
      <c r="K627" s="39" t="str">
        <f>TEXT(Town_Team[[#This Row],[Date ]],"dddd")</f>
        <v>Monday</v>
      </c>
    </row>
    <row r="628" spans="2:11" hidden="1" x14ac:dyDescent="0.3">
      <c r="B628" s="20">
        <v>624</v>
      </c>
      <c r="C628" s="19">
        <v>44089</v>
      </c>
      <c r="D628" s="21" t="s">
        <v>9</v>
      </c>
      <c r="E628" s="21" t="s">
        <v>12</v>
      </c>
      <c r="F628" s="21" t="s">
        <v>11</v>
      </c>
      <c r="G628" s="22">
        <v>1100</v>
      </c>
      <c r="H628" s="20">
        <v>1</v>
      </c>
      <c r="I628" s="32">
        <f>Town_Team[[#This Row],[Item quantity]]*Town_Team[[#This Row],[Selling price]]</f>
        <v>1100</v>
      </c>
      <c r="J628" s="33">
        <f>IF(Town_Team[[#This Row],[Item name]]=" Jeans - Denim",Town_Team[[#This Row],[Item Amount]]*85%,Town_Team[[#This Row],[Item Amount]])</f>
        <v>935</v>
      </c>
      <c r="K628" s="39" t="str">
        <f>TEXT(Town_Team[[#This Row],[Date ]],"dddd")</f>
        <v>Tuesday</v>
      </c>
    </row>
    <row r="629" spans="2:11" hidden="1" x14ac:dyDescent="0.3">
      <c r="B629" s="20">
        <v>625</v>
      </c>
      <c r="C629" s="19">
        <v>44090</v>
      </c>
      <c r="D629" s="21" t="s">
        <v>9</v>
      </c>
      <c r="E629" s="21" t="s">
        <v>12</v>
      </c>
      <c r="F629" s="21" t="s">
        <v>11</v>
      </c>
      <c r="G629" s="22">
        <v>1100</v>
      </c>
      <c r="H629" s="20">
        <v>1</v>
      </c>
      <c r="I629" s="32">
        <f>Town_Team[[#This Row],[Item quantity]]*Town_Team[[#This Row],[Selling price]]</f>
        <v>1100</v>
      </c>
      <c r="J629" s="33">
        <f>IF(Town_Team[[#This Row],[Item name]]=" Jeans - Denim",Town_Team[[#This Row],[Item Amount]]*85%,Town_Team[[#This Row],[Item Amount]])</f>
        <v>935</v>
      </c>
      <c r="K629" s="39" t="str">
        <f>TEXT(Town_Team[[#This Row],[Date ]],"dddd")</f>
        <v>Wednesday</v>
      </c>
    </row>
    <row r="630" spans="2:11" hidden="1" x14ac:dyDescent="0.3">
      <c r="B630" s="20">
        <v>626</v>
      </c>
      <c r="C630" s="19">
        <v>44091</v>
      </c>
      <c r="D630" s="21" t="s">
        <v>9</v>
      </c>
      <c r="E630" s="21" t="s">
        <v>15</v>
      </c>
      <c r="F630" s="21" t="s">
        <v>11</v>
      </c>
      <c r="G630" s="22">
        <v>1000</v>
      </c>
      <c r="H630" s="20">
        <v>1</v>
      </c>
      <c r="I630" s="32">
        <f>Town_Team[[#This Row],[Item quantity]]*Town_Team[[#This Row],[Selling price]]</f>
        <v>1000</v>
      </c>
      <c r="J630" s="33">
        <f>IF(Town_Team[[#This Row],[Item name]]=" Jeans - Denim",Town_Team[[#This Row],[Item Amount]]*85%,Town_Team[[#This Row],[Item Amount]])</f>
        <v>1000</v>
      </c>
      <c r="K630" s="39" t="str">
        <f>TEXT(Town_Team[[#This Row],[Date ]],"dddd")</f>
        <v>Thursday</v>
      </c>
    </row>
    <row r="631" spans="2:11" hidden="1" x14ac:dyDescent="0.3">
      <c r="B631" s="20">
        <v>627</v>
      </c>
      <c r="C631" s="19">
        <v>44092</v>
      </c>
      <c r="D631" s="21" t="s">
        <v>9</v>
      </c>
      <c r="E631" s="21" t="s">
        <v>18</v>
      </c>
      <c r="F631" s="21" t="s">
        <v>17</v>
      </c>
      <c r="G631" s="22">
        <v>600</v>
      </c>
      <c r="H631" s="20">
        <v>1</v>
      </c>
      <c r="I631" s="32">
        <f>Town_Team[[#This Row],[Item quantity]]*Town_Team[[#This Row],[Selling price]]</f>
        <v>600</v>
      </c>
      <c r="J631" s="33">
        <f>IF(Town_Team[[#This Row],[Item name]]=" Jeans - Denim",Town_Team[[#This Row],[Item Amount]]*85%,Town_Team[[#This Row],[Item Amount]])</f>
        <v>600</v>
      </c>
      <c r="K631" s="39" t="str">
        <f>TEXT(Town_Team[[#This Row],[Date ]],"dddd")</f>
        <v>Friday</v>
      </c>
    </row>
    <row r="632" spans="2:11" hidden="1" x14ac:dyDescent="0.3">
      <c r="B632" s="20">
        <v>628</v>
      </c>
      <c r="C632" s="19">
        <v>44093</v>
      </c>
      <c r="D632" s="21" t="s">
        <v>9</v>
      </c>
      <c r="E632" s="21" t="s">
        <v>16</v>
      </c>
      <c r="F632" s="21" t="s">
        <v>17</v>
      </c>
      <c r="G632" s="22">
        <v>800</v>
      </c>
      <c r="H632" s="20">
        <v>1</v>
      </c>
      <c r="I632" s="32">
        <f>Town_Team[[#This Row],[Item quantity]]*Town_Team[[#This Row],[Selling price]]</f>
        <v>800</v>
      </c>
      <c r="J632" s="33">
        <f>IF(Town_Team[[#This Row],[Item name]]=" Jeans - Denim",Town_Team[[#This Row],[Item Amount]]*85%,Town_Team[[#This Row],[Item Amount]])</f>
        <v>800</v>
      </c>
      <c r="K632" s="39" t="str">
        <f>TEXT(Town_Team[[#This Row],[Date ]],"dddd")</f>
        <v>Saturday</v>
      </c>
    </row>
    <row r="633" spans="2:11" hidden="1" x14ac:dyDescent="0.3">
      <c r="B633" s="20">
        <v>629</v>
      </c>
      <c r="C633" s="19">
        <v>44094</v>
      </c>
      <c r="D633" s="21" t="s">
        <v>9</v>
      </c>
      <c r="E633" s="21" t="s">
        <v>12</v>
      </c>
      <c r="F633" s="21" t="s">
        <v>11</v>
      </c>
      <c r="G633" s="22">
        <v>1100</v>
      </c>
      <c r="H633" s="20">
        <v>1</v>
      </c>
      <c r="I633" s="32">
        <f>Town_Team[[#This Row],[Item quantity]]*Town_Team[[#This Row],[Selling price]]</f>
        <v>1100</v>
      </c>
      <c r="J633" s="33">
        <f>IF(Town_Team[[#This Row],[Item name]]=" Jeans - Denim",Town_Team[[#This Row],[Item Amount]]*85%,Town_Team[[#This Row],[Item Amount]])</f>
        <v>935</v>
      </c>
      <c r="K633" s="39" t="str">
        <f>TEXT(Town_Team[[#This Row],[Date ]],"dddd")</f>
        <v>Sunday</v>
      </c>
    </row>
    <row r="634" spans="2:11" hidden="1" x14ac:dyDescent="0.3">
      <c r="B634" s="20">
        <v>630</v>
      </c>
      <c r="C634" s="19">
        <v>44095</v>
      </c>
      <c r="D634" s="21" t="s">
        <v>9</v>
      </c>
      <c r="E634" s="21" t="s">
        <v>18</v>
      </c>
      <c r="F634" s="21" t="s">
        <v>17</v>
      </c>
      <c r="G634" s="22">
        <v>600</v>
      </c>
      <c r="H634" s="20">
        <v>1</v>
      </c>
      <c r="I634" s="32">
        <f>Town_Team[[#This Row],[Item quantity]]*Town_Team[[#This Row],[Selling price]]</f>
        <v>600</v>
      </c>
      <c r="J634" s="33">
        <f>IF(Town_Team[[#This Row],[Item name]]=" Jeans - Denim",Town_Team[[#This Row],[Item Amount]]*85%,Town_Team[[#This Row],[Item Amount]])</f>
        <v>600</v>
      </c>
      <c r="K634" s="39" t="str">
        <f>TEXT(Town_Team[[#This Row],[Date ]],"dddd")</f>
        <v>Monday</v>
      </c>
    </row>
    <row r="635" spans="2:11" hidden="1" x14ac:dyDescent="0.3">
      <c r="B635" s="20">
        <v>631</v>
      </c>
      <c r="C635" s="19">
        <v>44096</v>
      </c>
      <c r="D635" s="21" t="s">
        <v>9</v>
      </c>
      <c r="E635" s="21" t="s">
        <v>19</v>
      </c>
      <c r="F635" s="21" t="s">
        <v>20</v>
      </c>
      <c r="G635" s="22">
        <v>850</v>
      </c>
      <c r="H635" s="20">
        <v>1</v>
      </c>
      <c r="I635" s="32">
        <f>Town_Team[[#This Row],[Item quantity]]*Town_Team[[#This Row],[Selling price]]</f>
        <v>850</v>
      </c>
      <c r="J635" s="33">
        <f>IF(Town_Team[[#This Row],[Item name]]=" Jeans - Denim",Town_Team[[#This Row],[Item Amount]]*85%,Town_Team[[#This Row],[Item Amount]])</f>
        <v>850</v>
      </c>
      <c r="K635" s="39" t="str">
        <f>TEXT(Town_Team[[#This Row],[Date ]],"dddd")</f>
        <v>Tuesday</v>
      </c>
    </row>
    <row r="636" spans="2:11" hidden="1" x14ac:dyDescent="0.3">
      <c r="B636" s="20">
        <v>632</v>
      </c>
      <c r="C636" s="19">
        <v>44097</v>
      </c>
      <c r="D636" s="21" t="s">
        <v>9</v>
      </c>
      <c r="E636" s="21" t="s">
        <v>14</v>
      </c>
      <c r="F636" s="21" t="s">
        <v>11</v>
      </c>
      <c r="G636" s="22">
        <v>900</v>
      </c>
      <c r="H636" s="20">
        <v>1</v>
      </c>
      <c r="I636" s="32">
        <f>Town_Team[[#This Row],[Item quantity]]*Town_Team[[#This Row],[Selling price]]</f>
        <v>900</v>
      </c>
      <c r="J636" s="33">
        <f>IF(Town_Team[[#This Row],[Item name]]=" Jeans - Denim",Town_Team[[#This Row],[Item Amount]]*85%,Town_Team[[#This Row],[Item Amount]])</f>
        <v>900</v>
      </c>
      <c r="K636" s="39" t="str">
        <f>TEXT(Town_Team[[#This Row],[Date ]],"dddd")</f>
        <v>Wednesday</v>
      </c>
    </row>
    <row r="637" spans="2:11" hidden="1" x14ac:dyDescent="0.3">
      <c r="B637" s="20">
        <v>633</v>
      </c>
      <c r="C637" s="19">
        <v>44098</v>
      </c>
      <c r="D637" s="21" t="s">
        <v>9</v>
      </c>
      <c r="E637" s="21" t="s">
        <v>15</v>
      </c>
      <c r="F637" s="21" t="s">
        <v>11</v>
      </c>
      <c r="G637" s="22">
        <v>1000</v>
      </c>
      <c r="H637" s="20">
        <v>1</v>
      </c>
      <c r="I637" s="32">
        <f>Town_Team[[#This Row],[Item quantity]]*Town_Team[[#This Row],[Selling price]]</f>
        <v>1000</v>
      </c>
      <c r="J637" s="33">
        <f>IF(Town_Team[[#This Row],[Item name]]=" Jeans - Denim",Town_Team[[#This Row],[Item Amount]]*85%,Town_Team[[#This Row],[Item Amount]])</f>
        <v>1000</v>
      </c>
      <c r="K637" s="39" t="str">
        <f>TEXT(Town_Team[[#This Row],[Date ]],"dddd")</f>
        <v>Thursday</v>
      </c>
    </row>
    <row r="638" spans="2:11" hidden="1" x14ac:dyDescent="0.3">
      <c r="B638" s="20">
        <v>634</v>
      </c>
      <c r="C638" s="19">
        <v>44099</v>
      </c>
      <c r="D638" s="21" t="s">
        <v>9</v>
      </c>
      <c r="E638" s="21" t="s">
        <v>19</v>
      </c>
      <c r="F638" s="21" t="s">
        <v>20</v>
      </c>
      <c r="G638" s="22">
        <v>850</v>
      </c>
      <c r="H638" s="20">
        <v>1</v>
      </c>
      <c r="I638" s="32">
        <f>Town_Team[[#This Row],[Item quantity]]*Town_Team[[#This Row],[Selling price]]</f>
        <v>850</v>
      </c>
      <c r="J638" s="33">
        <f>IF(Town_Team[[#This Row],[Item name]]=" Jeans - Denim",Town_Team[[#This Row],[Item Amount]]*85%,Town_Team[[#This Row],[Item Amount]])</f>
        <v>850</v>
      </c>
      <c r="K638" s="39" t="str">
        <f>TEXT(Town_Team[[#This Row],[Date ]],"dddd")</f>
        <v>Friday</v>
      </c>
    </row>
    <row r="639" spans="2:11" hidden="1" x14ac:dyDescent="0.3">
      <c r="B639" s="20">
        <v>635</v>
      </c>
      <c r="C639" s="19">
        <v>44100</v>
      </c>
      <c r="D639" s="21" t="s">
        <v>9</v>
      </c>
      <c r="E639" s="21" t="s">
        <v>19</v>
      </c>
      <c r="F639" s="21" t="s">
        <v>20</v>
      </c>
      <c r="G639" s="22">
        <v>850</v>
      </c>
      <c r="H639" s="20">
        <v>1</v>
      </c>
      <c r="I639" s="32">
        <f>Town_Team[[#This Row],[Item quantity]]*Town_Team[[#This Row],[Selling price]]</f>
        <v>850</v>
      </c>
      <c r="J639" s="33">
        <f>IF(Town_Team[[#This Row],[Item name]]=" Jeans - Denim",Town_Team[[#This Row],[Item Amount]]*85%,Town_Team[[#This Row],[Item Amount]])</f>
        <v>850</v>
      </c>
      <c r="K639" s="39" t="str">
        <f>TEXT(Town_Team[[#This Row],[Date ]],"dddd")</f>
        <v>Saturday</v>
      </c>
    </row>
    <row r="640" spans="2:11" hidden="1" x14ac:dyDescent="0.3">
      <c r="B640" s="20">
        <v>636</v>
      </c>
      <c r="C640" s="19">
        <v>44101</v>
      </c>
      <c r="D640" s="21" t="s">
        <v>9</v>
      </c>
      <c r="E640" s="21" t="s">
        <v>15</v>
      </c>
      <c r="F640" s="21" t="s">
        <v>11</v>
      </c>
      <c r="G640" s="22">
        <v>1000</v>
      </c>
      <c r="H640" s="20">
        <v>1</v>
      </c>
      <c r="I640" s="32">
        <f>Town_Team[[#This Row],[Item quantity]]*Town_Team[[#This Row],[Selling price]]</f>
        <v>1000</v>
      </c>
      <c r="J640" s="33">
        <f>IF(Town_Team[[#This Row],[Item name]]=" Jeans - Denim",Town_Team[[#This Row],[Item Amount]]*85%,Town_Team[[#This Row],[Item Amount]])</f>
        <v>1000</v>
      </c>
      <c r="K640" s="39" t="str">
        <f>TEXT(Town_Team[[#This Row],[Date ]],"dddd")</f>
        <v>Sunday</v>
      </c>
    </row>
    <row r="641" spans="2:11" hidden="1" x14ac:dyDescent="0.3">
      <c r="B641" s="20">
        <v>637</v>
      </c>
      <c r="C641" s="19">
        <v>44102</v>
      </c>
      <c r="D641" s="21" t="s">
        <v>9</v>
      </c>
      <c r="E641" s="21" t="s">
        <v>16</v>
      </c>
      <c r="F641" s="21" t="s">
        <v>17</v>
      </c>
      <c r="G641" s="22">
        <v>800</v>
      </c>
      <c r="H641" s="20">
        <v>1</v>
      </c>
      <c r="I641" s="32">
        <f>Town_Team[[#This Row],[Item quantity]]*Town_Team[[#This Row],[Selling price]]</f>
        <v>800</v>
      </c>
      <c r="J641" s="33">
        <f>IF(Town_Team[[#This Row],[Item name]]=" Jeans - Denim",Town_Team[[#This Row],[Item Amount]]*85%,Town_Team[[#This Row],[Item Amount]])</f>
        <v>800</v>
      </c>
      <c r="K641" s="39" t="str">
        <f>TEXT(Town_Team[[#This Row],[Date ]],"dddd")</f>
        <v>Monday</v>
      </c>
    </row>
    <row r="642" spans="2:11" hidden="1" x14ac:dyDescent="0.3">
      <c r="B642" s="20">
        <v>638</v>
      </c>
      <c r="C642" s="19">
        <v>44103</v>
      </c>
      <c r="D642" s="21" t="s">
        <v>9</v>
      </c>
      <c r="E642" s="21" t="s">
        <v>12</v>
      </c>
      <c r="F642" s="21" t="s">
        <v>11</v>
      </c>
      <c r="G642" s="22">
        <v>1100</v>
      </c>
      <c r="H642" s="20">
        <v>1</v>
      </c>
      <c r="I642" s="32">
        <f>Town_Team[[#This Row],[Item quantity]]*Town_Team[[#This Row],[Selling price]]</f>
        <v>1100</v>
      </c>
      <c r="J642" s="33">
        <f>IF(Town_Team[[#This Row],[Item name]]=" Jeans - Denim",Town_Team[[#This Row],[Item Amount]]*85%,Town_Team[[#This Row],[Item Amount]])</f>
        <v>935</v>
      </c>
      <c r="K642" s="39" t="str">
        <f>TEXT(Town_Team[[#This Row],[Date ]],"dddd")</f>
        <v>Tuesday</v>
      </c>
    </row>
    <row r="643" spans="2:11" hidden="1" x14ac:dyDescent="0.3">
      <c r="B643" s="20">
        <v>639</v>
      </c>
      <c r="C643" s="19">
        <v>44104</v>
      </c>
      <c r="D643" s="21" t="s">
        <v>9</v>
      </c>
      <c r="E643" s="21" t="s">
        <v>12</v>
      </c>
      <c r="F643" s="21" t="s">
        <v>11</v>
      </c>
      <c r="G643" s="22">
        <v>1100</v>
      </c>
      <c r="H643" s="20">
        <v>1</v>
      </c>
      <c r="I643" s="32">
        <f>Town_Team[[#This Row],[Item quantity]]*Town_Team[[#This Row],[Selling price]]</f>
        <v>1100</v>
      </c>
      <c r="J643" s="33">
        <f>IF(Town_Team[[#This Row],[Item name]]=" Jeans - Denim",Town_Team[[#This Row],[Item Amount]]*85%,Town_Team[[#This Row],[Item Amount]])</f>
        <v>935</v>
      </c>
      <c r="K643" s="39" t="str">
        <f>TEXT(Town_Team[[#This Row],[Date ]],"dddd")</f>
        <v>Wednesday</v>
      </c>
    </row>
    <row r="644" spans="2:11" hidden="1" x14ac:dyDescent="0.3">
      <c r="B644" s="20">
        <v>640</v>
      </c>
      <c r="C644" s="19">
        <v>44105</v>
      </c>
      <c r="D644" s="21" t="s">
        <v>9</v>
      </c>
      <c r="E644" s="21" t="s">
        <v>12</v>
      </c>
      <c r="F644" s="21" t="s">
        <v>11</v>
      </c>
      <c r="G644" s="22">
        <v>1100</v>
      </c>
      <c r="H644" s="20">
        <v>1</v>
      </c>
      <c r="I644" s="32">
        <f>Town_Team[[#This Row],[Item quantity]]*Town_Team[[#This Row],[Selling price]]</f>
        <v>1100</v>
      </c>
      <c r="J644" s="33">
        <f>IF(Town_Team[[#This Row],[Item name]]=" Jeans - Denim",Town_Team[[#This Row],[Item Amount]]*85%,Town_Team[[#This Row],[Item Amount]])</f>
        <v>935</v>
      </c>
      <c r="K644" s="39" t="str">
        <f>TEXT(Town_Team[[#This Row],[Date ]],"dddd")</f>
        <v>Thursday</v>
      </c>
    </row>
    <row r="645" spans="2:11" hidden="1" x14ac:dyDescent="0.3">
      <c r="B645" s="20">
        <v>641</v>
      </c>
      <c r="C645" s="19">
        <v>44106</v>
      </c>
      <c r="D645" s="21" t="s">
        <v>9</v>
      </c>
      <c r="E645" s="21" t="s">
        <v>12</v>
      </c>
      <c r="F645" s="21" t="s">
        <v>11</v>
      </c>
      <c r="G645" s="22">
        <v>1100</v>
      </c>
      <c r="H645" s="20">
        <v>1</v>
      </c>
      <c r="I645" s="32">
        <f>Town_Team[[#This Row],[Item quantity]]*Town_Team[[#This Row],[Selling price]]</f>
        <v>1100</v>
      </c>
      <c r="J645" s="33">
        <f>IF(Town_Team[[#This Row],[Item name]]=" Jeans - Denim",Town_Team[[#This Row],[Item Amount]]*85%,Town_Team[[#This Row],[Item Amount]])</f>
        <v>935</v>
      </c>
      <c r="K645" s="39" t="str">
        <f>TEXT(Town_Team[[#This Row],[Date ]],"dddd")</f>
        <v>Friday</v>
      </c>
    </row>
    <row r="646" spans="2:11" hidden="1" x14ac:dyDescent="0.3">
      <c r="B646" s="20">
        <v>642</v>
      </c>
      <c r="C646" s="19">
        <v>44107</v>
      </c>
      <c r="D646" s="21" t="s">
        <v>9</v>
      </c>
      <c r="E646" s="21" t="s">
        <v>12</v>
      </c>
      <c r="F646" s="21" t="s">
        <v>11</v>
      </c>
      <c r="G646" s="22">
        <v>1100</v>
      </c>
      <c r="H646" s="20">
        <v>1</v>
      </c>
      <c r="I646" s="32">
        <f>Town_Team[[#This Row],[Item quantity]]*Town_Team[[#This Row],[Selling price]]</f>
        <v>1100</v>
      </c>
      <c r="J646" s="33">
        <f>IF(Town_Team[[#This Row],[Item name]]=" Jeans - Denim",Town_Team[[#This Row],[Item Amount]]*85%,Town_Team[[#This Row],[Item Amount]])</f>
        <v>935</v>
      </c>
      <c r="K646" s="39" t="str">
        <f>TEXT(Town_Team[[#This Row],[Date ]],"dddd")</f>
        <v>Saturday</v>
      </c>
    </row>
    <row r="647" spans="2:11" hidden="1" x14ac:dyDescent="0.3">
      <c r="B647" s="20">
        <v>643</v>
      </c>
      <c r="C647" s="19">
        <v>44108</v>
      </c>
      <c r="D647" s="21" t="s">
        <v>9</v>
      </c>
      <c r="E647" s="21" t="s">
        <v>12</v>
      </c>
      <c r="F647" s="21" t="s">
        <v>11</v>
      </c>
      <c r="G647" s="22">
        <v>1100</v>
      </c>
      <c r="H647" s="20">
        <v>1</v>
      </c>
      <c r="I647" s="32">
        <f>Town_Team[[#This Row],[Item quantity]]*Town_Team[[#This Row],[Selling price]]</f>
        <v>1100</v>
      </c>
      <c r="J647" s="33">
        <f>IF(Town_Team[[#This Row],[Item name]]=" Jeans - Denim",Town_Team[[#This Row],[Item Amount]]*85%,Town_Team[[#This Row],[Item Amount]])</f>
        <v>935</v>
      </c>
      <c r="K647" s="39" t="str">
        <f>TEXT(Town_Team[[#This Row],[Date ]],"dddd")</f>
        <v>Sunday</v>
      </c>
    </row>
    <row r="648" spans="2:11" hidden="1" x14ac:dyDescent="0.3">
      <c r="B648" s="20">
        <v>644</v>
      </c>
      <c r="C648" s="19">
        <v>44109</v>
      </c>
      <c r="D648" s="21" t="s">
        <v>9</v>
      </c>
      <c r="E648" s="21" t="s">
        <v>12</v>
      </c>
      <c r="F648" s="21" t="s">
        <v>11</v>
      </c>
      <c r="G648" s="22">
        <v>1100</v>
      </c>
      <c r="H648" s="20">
        <v>2</v>
      </c>
      <c r="I648" s="32">
        <f>Town_Team[[#This Row],[Item quantity]]*Town_Team[[#This Row],[Selling price]]</f>
        <v>2200</v>
      </c>
      <c r="J648" s="33">
        <f>IF(Town_Team[[#This Row],[Item name]]=" Jeans - Denim",Town_Team[[#This Row],[Item Amount]]*85%,Town_Team[[#This Row],[Item Amount]])</f>
        <v>1870</v>
      </c>
      <c r="K648" s="39" t="str">
        <f>TEXT(Town_Team[[#This Row],[Date ]],"dddd")</f>
        <v>Monday</v>
      </c>
    </row>
    <row r="649" spans="2:11" hidden="1" x14ac:dyDescent="0.3">
      <c r="B649" s="20">
        <v>645</v>
      </c>
      <c r="C649" s="19">
        <v>44110</v>
      </c>
      <c r="D649" s="21" t="s">
        <v>9</v>
      </c>
      <c r="E649" s="21" t="s">
        <v>12</v>
      </c>
      <c r="F649" s="21" t="s">
        <v>11</v>
      </c>
      <c r="G649" s="22">
        <v>1100</v>
      </c>
      <c r="H649" s="20">
        <v>1</v>
      </c>
      <c r="I649" s="32">
        <f>Town_Team[[#This Row],[Item quantity]]*Town_Team[[#This Row],[Selling price]]</f>
        <v>1100</v>
      </c>
      <c r="J649" s="33">
        <f>IF(Town_Team[[#This Row],[Item name]]=" Jeans - Denim",Town_Team[[#This Row],[Item Amount]]*85%,Town_Team[[#This Row],[Item Amount]])</f>
        <v>935</v>
      </c>
      <c r="K649" s="39" t="str">
        <f>TEXT(Town_Team[[#This Row],[Date ]],"dddd")</f>
        <v>Tuesday</v>
      </c>
    </row>
    <row r="650" spans="2:11" hidden="1" x14ac:dyDescent="0.3">
      <c r="B650" s="20">
        <v>646</v>
      </c>
      <c r="C650" s="19">
        <v>44111</v>
      </c>
      <c r="D650" s="21" t="s">
        <v>9</v>
      </c>
      <c r="E650" s="21" t="s">
        <v>12</v>
      </c>
      <c r="F650" s="21" t="s">
        <v>11</v>
      </c>
      <c r="G650" s="22">
        <v>1100</v>
      </c>
      <c r="H650" s="20">
        <v>1</v>
      </c>
      <c r="I650" s="32">
        <f>Town_Team[[#This Row],[Item quantity]]*Town_Team[[#This Row],[Selling price]]</f>
        <v>1100</v>
      </c>
      <c r="J650" s="33">
        <f>IF(Town_Team[[#This Row],[Item name]]=" Jeans - Denim",Town_Team[[#This Row],[Item Amount]]*85%,Town_Team[[#This Row],[Item Amount]])</f>
        <v>935</v>
      </c>
      <c r="K650" s="39" t="str">
        <f>TEXT(Town_Team[[#This Row],[Date ]],"dddd")</f>
        <v>Wednesday</v>
      </c>
    </row>
    <row r="651" spans="2:11" hidden="1" x14ac:dyDescent="0.3">
      <c r="B651" s="20">
        <v>647</v>
      </c>
      <c r="C651" s="19">
        <v>44112</v>
      </c>
      <c r="D651" s="21" t="s">
        <v>9</v>
      </c>
      <c r="E651" s="21" t="s">
        <v>12</v>
      </c>
      <c r="F651" s="21" t="s">
        <v>11</v>
      </c>
      <c r="G651" s="22">
        <v>900</v>
      </c>
      <c r="H651" s="20">
        <v>1</v>
      </c>
      <c r="I651" s="32">
        <f>Town_Team[[#This Row],[Item quantity]]*Town_Team[[#This Row],[Selling price]]</f>
        <v>900</v>
      </c>
      <c r="J651" s="33">
        <f>IF(Town_Team[[#This Row],[Item name]]=" Jeans - Denim",Town_Team[[#This Row],[Item Amount]]*85%,Town_Team[[#This Row],[Item Amount]])</f>
        <v>765</v>
      </c>
      <c r="K651" s="39" t="str">
        <f>TEXT(Town_Team[[#This Row],[Date ]],"dddd")</f>
        <v>Thursday</v>
      </c>
    </row>
    <row r="652" spans="2:11" hidden="1" x14ac:dyDescent="0.3">
      <c r="B652" s="20">
        <v>648</v>
      </c>
      <c r="C652" s="19">
        <v>44113</v>
      </c>
      <c r="D652" s="21" t="s">
        <v>9</v>
      </c>
      <c r="E652" s="21" t="s">
        <v>12</v>
      </c>
      <c r="F652" s="21" t="s">
        <v>11</v>
      </c>
      <c r="G652" s="22">
        <v>900</v>
      </c>
      <c r="H652" s="20">
        <v>1</v>
      </c>
      <c r="I652" s="32">
        <f>Town_Team[[#This Row],[Item quantity]]*Town_Team[[#This Row],[Selling price]]</f>
        <v>900</v>
      </c>
      <c r="J652" s="33">
        <f>IF(Town_Team[[#This Row],[Item name]]=" Jeans - Denim",Town_Team[[#This Row],[Item Amount]]*85%,Town_Team[[#This Row],[Item Amount]])</f>
        <v>765</v>
      </c>
      <c r="K652" s="39" t="str">
        <f>TEXT(Town_Team[[#This Row],[Date ]],"dddd")</f>
        <v>Friday</v>
      </c>
    </row>
    <row r="653" spans="2:11" hidden="1" x14ac:dyDescent="0.3">
      <c r="B653" s="20">
        <v>649</v>
      </c>
      <c r="C653" s="19">
        <v>44114</v>
      </c>
      <c r="D653" s="21" t="s">
        <v>9</v>
      </c>
      <c r="E653" s="21" t="s">
        <v>12</v>
      </c>
      <c r="F653" s="21" t="s">
        <v>11</v>
      </c>
      <c r="G653" s="22">
        <v>900</v>
      </c>
      <c r="H653" s="20">
        <v>1</v>
      </c>
      <c r="I653" s="32">
        <f>Town_Team[[#This Row],[Item quantity]]*Town_Team[[#This Row],[Selling price]]</f>
        <v>900</v>
      </c>
      <c r="J653" s="33">
        <f>IF(Town_Team[[#This Row],[Item name]]=" Jeans - Denim",Town_Team[[#This Row],[Item Amount]]*85%,Town_Team[[#This Row],[Item Amount]])</f>
        <v>765</v>
      </c>
      <c r="K653" s="39" t="str">
        <f>TEXT(Town_Team[[#This Row],[Date ]],"dddd")</f>
        <v>Saturday</v>
      </c>
    </row>
    <row r="654" spans="2:11" hidden="1" x14ac:dyDescent="0.3">
      <c r="B654" s="20">
        <v>650</v>
      </c>
      <c r="C654" s="19">
        <v>44115</v>
      </c>
      <c r="D654" s="21" t="s">
        <v>9</v>
      </c>
      <c r="E654" s="21" t="s">
        <v>12</v>
      </c>
      <c r="F654" s="21" t="s">
        <v>11</v>
      </c>
      <c r="G654" s="22">
        <v>900</v>
      </c>
      <c r="H654" s="20">
        <v>2</v>
      </c>
      <c r="I654" s="32">
        <f>Town_Team[[#This Row],[Item quantity]]*Town_Team[[#This Row],[Selling price]]</f>
        <v>1800</v>
      </c>
      <c r="J654" s="33">
        <f>IF(Town_Team[[#This Row],[Item name]]=" Jeans - Denim",Town_Team[[#This Row],[Item Amount]]*85%,Town_Team[[#This Row],[Item Amount]])</f>
        <v>1530</v>
      </c>
      <c r="K654" s="39" t="str">
        <f>TEXT(Town_Team[[#This Row],[Date ]],"dddd")</f>
        <v>Sunday</v>
      </c>
    </row>
    <row r="655" spans="2:11" hidden="1" x14ac:dyDescent="0.3">
      <c r="B655" s="20">
        <v>651</v>
      </c>
      <c r="C655" s="19">
        <v>44116</v>
      </c>
      <c r="D655" s="21" t="s">
        <v>9</v>
      </c>
      <c r="E655" s="21" t="s">
        <v>12</v>
      </c>
      <c r="F655" s="21" t="s">
        <v>11</v>
      </c>
      <c r="G655" s="22">
        <v>900</v>
      </c>
      <c r="H655" s="20">
        <v>1</v>
      </c>
      <c r="I655" s="32">
        <f>Town_Team[[#This Row],[Item quantity]]*Town_Team[[#This Row],[Selling price]]</f>
        <v>900</v>
      </c>
      <c r="J655" s="33">
        <f>IF(Town_Team[[#This Row],[Item name]]=" Jeans - Denim",Town_Team[[#This Row],[Item Amount]]*85%,Town_Team[[#This Row],[Item Amount]])</f>
        <v>765</v>
      </c>
      <c r="K655" s="39" t="str">
        <f>TEXT(Town_Team[[#This Row],[Date ]],"dddd")</f>
        <v>Monday</v>
      </c>
    </row>
    <row r="656" spans="2:11" hidden="1" x14ac:dyDescent="0.3">
      <c r="B656" s="20">
        <v>652</v>
      </c>
      <c r="C656" s="19">
        <v>44117</v>
      </c>
      <c r="D656" s="21" t="s">
        <v>9</v>
      </c>
      <c r="E656" s="21" t="s">
        <v>12</v>
      </c>
      <c r="F656" s="21" t="s">
        <v>11</v>
      </c>
      <c r="G656" s="22">
        <v>900</v>
      </c>
      <c r="H656" s="20">
        <v>1</v>
      </c>
      <c r="I656" s="32">
        <f>Town_Team[[#This Row],[Item quantity]]*Town_Team[[#This Row],[Selling price]]</f>
        <v>900</v>
      </c>
      <c r="J656" s="33">
        <f>IF(Town_Team[[#This Row],[Item name]]=" Jeans - Denim",Town_Team[[#This Row],[Item Amount]]*85%,Town_Team[[#This Row],[Item Amount]])</f>
        <v>765</v>
      </c>
      <c r="K656" s="39" t="str">
        <f>TEXT(Town_Team[[#This Row],[Date ]],"dddd")</f>
        <v>Tuesday</v>
      </c>
    </row>
    <row r="657" spans="2:11" hidden="1" x14ac:dyDescent="0.3">
      <c r="B657" s="20">
        <v>653</v>
      </c>
      <c r="C657" s="19">
        <v>44118</v>
      </c>
      <c r="D657" s="21" t="s">
        <v>9</v>
      </c>
      <c r="E657" s="21" t="s">
        <v>12</v>
      </c>
      <c r="F657" s="21" t="s">
        <v>11</v>
      </c>
      <c r="G657" s="22">
        <v>1100</v>
      </c>
      <c r="H657" s="20">
        <v>1</v>
      </c>
      <c r="I657" s="32">
        <f>Town_Team[[#This Row],[Item quantity]]*Town_Team[[#This Row],[Selling price]]</f>
        <v>1100</v>
      </c>
      <c r="J657" s="33">
        <f>IF(Town_Team[[#This Row],[Item name]]=" Jeans - Denim",Town_Team[[#This Row],[Item Amount]]*85%,Town_Team[[#This Row],[Item Amount]])</f>
        <v>935</v>
      </c>
      <c r="K657" s="39" t="str">
        <f>TEXT(Town_Team[[#This Row],[Date ]],"dddd")</f>
        <v>Wednesday</v>
      </c>
    </row>
    <row r="658" spans="2:11" hidden="1" x14ac:dyDescent="0.3">
      <c r="B658" s="20">
        <v>654</v>
      </c>
      <c r="C658" s="19">
        <v>44119</v>
      </c>
      <c r="D658" s="21" t="s">
        <v>9</v>
      </c>
      <c r="E658" s="21" t="s">
        <v>12</v>
      </c>
      <c r="F658" s="21" t="s">
        <v>11</v>
      </c>
      <c r="G658" s="22">
        <v>900</v>
      </c>
      <c r="H658" s="20">
        <v>1</v>
      </c>
      <c r="I658" s="32">
        <f>Town_Team[[#This Row],[Item quantity]]*Town_Team[[#This Row],[Selling price]]</f>
        <v>900</v>
      </c>
      <c r="J658" s="33">
        <f>IF(Town_Team[[#This Row],[Item name]]=" Jeans - Denim",Town_Team[[#This Row],[Item Amount]]*85%,Town_Team[[#This Row],[Item Amount]])</f>
        <v>765</v>
      </c>
      <c r="K658" s="39" t="str">
        <f>TEXT(Town_Team[[#This Row],[Date ]],"dddd")</f>
        <v>Thursday</v>
      </c>
    </row>
    <row r="659" spans="2:11" hidden="1" x14ac:dyDescent="0.3">
      <c r="B659" s="20">
        <v>655</v>
      </c>
      <c r="C659" s="19">
        <v>44120</v>
      </c>
      <c r="D659" s="21" t="s">
        <v>9</v>
      </c>
      <c r="E659" s="21" t="s">
        <v>12</v>
      </c>
      <c r="F659" s="21" t="s">
        <v>11</v>
      </c>
      <c r="G659" s="22">
        <v>1100</v>
      </c>
      <c r="H659" s="20">
        <v>2</v>
      </c>
      <c r="I659" s="32">
        <f>Town_Team[[#This Row],[Item quantity]]*Town_Team[[#This Row],[Selling price]]</f>
        <v>2200</v>
      </c>
      <c r="J659" s="33">
        <f>IF(Town_Team[[#This Row],[Item name]]=" Jeans - Denim",Town_Team[[#This Row],[Item Amount]]*85%,Town_Team[[#This Row],[Item Amount]])</f>
        <v>1870</v>
      </c>
      <c r="K659" s="39" t="str">
        <f>TEXT(Town_Team[[#This Row],[Date ]],"dddd")</f>
        <v>Friday</v>
      </c>
    </row>
    <row r="660" spans="2:11" hidden="1" x14ac:dyDescent="0.3">
      <c r="B660" s="20">
        <v>656</v>
      </c>
      <c r="C660" s="19">
        <v>44121</v>
      </c>
      <c r="D660" s="21" t="s">
        <v>9</v>
      </c>
      <c r="E660" s="21" t="s">
        <v>12</v>
      </c>
      <c r="F660" s="21" t="s">
        <v>11</v>
      </c>
      <c r="G660" s="22">
        <v>1100</v>
      </c>
      <c r="H660" s="20">
        <v>1</v>
      </c>
      <c r="I660" s="32">
        <f>Town_Team[[#This Row],[Item quantity]]*Town_Team[[#This Row],[Selling price]]</f>
        <v>1100</v>
      </c>
      <c r="J660" s="33">
        <f>IF(Town_Team[[#This Row],[Item name]]=" Jeans - Denim",Town_Team[[#This Row],[Item Amount]]*85%,Town_Team[[#This Row],[Item Amount]])</f>
        <v>935</v>
      </c>
      <c r="K660" s="39" t="str">
        <f>TEXT(Town_Team[[#This Row],[Date ]],"dddd")</f>
        <v>Saturday</v>
      </c>
    </row>
    <row r="661" spans="2:11" hidden="1" x14ac:dyDescent="0.3">
      <c r="B661" s="20">
        <v>657</v>
      </c>
      <c r="C661" s="19">
        <v>44122</v>
      </c>
      <c r="D661" s="21" t="s">
        <v>9</v>
      </c>
      <c r="E661" s="21" t="s">
        <v>12</v>
      </c>
      <c r="F661" s="21" t="s">
        <v>11</v>
      </c>
      <c r="G661" s="22">
        <v>900</v>
      </c>
      <c r="H661" s="20">
        <v>1</v>
      </c>
      <c r="I661" s="32">
        <f>Town_Team[[#This Row],[Item quantity]]*Town_Team[[#This Row],[Selling price]]</f>
        <v>900</v>
      </c>
      <c r="J661" s="33">
        <f>IF(Town_Team[[#This Row],[Item name]]=" Jeans - Denim",Town_Team[[#This Row],[Item Amount]]*85%,Town_Team[[#This Row],[Item Amount]])</f>
        <v>765</v>
      </c>
      <c r="K661" s="39" t="str">
        <f>TEXT(Town_Team[[#This Row],[Date ]],"dddd")</f>
        <v>Sunday</v>
      </c>
    </row>
    <row r="662" spans="2:11" hidden="1" x14ac:dyDescent="0.3">
      <c r="B662" s="20">
        <v>658</v>
      </c>
      <c r="C662" s="19">
        <v>44123</v>
      </c>
      <c r="D662" s="21" t="s">
        <v>9</v>
      </c>
      <c r="E662" s="21" t="s">
        <v>12</v>
      </c>
      <c r="F662" s="21" t="s">
        <v>11</v>
      </c>
      <c r="G662" s="22">
        <v>900</v>
      </c>
      <c r="H662" s="20">
        <v>1</v>
      </c>
      <c r="I662" s="32">
        <f>Town_Team[[#This Row],[Item quantity]]*Town_Team[[#This Row],[Selling price]]</f>
        <v>900</v>
      </c>
      <c r="J662" s="33">
        <f>IF(Town_Team[[#This Row],[Item name]]=" Jeans - Denim",Town_Team[[#This Row],[Item Amount]]*85%,Town_Team[[#This Row],[Item Amount]])</f>
        <v>765</v>
      </c>
      <c r="K662" s="39" t="str">
        <f>TEXT(Town_Team[[#This Row],[Date ]],"dddd")</f>
        <v>Monday</v>
      </c>
    </row>
    <row r="663" spans="2:11" hidden="1" x14ac:dyDescent="0.3">
      <c r="B663" s="20">
        <v>659</v>
      </c>
      <c r="C663" s="19">
        <v>44124</v>
      </c>
      <c r="D663" s="21" t="s">
        <v>9</v>
      </c>
      <c r="E663" s="21" t="s">
        <v>14</v>
      </c>
      <c r="F663" s="21" t="s">
        <v>11</v>
      </c>
      <c r="G663" s="22">
        <v>900</v>
      </c>
      <c r="H663" s="20">
        <v>1</v>
      </c>
      <c r="I663" s="32">
        <f>Town_Team[[#This Row],[Item quantity]]*Town_Team[[#This Row],[Selling price]]</f>
        <v>900</v>
      </c>
      <c r="J663" s="33">
        <f>IF(Town_Team[[#This Row],[Item name]]=" Jeans - Denim",Town_Team[[#This Row],[Item Amount]]*85%,Town_Team[[#This Row],[Item Amount]])</f>
        <v>900</v>
      </c>
      <c r="K663" s="39" t="str">
        <f>TEXT(Town_Team[[#This Row],[Date ]],"dddd")</f>
        <v>Tuesday</v>
      </c>
    </row>
    <row r="664" spans="2:11" hidden="1" x14ac:dyDescent="0.3">
      <c r="B664" s="20">
        <v>660</v>
      </c>
      <c r="C664" s="19">
        <v>44125</v>
      </c>
      <c r="D664" s="21" t="s">
        <v>9</v>
      </c>
      <c r="E664" s="21" t="s">
        <v>12</v>
      </c>
      <c r="F664" s="21" t="s">
        <v>11</v>
      </c>
      <c r="G664" s="22">
        <v>1100</v>
      </c>
      <c r="H664" s="20">
        <v>1</v>
      </c>
      <c r="I664" s="32">
        <f>Town_Team[[#This Row],[Item quantity]]*Town_Team[[#This Row],[Selling price]]</f>
        <v>1100</v>
      </c>
      <c r="J664" s="33">
        <f>IF(Town_Team[[#This Row],[Item name]]=" Jeans - Denim",Town_Team[[#This Row],[Item Amount]]*85%,Town_Team[[#This Row],[Item Amount]])</f>
        <v>935</v>
      </c>
      <c r="K664" s="39" t="str">
        <f>TEXT(Town_Team[[#This Row],[Date ]],"dddd")</f>
        <v>Wednesday</v>
      </c>
    </row>
    <row r="665" spans="2:11" hidden="1" x14ac:dyDescent="0.3">
      <c r="B665" s="20">
        <v>661</v>
      </c>
      <c r="C665" s="19">
        <v>44126</v>
      </c>
      <c r="D665" s="21" t="s">
        <v>9</v>
      </c>
      <c r="E665" s="21" t="s">
        <v>12</v>
      </c>
      <c r="F665" s="21" t="s">
        <v>11</v>
      </c>
      <c r="G665" s="22">
        <v>1100</v>
      </c>
      <c r="H665" s="20">
        <v>1</v>
      </c>
      <c r="I665" s="32">
        <f>Town_Team[[#This Row],[Item quantity]]*Town_Team[[#This Row],[Selling price]]</f>
        <v>1100</v>
      </c>
      <c r="J665" s="33">
        <f>IF(Town_Team[[#This Row],[Item name]]=" Jeans - Denim",Town_Team[[#This Row],[Item Amount]]*85%,Town_Team[[#This Row],[Item Amount]])</f>
        <v>935</v>
      </c>
      <c r="K665" s="39" t="str">
        <f>TEXT(Town_Team[[#This Row],[Date ]],"dddd")</f>
        <v>Thursday</v>
      </c>
    </row>
    <row r="666" spans="2:11" hidden="1" x14ac:dyDescent="0.3">
      <c r="B666" s="20">
        <v>662</v>
      </c>
      <c r="C666" s="19">
        <v>44127</v>
      </c>
      <c r="D666" s="21" t="s">
        <v>9</v>
      </c>
      <c r="E666" s="21" t="s">
        <v>14</v>
      </c>
      <c r="F666" s="21" t="s">
        <v>11</v>
      </c>
      <c r="G666" s="22">
        <v>900</v>
      </c>
      <c r="H666" s="20">
        <v>1</v>
      </c>
      <c r="I666" s="32">
        <f>Town_Team[[#This Row],[Item quantity]]*Town_Team[[#This Row],[Selling price]]</f>
        <v>900</v>
      </c>
      <c r="J666" s="33">
        <f>IF(Town_Team[[#This Row],[Item name]]=" Jeans - Denim",Town_Team[[#This Row],[Item Amount]]*85%,Town_Team[[#This Row],[Item Amount]])</f>
        <v>900</v>
      </c>
      <c r="K666" s="39" t="str">
        <f>TEXT(Town_Team[[#This Row],[Date ]],"dddd")</f>
        <v>Friday</v>
      </c>
    </row>
    <row r="667" spans="2:11" hidden="1" x14ac:dyDescent="0.3">
      <c r="B667" s="20">
        <v>663</v>
      </c>
      <c r="C667" s="19">
        <v>44128</v>
      </c>
      <c r="D667" s="21" t="s">
        <v>9</v>
      </c>
      <c r="E667" s="21" t="s">
        <v>12</v>
      </c>
      <c r="F667" s="21" t="s">
        <v>11</v>
      </c>
      <c r="G667" s="22">
        <v>900</v>
      </c>
      <c r="H667" s="20">
        <v>1</v>
      </c>
      <c r="I667" s="32">
        <f>Town_Team[[#This Row],[Item quantity]]*Town_Team[[#This Row],[Selling price]]</f>
        <v>900</v>
      </c>
      <c r="J667" s="33">
        <f>IF(Town_Team[[#This Row],[Item name]]=" Jeans - Denim",Town_Team[[#This Row],[Item Amount]]*85%,Town_Team[[#This Row],[Item Amount]])</f>
        <v>765</v>
      </c>
      <c r="K667" s="39" t="str">
        <f>TEXT(Town_Team[[#This Row],[Date ]],"dddd")</f>
        <v>Saturday</v>
      </c>
    </row>
    <row r="668" spans="2:11" hidden="1" x14ac:dyDescent="0.3">
      <c r="B668" s="20">
        <v>664</v>
      </c>
      <c r="C668" s="19">
        <v>44129</v>
      </c>
      <c r="D668" s="21" t="s">
        <v>9</v>
      </c>
      <c r="E668" s="21" t="s">
        <v>14</v>
      </c>
      <c r="F668" s="21" t="s">
        <v>11</v>
      </c>
      <c r="G668" s="22">
        <v>900</v>
      </c>
      <c r="H668" s="20">
        <v>1</v>
      </c>
      <c r="I668" s="32">
        <f>Town_Team[[#This Row],[Item quantity]]*Town_Team[[#This Row],[Selling price]]</f>
        <v>900</v>
      </c>
      <c r="J668" s="33">
        <f>IF(Town_Team[[#This Row],[Item name]]=" Jeans - Denim",Town_Team[[#This Row],[Item Amount]]*85%,Town_Team[[#This Row],[Item Amount]])</f>
        <v>900</v>
      </c>
      <c r="K668" s="39" t="str">
        <f>TEXT(Town_Team[[#This Row],[Date ]],"dddd")</f>
        <v>Sunday</v>
      </c>
    </row>
    <row r="669" spans="2:11" hidden="1" x14ac:dyDescent="0.3">
      <c r="B669" s="20">
        <v>665</v>
      </c>
      <c r="C669" s="19">
        <v>44130</v>
      </c>
      <c r="D669" s="21" t="s">
        <v>9</v>
      </c>
      <c r="E669" s="21" t="s">
        <v>12</v>
      </c>
      <c r="F669" s="21" t="s">
        <v>11</v>
      </c>
      <c r="G669" s="22">
        <v>1100</v>
      </c>
      <c r="H669" s="20">
        <v>1</v>
      </c>
      <c r="I669" s="32">
        <f>Town_Team[[#This Row],[Item quantity]]*Town_Team[[#This Row],[Selling price]]</f>
        <v>1100</v>
      </c>
      <c r="J669" s="33">
        <f>IF(Town_Team[[#This Row],[Item name]]=" Jeans - Denim",Town_Team[[#This Row],[Item Amount]]*85%,Town_Team[[#This Row],[Item Amount]])</f>
        <v>935</v>
      </c>
      <c r="K669" s="39" t="str">
        <f>TEXT(Town_Team[[#This Row],[Date ]],"dddd")</f>
        <v>Monday</v>
      </c>
    </row>
    <row r="670" spans="2:11" hidden="1" x14ac:dyDescent="0.3">
      <c r="B670" s="20">
        <v>666</v>
      </c>
      <c r="C670" s="19">
        <v>44131</v>
      </c>
      <c r="D670" s="21" t="s">
        <v>9</v>
      </c>
      <c r="E670" s="21" t="s">
        <v>12</v>
      </c>
      <c r="F670" s="21" t="s">
        <v>11</v>
      </c>
      <c r="G670" s="22">
        <v>1100</v>
      </c>
      <c r="H670" s="20">
        <v>1</v>
      </c>
      <c r="I670" s="32">
        <f>Town_Team[[#This Row],[Item quantity]]*Town_Team[[#This Row],[Selling price]]</f>
        <v>1100</v>
      </c>
      <c r="J670" s="33">
        <f>IF(Town_Team[[#This Row],[Item name]]=" Jeans - Denim",Town_Team[[#This Row],[Item Amount]]*85%,Town_Team[[#This Row],[Item Amount]])</f>
        <v>935</v>
      </c>
      <c r="K670" s="39" t="str">
        <f>TEXT(Town_Team[[#This Row],[Date ]],"dddd")</f>
        <v>Tuesday</v>
      </c>
    </row>
    <row r="671" spans="2:11" hidden="1" x14ac:dyDescent="0.3">
      <c r="B671" s="20">
        <v>667</v>
      </c>
      <c r="C671" s="19">
        <v>44132</v>
      </c>
      <c r="D671" s="21" t="s">
        <v>9</v>
      </c>
      <c r="E671" s="21" t="s">
        <v>14</v>
      </c>
      <c r="F671" s="21" t="s">
        <v>11</v>
      </c>
      <c r="G671" s="22">
        <v>900</v>
      </c>
      <c r="H671" s="20">
        <v>1</v>
      </c>
      <c r="I671" s="32">
        <f>Town_Team[[#This Row],[Item quantity]]*Town_Team[[#This Row],[Selling price]]</f>
        <v>900</v>
      </c>
      <c r="J671" s="33">
        <f>IF(Town_Team[[#This Row],[Item name]]=" Jeans - Denim",Town_Team[[#This Row],[Item Amount]]*85%,Town_Team[[#This Row],[Item Amount]])</f>
        <v>900</v>
      </c>
      <c r="K671" s="39" t="str">
        <f>TEXT(Town_Team[[#This Row],[Date ]],"dddd")</f>
        <v>Wednesday</v>
      </c>
    </row>
    <row r="672" spans="2:11" hidden="1" x14ac:dyDescent="0.3">
      <c r="B672" s="20">
        <v>668</v>
      </c>
      <c r="C672" s="19">
        <v>44133</v>
      </c>
      <c r="D672" s="21" t="s">
        <v>9</v>
      </c>
      <c r="E672" s="21" t="s">
        <v>14</v>
      </c>
      <c r="F672" s="21" t="s">
        <v>11</v>
      </c>
      <c r="G672" s="22">
        <v>900</v>
      </c>
      <c r="H672" s="20">
        <v>1</v>
      </c>
      <c r="I672" s="32">
        <f>Town_Team[[#This Row],[Item quantity]]*Town_Team[[#This Row],[Selling price]]</f>
        <v>900</v>
      </c>
      <c r="J672" s="33">
        <f>IF(Town_Team[[#This Row],[Item name]]=" Jeans - Denim",Town_Team[[#This Row],[Item Amount]]*85%,Town_Team[[#This Row],[Item Amount]])</f>
        <v>900</v>
      </c>
      <c r="K672" s="39" t="str">
        <f>TEXT(Town_Team[[#This Row],[Date ]],"dddd")</f>
        <v>Thursday</v>
      </c>
    </row>
    <row r="673" spans="2:11" hidden="1" x14ac:dyDescent="0.3">
      <c r="B673" s="20">
        <v>669</v>
      </c>
      <c r="C673" s="19">
        <v>44134</v>
      </c>
      <c r="D673" s="21" t="s">
        <v>9</v>
      </c>
      <c r="E673" s="21" t="s">
        <v>14</v>
      </c>
      <c r="F673" s="21" t="s">
        <v>11</v>
      </c>
      <c r="G673" s="22">
        <v>900</v>
      </c>
      <c r="H673" s="20">
        <v>1</v>
      </c>
      <c r="I673" s="32">
        <f>Town_Team[[#This Row],[Item quantity]]*Town_Team[[#This Row],[Selling price]]</f>
        <v>900</v>
      </c>
      <c r="J673" s="33">
        <f>IF(Town_Team[[#This Row],[Item name]]=" Jeans - Denim",Town_Team[[#This Row],[Item Amount]]*85%,Town_Team[[#This Row],[Item Amount]])</f>
        <v>900</v>
      </c>
      <c r="K673" s="39" t="str">
        <f>TEXT(Town_Team[[#This Row],[Date ]],"dddd")</f>
        <v>Friday</v>
      </c>
    </row>
    <row r="674" spans="2:11" hidden="1" x14ac:dyDescent="0.3">
      <c r="B674" s="20">
        <v>670</v>
      </c>
      <c r="C674" s="19">
        <v>44135</v>
      </c>
      <c r="D674" s="21" t="s">
        <v>9</v>
      </c>
      <c r="E674" s="21" t="s">
        <v>14</v>
      </c>
      <c r="F674" s="21" t="s">
        <v>11</v>
      </c>
      <c r="G674" s="22">
        <v>900</v>
      </c>
      <c r="H674" s="20">
        <v>1</v>
      </c>
      <c r="I674" s="32">
        <f>Town_Team[[#This Row],[Item quantity]]*Town_Team[[#This Row],[Selling price]]</f>
        <v>900</v>
      </c>
      <c r="J674" s="33">
        <f>IF(Town_Team[[#This Row],[Item name]]=" Jeans - Denim",Town_Team[[#This Row],[Item Amount]]*85%,Town_Team[[#This Row],[Item Amount]])</f>
        <v>900</v>
      </c>
      <c r="K674" s="39" t="str">
        <f>TEXT(Town_Team[[#This Row],[Date ]],"dddd")</f>
        <v>Saturday</v>
      </c>
    </row>
    <row r="675" spans="2:11" hidden="1" x14ac:dyDescent="0.3">
      <c r="B675" s="20">
        <v>671</v>
      </c>
      <c r="C675" s="19">
        <v>44136</v>
      </c>
      <c r="D675" s="21" t="s">
        <v>9</v>
      </c>
      <c r="E675" s="21" t="s">
        <v>14</v>
      </c>
      <c r="F675" s="21" t="s">
        <v>11</v>
      </c>
      <c r="G675" s="22">
        <v>900</v>
      </c>
      <c r="H675" s="20">
        <v>1</v>
      </c>
      <c r="I675" s="32">
        <f>Town_Team[[#This Row],[Item quantity]]*Town_Team[[#This Row],[Selling price]]</f>
        <v>900</v>
      </c>
      <c r="J675" s="33">
        <f>IF(Town_Team[[#This Row],[Item name]]=" Jeans - Denim",Town_Team[[#This Row],[Item Amount]]*85%,Town_Team[[#This Row],[Item Amount]])</f>
        <v>900</v>
      </c>
      <c r="K675" s="39" t="str">
        <f>TEXT(Town_Team[[#This Row],[Date ]],"dddd")</f>
        <v>Sunday</v>
      </c>
    </row>
    <row r="676" spans="2:11" hidden="1" x14ac:dyDescent="0.3">
      <c r="B676" s="20">
        <v>672</v>
      </c>
      <c r="C676" s="19">
        <v>44137</v>
      </c>
      <c r="D676" s="21" t="s">
        <v>9</v>
      </c>
      <c r="E676" s="21" t="s">
        <v>12</v>
      </c>
      <c r="F676" s="21" t="s">
        <v>11</v>
      </c>
      <c r="G676" s="22">
        <v>900</v>
      </c>
      <c r="H676" s="20">
        <v>1</v>
      </c>
      <c r="I676" s="32">
        <f>Town_Team[[#This Row],[Item quantity]]*Town_Team[[#This Row],[Selling price]]</f>
        <v>900</v>
      </c>
      <c r="J676" s="33">
        <f>IF(Town_Team[[#This Row],[Item name]]=" Jeans - Denim",Town_Team[[#This Row],[Item Amount]]*85%,Town_Team[[#This Row],[Item Amount]])</f>
        <v>765</v>
      </c>
      <c r="K676" s="39" t="str">
        <f>TEXT(Town_Team[[#This Row],[Date ]],"dddd")</f>
        <v>Monday</v>
      </c>
    </row>
    <row r="677" spans="2:11" hidden="1" x14ac:dyDescent="0.3">
      <c r="B677" s="20">
        <v>673</v>
      </c>
      <c r="C677" s="19">
        <v>44138</v>
      </c>
      <c r="D677" s="21" t="s">
        <v>9</v>
      </c>
      <c r="E677" s="21" t="s">
        <v>12</v>
      </c>
      <c r="F677" s="21" t="s">
        <v>11</v>
      </c>
      <c r="G677" s="22">
        <v>900</v>
      </c>
      <c r="H677" s="20">
        <v>1</v>
      </c>
      <c r="I677" s="32">
        <f>Town_Team[[#This Row],[Item quantity]]*Town_Team[[#This Row],[Selling price]]</f>
        <v>900</v>
      </c>
      <c r="J677" s="33">
        <f>IF(Town_Team[[#This Row],[Item name]]=" Jeans - Denim",Town_Team[[#This Row],[Item Amount]]*85%,Town_Team[[#This Row],[Item Amount]])</f>
        <v>765</v>
      </c>
      <c r="K677" s="39" t="str">
        <f>TEXT(Town_Team[[#This Row],[Date ]],"dddd")</f>
        <v>Tuesday</v>
      </c>
    </row>
    <row r="678" spans="2:11" hidden="1" x14ac:dyDescent="0.3">
      <c r="B678" s="20">
        <v>674</v>
      </c>
      <c r="C678" s="19">
        <v>44139</v>
      </c>
      <c r="D678" s="21" t="s">
        <v>9</v>
      </c>
      <c r="E678" s="21" t="s">
        <v>12</v>
      </c>
      <c r="F678" s="21" t="s">
        <v>11</v>
      </c>
      <c r="G678" s="22">
        <v>900</v>
      </c>
      <c r="H678" s="20">
        <v>1</v>
      </c>
      <c r="I678" s="32">
        <f>Town_Team[[#This Row],[Item quantity]]*Town_Team[[#This Row],[Selling price]]</f>
        <v>900</v>
      </c>
      <c r="J678" s="33">
        <f>IF(Town_Team[[#This Row],[Item name]]=" Jeans - Denim",Town_Team[[#This Row],[Item Amount]]*85%,Town_Team[[#This Row],[Item Amount]])</f>
        <v>765</v>
      </c>
      <c r="K678" s="39" t="str">
        <f>TEXT(Town_Team[[#This Row],[Date ]],"dddd")</f>
        <v>Wednesday</v>
      </c>
    </row>
    <row r="679" spans="2:11" hidden="1" x14ac:dyDescent="0.3">
      <c r="B679" s="20">
        <v>675</v>
      </c>
      <c r="C679" s="19">
        <v>44140</v>
      </c>
      <c r="D679" s="21" t="s">
        <v>9</v>
      </c>
      <c r="E679" s="21" t="s">
        <v>12</v>
      </c>
      <c r="F679" s="21" t="s">
        <v>11</v>
      </c>
      <c r="G679" s="22">
        <v>1100</v>
      </c>
      <c r="H679" s="20">
        <v>1</v>
      </c>
      <c r="I679" s="32">
        <f>Town_Team[[#This Row],[Item quantity]]*Town_Team[[#This Row],[Selling price]]</f>
        <v>1100</v>
      </c>
      <c r="J679" s="33">
        <f>IF(Town_Team[[#This Row],[Item name]]=" Jeans - Denim",Town_Team[[#This Row],[Item Amount]]*85%,Town_Team[[#This Row],[Item Amount]])</f>
        <v>935</v>
      </c>
      <c r="K679" s="39" t="str">
        <f>TEXT(Town_Team[[#This Row],[Date ]],"dddd")</f>
        <v>Thursday</v>
      </c>
    </row>
    <row r="680" spans="2:11" hidden="1" x14ac:dyDescent="0.3">
      <c r="B680" s="20">
        <v>676</v>
      </c>
      <c r="C680" s="19">
        <v>44141</v>
      </c>
      <c r="D680" s="21" t="s">
        <v>9</v>
      </c>
      <c r="E680" s="21" t="s">
        <v>12</v>
      </c>
      <c r="F680" s="21" t="s">
        <v>11</v>
      </c>
      <c r="G680" s="22">
        <v>1100</v>
      </c>
      <c r="H680" s="20">
        <v>1</v>
      </c>
      <c r="I680" s="32">
        <f>Town_Team[[#This Row],[Item quantity]]*Town_Team[[#This Row],[Selling price]]</f>
        <v>1100</v>
      </c>
      <c r="J680" s="33">
        <f>IF(Town_Team[[#This Row],[Item name]]=" Jeans - Denim",Town_Team[[#This Row],[Item Amount]]*85%,Town_Team[[#This Row],[Item Amount]])</f>
        <v>935</v>
      </c>
      <c r="K680" s="39" t="str">
        <f>TEXT(Town_Team[[#This Row],[Date ]],"dddd")</f>
        <v>Friday</v>
      </c>
    </row>
    <row r="681" spans="2:11" hidden="1" x14ac:dyDescent="0.3">
      <c r="B681" s="20">
        <v>677</v>
      </c>
      <c r="C681" s="19">
        <v>44142</v>
      </c>
      <c r="D681" s="21" t="s">
        <v>9</v>
      </c>
      <c r="E681" s="21" t="s">
        <v>15</v>
      </c>
      <c r="F681" s="21" t="s">
        <v>11</v>
      </c>
      <c r="G681" s="22">
        <v>1000</v>
      </c>
      <c r="H681" s="20">
        <v>1</v>
      </c>
      <c r="I681" s="32">
        <f>Town_Team[[#This Row],[Item quantity]]*Town_Team[[#This Row],[Selling price]]</f>
        <v>1000</v>
      </c>
      <c r="J681" s="33">
        <f>IF(Town_Team[[#This Row],[Item name]]=" Jeans - Denim",Town_Team[[#This Row],[Item Amount]]*85%,Town_Team[[#This Row],[Item Amount]])</f>
        <v>1000</v>
      </c>
      <c r="K681" s="39" t="str">
        <f>TEXT(Town_Team[[#This Row],[Date ]],"dddd")</f>
        <v>Saturday</v>
      </c>
    </row>
    <row r="682" spans="2:11" hidden="1" x14ac:dyDescent="0.3">
      <c r="B682" s="20">
        <v>678</v>
      </c>
      <c r="C682" s="19">
        <v>44143</v>
      </c>
      <c r="D682" s="21" t="s">
        <v>9</v>
      </c>
      <c r="E682" s="21" t="s">
        <v>15</v>
      </c>
      <c r="F682" s="21" t="s">
        <v>11</v>
      </c>
      <c r="G682" s="22">
        <v>1000</v>
      </c>
      <c r="H682" s="20">
        <v>1</v>
      </c>
      <c r="I682" s="32">
        <f>Town_Team[[#This Row],[Item quantity]]*Town_Team[[#This Row],[Selling price]]</f>
        <v>1000</v>
      </c>
      <c r="J682" s="33">
        <f>IF(Town_Team[[#This Row],[Item name]]=" Jeans - Denim",Town_Team[[#This Row],[Item Amount]]*85%,Town_Team[[#This Row],[Item Amount]])</f>
        <v>1000</v>
      </c>
      <c r="K682" s="39" t="str">
        <f>TEXT(Town_Team[[#This Row],[Date ]],"dddd")</f>
        <v>Sunday</v>
      </c>
    </row>
    <row r="683" spans="2:11" hidden="1" x14ac:dyDescent="0.3">
      <c r="B683" s="20">
        <v>679</v>
      </c>
      <c r="C683" s="19">
        <v>44144</v>
      </c>
      <c r="D683" s="21" t="s">
        <v>9</v>
      </c>
      <c r="E683" s="21" t="s">
        <v>12</v>
      </c>
      <c r="F683" s="21" t="s">
        <v>11</v>
      </c>
      <c r="G683" s="22">
        <v>1100</v>
      </c>
      <c r="H683" s="20">
        <v>1</v>
      </c>
      <c r="I683" s="32">
        <f>Town_Team[[#This Row],[Item quantity]]*Town_Team[[#This Row],[Selling price]]</f>
        <v>1100</v>
      </c>
      <c r="J683" s="33">
        <f>IF(Town_Team[[#This Row],[Item name]]=" Jeans - Denim",Town_Team[[#This Row],[Item Amount]]*85%,Town_Team[[#This Row],[Item Amount]])</f>
        <v>935</v>
      </c>
      <c r="K683" s="39" t="str">
        <f>TEXT(Town_Team[[#This Row],[Date ]],"dddd")</f>
        <v>Monday</v>
      </c>
    </row>
    <row r="684" spans="2:11" hidden="1" x14ac:dyDescent="0.3">
      <c r="B684" s="20">
        <v>680</v>
      </c>
      <c r="C684" s="19">
        <v>44145</v>
      </c>
      <c r="D684" s="21" t="s">
        <v>9</v>
      </c>
      <c r="E684" s="21" t="s">
        <v>15</v>
      </c>
      <c r="F684" s="21" t="s">
        <v>11</v>
      </c>
      <c r="G684" s="22">
        <v>1000</v>
      </c>
      <c r="H684" s="20">
        <v>1</v>
      </c>
      <c r="I684" s="32">
        <f>Town_Team[[#This Row],[Item quantity]]*Town_Team[[#This Row],[Selling price]]</f>
        <v>1000</v>
      </c>
      <c r="J684" s="33">
        <f>IF(Town_Team[[#This Row],[Item name]]=" Jeans - Denim",Town_Team[[#This Row],[Item Amount]]*85%,Town_Team[[#This Row],[Item Amount]])</f>
        <v>1000</v>
      </c>
      <c r="K684" s="39" t="str">
        <f>TEXT(Town_Team[[#This Row],[Date ]],"dddd")</f>
        <v>Tuesday</v>
      </c>
    </row>
    <row r="685" spans="2:11" hidden="1" x14ac:dyDescent="0.3">
      <c r="B685" s="20">
        <v>681</v>
      </c>
      <c r="C685" s="19">
        <v>44146</v>
      </c>
      <c r="D685" s="21" t="s">
        <v>9</v>
      </c>
      <c r="E685" s="21" t="s">
        <v>12</v>
      </c>
      <c r="F685" s="21" t="s">
        <v>11</v>
      </c>
      <c r="G685" s="22">
        <v>900</v>
      </c>
      <c r="H685" s="20">
        <v>1</v>
      </c>
      <c r="I685" s="32">
        <f>Town_Team[[#This Row],[Item quantity]]*Town_Team[[#This Row],[Selling price]]</f>
        <v>900</v>
      </c>
      <c r="J685" s="33">
        <f>IF(Town_Team[[#This Row],[Item name]]=" Jeans - Denim",Town_Team[[#This Row],[Item Amount]]*85%,Town_Team[[#This Row],[Item Amount]])</f>
        <v>765</v>
      </c>
      <c r="K685" s="39" t="str">
        <f>TEXT(Town_Team[[#This Row],[Date ]],"dddd")</f>
        <v>Wednesday</v>
      </c>
    </row>
    <row r="686" spans="2:11" hidden="1" x14ac:dyDescent="0.3">
      <c r="B686" s="20">
        <v>682</v>
      </c>
      <c r="C686" s="19">
        <v>44147</v>
      </c>
      <c r="D686" s="21" t="s">
        <v>9</v>
      </c>
      <c r="E686" s="21" t="s">
        <v>12</v>
      </c>
      <c r="F686" s="21" t="s">
        <v>11</v>
      </c>
      <c r="G686" s="22">
        <v>900</v>
      </c>
      <c r="H686" s="20">
        <v>2</v>
      </c>
      <c r="I686" s="32">
        <f>Town_Team[[#This Row],[Item quantity]]*Town_Team[[#This Row],[Selling price]]</f>
        <v>1800</v>
      </c>
      <c r="J686" s="33">
        <f>IF(Town_Team[[#This Row],[Item name]]=" Jeans - Denim",Town_Team[[#This Row],[Item Amount]]*85%,Town_Team[[#This Row],[Item Amount]])</f>
        <v>1530</v>
      </c>
      <c r="K686" s="39" t="str">
        <f>TEXT(Town_Team[[#This Row],[Date ]],"dddd")</f>
        <v>Thursday</v>
      </c>
    </row>
    <row r="687" spans="2:11" hidden="1" x14ac:dyDescent="0.3">
      <c r="B687" s="20">
        <v>683</v>
      </c>
      <c r="C687" s="19">
        <v>44148</v>
      </c>
      <c r="D687" s="21" t="s">
        <v>9</v>
      </c>
      <c r="E687" s="21" t="s">
        <v>12</v>
      </c>
      <c r="F687" s="21" t="s">
        <v>11</v>
      </c>
      <c r="G687" s="22">
        <v>1100</v>
      </c>
      <c r="H687" s="20">
        <v>1</v>
      </c>
      <c r="I687" s="32">
        <f>Town_Team[[#This Row],[Item quantity]]*Town_Team[[#This Row],[Selling price]]</f>
        <v>1100</v>
      </c>
      <c r="J687" s="33">
        <f>IF(Town_Team[[#This Row],[Item name]]=" Jeans - Denim",Town_Team[[#This Row],[Item Amount]]*85%,Town_Team[[#This Row],[Item Amount]])</f>
        <v>935</v>
      </c>
      <c r="K687" s="39" t="str">
        <f>TEXT(Town_Team[[#This Row],[Date ]],"dddd")</f>
        <v>Friday</v>
      </c>
    </row>
    <row r="688" spans="2:11" hidden="1" x14ac:dyDescent="0.3">
      <c r="B688" s="20">
        <v>684</v>
      </c>
      <c r="C688" s="19">
        <v>44149</v>
      </c>
      <c r="D688" s="21" t="s">
        <v>9</v>
      </c>
      <c r="E688" s="21" t="s">
        <v>12</v>
      </c>
      <c r="F688" s="21" t="s">
        <v>11</v>
      </c>
      <c r="G688" s="22">
        <v>900</v>
      </c>
      <c r="H688" s="20">
        <v>1</v>
      </c>
      <c r="I688" s="32">
        <f>Town_Team[[#This Row],[Item quantity]]*Town_Team[[#This Row],[Selling price]]</f>
        <v>900</v>
      </c>
      <c r="J688" s="33">
        <f>IF(Town_Team[[#This Row],[Item name]]=" Jeans - Denim",Town_Team[[#This Row],[Item Amount]]*85%,Town_Team[[#This Row],[Item Amount]])</f>
        <v>765</v>
      </c>
      <c r="K688" s="39" t="str">
        <f>TEXT(Town_Team[[#This Row],[Date ]],"dddd")</f>
        <v>Saturday</v>
      </c>
    </row>
    <row r="689" spans="2:11" hidden="1" x14ac:dyDescent="0.3">
      <c r="B689" s="20">
        <v>685</v>
      </c>
      <c r="C689" s="19">
        <v>44150</v>
      </c>
      <c r="D689" s="21" t="s">
        <v>9</v>
      </c>
      <c r="E689" s="21" t="s">
        <v>12</v>
      </c>
      <c r="F689" s="21" t="s">
        <v>11</v>
      </c>
      <c r="G689" s="22">
        <v>1100</v>
      </c>
      <c r="H689" s="20">
        <v>1</v>
      </c>
      <c r="I689" s="32">
        <f>Town_Team[[#This Row],[Item quantity]]*Town_Team[[#This Row],[Selling price]]</f>
        <v>1100</v>
      </c>
      <c r="J689" s="33">
        <f>IF(Town_Team[[#This Row],[Item name]]=" Jeans - Denim",Town_Team[[#This Row],[Item Amount]]*85%,Town_Team[[#This Row],[Item Amount]])</f>
        <v>935</v>
      </c>
      <c r="K689" s="39" t="str">
        <f>TEXT(Town_Team[[#This Row],[Date ]],"dddd")</f>
        <v>Sunday</v>
      </c>
    </row>
    <row r="690" spans="2:11" hidden="1" x14ac:dyDescent="0.3">
      <c r="B690" s="20">
        <v>686</v>
      </c>
      <c r="C690" s="19">
        <v>44151</v>
      </c>
      <c r="D690" s="21" t="s">
        <v>9</v>
      </c>
      <c r="E690" s="21" t="s">
        <v>16</v>
      </c>
      <c r="F690" s="21" t="s">
        <v>17</v>
      </c>
      <c r="G690" s="22">
        <v>800</v>
      </c>
      <c r="H690" s="20">
        <v>1</v>
      </c>
      <c r="I690" s="32">
        <f>Town_Team[[#This Row],[Item quantity]]*Town_Team[[#This Row],[Selling price]]</f>
        <v>800</v>
      </c>
      <c r="J690" s="33">
        <f>IF(Town_Team[[#This Row],[Item name]]=" Jeans - Denim",Town_Team[[#This Row],[Item Amount]]*85%,Town_Team[[#This Row],[Item Amount]])</f>
        <v>800</v>
      </c>
      <c r="K690" s="39" t="str">
        <f>TEXT(Town_Team[[#This Row],[Date ]],"dddd")</f>
        <v>Monday</v>
      </c>
    </row>
    <row r="691" spans="2:11" hidden="1" x14ac:dyDescent="0.3">
      <c r="B691" s="20">
        <v>687</v>
      </c>
      <c r="C691" s="19">
        <v>44152</v>
      </c>
      <c r="D691" s="21" t="s">
        <v>9</v>
      </c>
      <c r="E691" s="21" t="s">
        <v>16</v>
      </c>
      <c r="F691" s="21" t="s">
        <v>17</v>
      </c>
      <c r="G691" s="22">
        <v>800</v>
      </c>
      <c r="H691" s="20">
        <v>2</v>
      </c>
      <c r="I691" s="32">
        <f>Town_Team[[#This Row],[Item quantity]]*Town_Team[[#This Row],[Selling price]]</f>
        <v>1600</v>
      </c>
      <c r="J691" s="33">
        <f>IF(Town_Team[[#This Row],[Item name]]=" Jeans - Denim",Town_Team[[#This Row],[Item Amount]]*85%,Town_Team[[#This Row],[Item Amount]])</f>
        <v>1600</v>
      </c>
      <c r="K691" s="39" t="str">
        <f>TEXT(Town_Team[[#This Row],[Date ]],"dddd")</f>
        <v>Tuesday</v>
      </c>
    </row>
    <row r="692" spans="2:11" hidden="1" x14ac:dyDescent="0.3">
      <c r="B692" s="20">
        <v>688</v>
      </c>
      <c r="C692" s="19">
        <v>44153</v>
      </c>
      <c r="D692" s="21" t="s">
        <v>9</v>
      </c>
      <c r="E692" s="21" t="s">
        <v>14</v>
      </c>
      <c r="F692" s="21" t="s">
        <v>11</v>
      </c>
      <c r="G692" s="22">
        <v>900</v>
      </c>
      <c r="H692" s="20">
        <v>1</v>
      </c>
      <c r="I692" s="32">
        <f>Town_Team[[#This Row],[Item quantity]]*Town_Team[[#This Row],[Selling price]]</f>
        <v>900</v>
      </c>
      <c r="J692" s="33">
        <f>IF(Town_Team[[#This Row],[Item name]]=" Jeans - Denim",Town_Team[[#This Row],[Item Amount]]*85%,Town_Team[[#This Row],[Item Amount]])</f>
        <v>900</v>
      </c>
      <c r="K692" s="39" t="str">
        <f>TEXT(Town_Team[[#This Row],[Date ]],"dddd")</f>
        <v>Wednesday</v>
      </c>
    </row>
    <row r="693" spans="2:11" hidden="1" x14ac:dyDescent="0.3">
      <c r="B693" s="20">
        <v>689</v>
      </c>
      <c r="C693" s="19">
        <v>44154</v>
      </c>
      <c r="D693" s="21" t="s">
        <v>9</v>
      </c>
      <c r="E693" s="21" t="s">
        <v>12</v>
      </c>
      <c r="F693" s="21" t="s">
        <v>11</v>
      </c>
      <c r="G693" s="22">
        <v>1100</v>
      </c>
      <c r="H693" s="20">
        <v>1</v>
      </c>
      <c r="I693" s="32">
        <f>Town_Team[[#This Row],[Item quantity]]*Town_Team[[#This Row],[Selling price]]</f>
        <v>1100</v>
      </c>
      <c r="J693" s="33">
        <f>IF(Town_Team[[#This Row],[Item name]]=" Jeans - Denim",Town_Team[[#This Row],[Item Amount]]*85%,Town_Team[[#This Row],[Item Amount]])</f>
        <v>935</v>
      </c>
      <c r="K693" s="39" t="str">
        <f>TEXT(Town_Team[[#This Row],[Date ]],"dddd")</f>
        <v>Thursday</v>
      </c>
    </row>
    <row r="694" spans="2:11" hidden="1" x14ac:dyDescent="0.3">
      <c r="B694" s="20">
        <v>690</v>
      </c>
      <c r="C694" s="19">
        <v>44155</v>
      </c>
      <c r="D694" s="21" t="s">
        <v>9</v>
      </c>
      <c r="E694" s="21" t="s">
        <v>16</v>
      </c>
      <c r="F694" s="21" t="s">
        <v>17</v>
      </c>
      <c r="G694" s="22">
        <v>800</v>
      </c>
      <c r="H694" s="20">
        <v>1</v>
      </c>
      <c r="I694" s="32">
        <f>Town_Team[[#This Row],[Item quantity]]*Town_Team[[#This Row],[Selling price]]</f>
        <v>800</v>
      </c>
      <c r="J694" s="33">
        <f>IF(Town_Team[[#This Row],[Item name]]=" Jeans - Denim",Town_Team[[#This Row],[Item Amount]]*85%,Town_Team[[#This Row],[Item Amount]])</f>
        <v>800</v>
      </c>
      <c r="K694" s="39" t="str">
        <f>TEXT(Town_Team[[#This Row],[Date ]],"dddd")</f>
        <v>Friday</v>
      </c>
    </row>
    <row r="695" spans="2:11" hidden="1" x14ac:dyDescent="0.3">
      <c r="B695" s="20">
        <v>691</v>
      </c>
      <c r="C695" s="19">
        <v>44156</v>
      </c>
      <c r="D695" s="21" t="s">
        <v>9</v>
      </c>
      <c r="E695" s="21" t="s">
        <v>15</v>
      </c>
      <c r="F695" s="21" t="s">
        <v>11</v>
      </c>
      <c r="G695" s="22">
        <v>1000</v>
      </c>
      <c r="H695" s="20">
        <v>1</v>
      </c>
      <c r="I695" s="32">
        <f>Town_Team[[#This Row],[Item quantity]]*Town_Team[[#This Row],[Selling price]]</f>
        <v>1000</v>
      </c>
      <c r="J695" s="33">
        <f>IF(Town_Team[[#This Row],[Item name]]=" Jeans - Denim",Town_Team[[#This Row],[Item Amount]]*85%,Town_Team[[#This Row],[Item Amount]])</f>
        <v>1000</v>
      </c>
      <c r="K695" s="39" t="str">
        <f>TEXT(Town_Team[[#This Row],[Date ]],"dddd")</f>
        <v>Saturday</v>
      </c>
    </row>
    <row r="696" spans="2:11" hidden="1" x14ac:dyDescent="0.3">
      <c r="B696" s="20">
        <v>692</v>
      </c>
      <c r="C696" s="19">
        <v>44157</v>
      </c>
      <c r="D696" s="21" t="s">
        <v>9</v>
      </c>
      <c r="E696" s="21" t="s">
        <v>16</v>
      </c>
      <c r="F696" s="21" t="s">
        <v>17</v>
      </c>
      <c r="G696" s="22">
        <v>800</v>
      </c>
      <c r="H696" s="20">
        <v>1</v>
      </c>
      <c r="I696" s="32">
        <f>Town_Team[[#This Row],[Item quantity]]*Town_Team[[#This Row],[Selling price]]</f>
        <v>800</v>
      </c>
      <c r="J696" s="33">
        <f>IF(Town_Team[[#This Row],[Item name]]=" Jeans - Denim",Town_Team[[#This Row],[Item Amount]]*85%,Town_Team[[#This Row],[Item Amount]])</f>
        <v>800</v>
      </c>
      <c r="K696" s="39" t="str">
        <f>TEXT(Town_Team[[#This Row],[Date ]],"dddd")</f>
        <v>Sunday</v>
      </c>
    </row>
    <row r="697" spans="2:11" hidden="1" x14ac:dyDescent="0.3">
      <c r="B697" s="20">
        <v>693</v>
      </c>
      <c r="C697" s="19">
        <v>44158</v>
      </c>
      <c r="D697" s="21" t="s">
        <v>9</v>
      </c>
      <c r="E697" s="21" t="s">
        <v>18</v>
      </c>
      <c r="F697" s="21" t="s">
        <v>17</v>
      </c>
      <c r="G697" s="22">
        <v>600</v>
      </c>
      <c r="H697" s="20">
        <v>1</v>
      </c>
      <c r="I697" s="32">
        <f>Town_Team[[#This Row],[Item quantity]]*Town_Team[[#This Row],[Selling price]]</f>
        <v>600</v>
      </c>
      <c r="J697" s="33">
        <f>IF(Town_Team[[#This Row],[Item name]]=" Jeans - Denim",Town_Team[[#This Row],[Item Amount]]*85%,Town_Team[[#This Row],[Item Amount]])</f>
        <v>600</v>
      </c>
      <c r="K697" s="39" t="str">
        <f>TEXT(Town_Team[[#This Row],[Date ]],"dddd")</f>
        <v>Monday</v>
      </c>
    </row>
    <row r="698" spans="2:11" hidden="1" x14ac:dyDescent="0.3">
      <c r="B698" s="20">
        <v>694</v>
      </c>
      <c r="C698" s="19">
        <v>44159</v>
      </c>
      <c r="D698" s="21" t="s">
        <v>9</v>
      </c>
      <c r="E698" s="21" t="s">
        <v>12</v>
      </c>
      <c r="F698" s="21" t="s">
        <v>11</v>
      </c>
      <c r="G698" s="22">
        <v>900</v>
      </c>
      <c r="H698" s="20">
        <v>1</v>
      </c>
      <c r="I698" s="32">
        <f>Town_Team[[#This Row],[Item quantity]]*Town_Team[[#This Row],[Selling price]]</f>
        <v>900</v>
      </c>
      <c r="J698" s="33">
        <f>IF(Town_Team[[#This Row],[Item name]]=" Jeans - Denim",Town_Team[[#This Row],[Item Amount]]*85%,Town_Team[[#This Row],[Item Amount]])</f>
        <v>765</v>
      </c>
      <c r="K698" s="39" t="str">
        <f>TEXT(Town_Team[[#This Row],[Date ]],"dddd")</f>
        <v>Tuesday</v>
      </c>
    </row>
    <row r="699" spans="2:11" hidden="1" x14ac:dyDescent="0.3">
      <c r="B699" s="20">
        <v>695</v>
      </c>
      <c r="C699" s="19">
        <v>44160</v>
      </c>
      <c r="D699" s="21" t="s">
        <v>9</v>
      </c>
      <c r="E699" s="21" t="s">
        <v>12</v>
      </c>
      <c r="F699" s="21" t="s">
        <v>11</v>
      </c>
      <c r="G699" s="22">
        <v>1100</v>
      </c>
      <c r="H699" s="20">
        <v>1</v>
      </c>
      <c r="I699" s="32">
        <f>Town_Team[[#This Row],[Item quantity]]*Town_Team[[#This Row],[Selling price]]</f>
        <v>1100</v>
      </c>
      <c r="J699" s="33">
        <f>IF(Town_Team[[#This Row],[Item name]]=" Jeans - Denim",Town_Team[[#This Row],[Item Amount]]*85%,Town_Team[[#This Row],[Item Amount]])</f>
        <v>935</v>
      </c>
      <c r="K699" s="39" t="str">
        <f>TEXT(Town_Team[[#This Row],[Date ]],"dddd")</f>
        <v>Wednesday</v>
      </c>
    </row>
    <row r="700" spans="2:11" hidden="1" x14ac:dyDescent="0.3">
      <c r="B700" s="20">
        <v>696</v>
      </c>
      <c r="C700" s="19">
        <v>44161</v>
      </c>
      <c r="D700" s="21" t="s">
        <v>9</v>
      </c>
      <c r="E700" s="21" t="s">
        <v>15</v>
      </c>
      <c r="F700" s="21" t="s">
        <v>11</v>
      </c>
      <c r="G700" s="22">
        <v>1000</v>
      </c>
      <c r="H700" s="20">
        <v>1</v>
      </c>
      <c r="I700" s="32">
        <f>Town_Team[[#This Row],[Item quantity]]*Town_Team[[#This Row],[Selling price]]</f>
        <v>1000</v>
      </c>
      <c r="J700" s="33">
        <f>IF(Town_Team[[#This Row],[Item name]]=" Jeans - Denim",Town_Team[[#This Row],[Item Amount]]*85%,Town_Team[[#This Row],[Item Amount]])</f>
        <v>1000</v>
      </c>
      <c r="K700" s="39" t="str">
        <f>TEXT(Town_Team[[#This Row],[Date ]],"dddd")</f>
        <v>Thursday</v>
      </c>
    </row>
    <row r="701" spans="2:11" hidden="1" x14ac:dyDescent="0.3">
      <c r="B701" s="20">
        <v>697</v>
      </c>
      <c r="C701" s="19">
        <v>44162</v>
      </c>
      <c r="D701" s="21" t="s">
        <v>9</v>
      </c>
      <c r="E701" s="21" t="s">
        <v>12</v>
      </c>
      <c r="F701" s="21" t="s">
        <v>11</v>
      </c>
      <c r="G701" s="22">
        <v>900</v>
      </c>
      <c r="H701" s="20">
        <v>1</v>
      </c>
      <c r="I701" s="32">
        <f>Town_Team[[#This Row],[Item quantity]]*Town_Team[[#This Row],[Selling price]]</f>
        <v>900</v>
      </c>
      <c r="J701" s="33">
        <f>IF(Town_Team[[#This Row],[Item name]]=" Jeans - Denim",Town_Team[[#This Row],[Item Amount]]*85%,Town_Team[[#This Row],[Item Amount]])</f>
        <v>765</v>
      </c>
      <c r="K701" s="39" t="str">
        <f>TEXT(Town_Team[[#This Row],[Date ]],"dddd")</f>
        <v>Friday</v>
      </c>
    </row>
    <row r="702" spans="2:11" hidden="1" x14ac:dyDescent="0.3">
      <c r="B702" s="20">
        <v>698</v>
      </c>
      <c r="C702" s="19">
        <v>44163</v>
      </c>
      <c r="D702" s="21" t="s">
        <v>9</v>
      </c>
      <c r="E702" s="21" t="s">
        <v>12</v>
      </c>
      <c r="F702" s="21" t="s">
        <v>11</v>
      </c>
      <c r="G702" s="22">
        <v>1100</v>
      </c>
      <c r="H702" s="20">
        <v>2</v>
      </c>
      <c r="I702" s="32">
        <f>Town_Team[[#This Row],[Item quantity]]*Town_Team[[#This Row],[Selling price]]</f>
        <v>2200</v>
      </c>
      <c r="J702" s="33">
        <f>IF(Town_Team[[#This Row],[Item name]]=" Jeans - Denim",Town_Team[[#This Row],[Item Amount]]*85%,Town_Team[[#This Row],[Item Amount]])</f>
        <v>1870</v>
      </c>
      <c r="K702" s="39" t="str">
        <f>TEXT(Town_Team[[#This Row],[Date ]],"dddd")</f>
        <v>Saturday</v>
      </c>
    </row>
    <row r="703" spans="2:11" hidden="1" x14ac:dyDescent="0.3">
      <c r="B703" s="20">
        <v>699</v>
      </c>
      <c r="C703" s="19">
        <v>44164</v>
      </c>
      <c r="D703" s="21" t="s">
        <v>9</v>
      </c>
      <c r="E703" s="21" t="s">
        <v>18</v>
      </c>
      <c r="F703" s="21" t="s">
        <v>17</v>
      </c>
      <c r="G703" s="22">
        <v>600</v>
      </c>
      <c r="H703" s="20">
        <v>1</v>
      </c>
      <c r="I703" s="32">
        <f>Town_Team[[#This Row],[Item quantity]]*Town_Team[[#This Row],[Selling price]]</f>
        <v>600</v>
      </c>
      <c r="J703" s="33">
        <f>IF(Town_Team[[#This Row],[Item name]]=" Jeans - Denim",Town_Team[[#This Row],[Item Amount]]*85%,Town_Team[[#This Row],[Item Amount]])</f>
        <v>600</v>
      </c>
      <c r="K703" s="39" t="str">
        <f>TEXT(Town_Team[[#This Row],[Date ]],"dddd")</f>
        <v>Sunday</v>
      </c>
    </row>
    <row r="704" spans="2:11" hidden="1" x14ac:dyDescent="0.3">
      <c r="B704" s="20">
        <v>700</v>
      </c>
      <c r="C704" s="19">
        <v>44165</v>
      </c>
      <c r="D704" s="21" t="s">
        <v>9</v>
      </c>
      <c r="E704" s="21" t="s">
        <v>18</v>
      </c>
      <c r="F704" s="21" t="s">
        <v>17</v>
      </c>
      <c r="G704" s="22">
        <v>600</v>
      </c>
      <c r="H704" s="20">
        <v>1</v>
      </c>
      <c r="I704" s="32">
        <f>Town_Team[[#This Row],[Item quantity]]*Town_Team[[#This Row],[Selling price]]</f>
        <v>600</v>
      </c>
      <c r="J704" s="33">
        <f>IF(Town_Team[[#This Row],[Item name]]=" Jeans - Denim",Town_Team[[#This Row],[Item Amount]]*85%,Town_Team[[#This Row],[Item Amount]])</f>
        <v>600</v>
      </c>
      <c r="K704" s="39" t="str">
        <f>TEXT(Town_Team[[#This Row],[Date ]],"dddd")</f>
        <v>Monday</v>
      </c>
    </row>
    <row r="705" spans="2:11" hidden="1" x14ac:dyDescent="0.3">
      <c r="B705" s="20">
        <v>701</v>
      </c>
      <c r="C705" s="19">
        <v>44166</v>
      </c>
      <c r="D705" s="21" t="s">
        <v>9</v>
      </c>
      <c r="E705" s="21" t="s">
        <v>18</v>
      </c>
      <c r="F705" s="21" t="s">
        <v>17</v>
      </c>
      <c r="G705" s="22">
        <v>600</v>
      </c>
      <c r="H705" s="20">
        <v>1</v>
      </c>
      <c r="I705" s="32">
        <f>Town_Team[[#This Row],[Item quantity]]*Town_Team[[#This Row],[Selling price]]</f>
        <v>600</v>
      </c>
      <c r="J705" s="33">
        <f>IF(Town_Team[[#This Row],[Item name]]=" Jeans - Denim",Town_Team[[#This Row],[Item Amount]]*85%,Town_Team[[#This Row],[Item Amount]])</f>
        <v>600</v>
      </c>
      <c r="K705" s="39" t="str">
        <f>TEXT(Town_Team[[#This Row],[Date ]],"dddd")</f>
        <v>Tuesday</v>
      </c>
    </row>
    <row r="706" spans="2:11" hidden="1" x14ac:dyDescent="0.3">
      <c r="B706" s="20">
        <v>702</v>
      </c>
      <c r="C706" s="19">
        <v>44167</v>
      </c>
      <c r="D706" s="21" t="s">
        <v>9</v>
      </c>
      <c r="E706" s="21" t="s">
        <v>12</v>
      </c>
      <c r="F706" s="21" t="s">
        <v>11</v>
      </c>
      <c r="G706" s="22">
        <v>900</v>
      </c>
      <c r="H706" s="20">
        <v>1</v>
      </c>
      <c r="I706" s="32">
        <f>Town_Team[[#This Row],[Item quantity]]*Town_Team[[#This Row],[Selling price]]</f>
        <v>900</v>
      </c>
      <c r="J706" s="33">
        <f>IF(Town_Team[[#This Row],[Item name]]=" Jeans - Denim",Town_Team[[#This Row],[Item Amount]]*85%,Town_Team[[#This Row],[Item Amount]])</f>
        <v>765</v>
      </c>
      <c r="K706" s="39" t="str">
        <f>TEXT(Town_Team[[#This Row],[Date ]],"dddd")</f>
        <v>Wednesday</v>
      </c>
    </row>
    <row r="707" spans="2:11" hidden="1" x14ac:dyDescent="0.3">
      <c r="B707" s="20">
        <v>703</v>
      </c>
      <c r="C707" s="19">
        <v>44168</v>
      </c>
      <c r="D707" s="21" t="s">
        <v>9</v>
      </c>
      <c r="E707" s="21" t="s">
        <v>18</v>
      </c>
      <c r="F707" s="21" t="s">
        <v>17</v>
      </c>
      <c r="G707" s="22">
        <v>600</v>
      </c>
      <c r="H707" s="20">
        <v>1</v>
      </c>
      <c r="I707" s="32">
        <f>Town_Team[[#This Row],[Item quantity]]*Town_Team[[#This Row],[Selling price]]</f>
        <v>600</v>
      </c>
      <c r="J707" s="33">
        <f>IF(Town_Team[[#This Row],[Item name]]=" Jeans - Denim",Town_Team[[#This Row],[Item Amount]]*85%,Town_Team[[#This Row],[Item Amount]])</f>
        <v>600</v>
      </c>
      <c r="K707" s="39" t="str">
        <f>TEXT(Town_Team[[#This Row],[Date ]],"dddd")</f>
        <v>Thursday</v>
      </c>
    </row>
    <row r="708" spans="2:11" hidden="1" x14ac:dyDescent="0.3">
      <c r="B708" s="20">
        <v>704</v>
      </c>
      <c r="C708" s="19">
        <v>44169</v>
      </c>
      <c r="D708" s="21" t="s">
        <v>9</v>
      </c>
      <c r="E708" s="21" t="s">
        <v>18</v>
      </c>
      <c r="F708" s="21" t="s">
        <v>17</v>
      </c>
      <c r="G708" s="22">
        <v>600</v>
      </c>
      <c r="H708" s="20">
        <v>1</v>
      </c>
      <c r="I708" s="32">
        <f>Town_Team[[#This Row],[Item quantity]]*Town_Team[[#This Row],[Selling price]]</f>
        <v>600</v>
      </c>
      <c r="J708" s="33">
        <f>IF(Town_Team[[#This Row],[Item name]]=" Jeans - Denim",Town_Team[[#This Row],[Item Amount]]*85%,Town_Team[[#This Row],[Item Amount]])</f>
        <v>600</v>
      </c>
      <c r="K708" s="39" t="str">
        <f>TEXT(Town_Team[[#This Row],[Date ]],"dddd")</f>
        <v>Friday</v>
      </c>
    </row>
    <row r="709" spans="2:11" hidden="1" x14ac:dyDescent="0.3">
      <c r="B709" s="20">
        <v>705</v>
      </c>
      <c r="C709" s="19">
        <v>44170</v>
      </c>
      <c r="D709" s="21" t="s">
        <v>9</v>
      </c>
      <c r="E709" s="21" t="s">
        <v>12</v>
      </c>
      <c r="F709" s="21" t="s">
        <v>11</v>
      </c>
      <c r="G709" s="22">
        <v>1100</v>
      </c>
      <c r="H709" s="20">
        <v>1</v>
      </c>
      <c r="I709" s="32">
        <f>Town_Team[[#This Row],[Item quantity]]*Town_Team[[#This Row],[Selling price]]</f>
        <v>1100</v>
      </c>
      <c r="J709" s="33">
        <f>IF(Town_Team[[#This Row],[Item name]]=" Jeans - Denim",Town_Team[[#This Row],[Item Amount]]*85%,Town_Team[[#This Row],[Item Amount]])</f>
        <v>935</v>
      </c>
      <c r="K709" s="39" t="str">
        <f>TEXT(Town_Team[[#This Row],[Date ]],"dddd")</f>
        <v>Saturday</v>
      </c>
    </row>
    <row r="710" spans="2:11" hidden="1" x14ac:dyDescent="0.3">
      <c r="B710" s="20">
        <v>706</v>
      </c>
      <c r="C710" s="19">
        <v>44171</v>
      </c>
      <c r="D710" s="21" t="s">
        <v>9</v>
      </c>
      <c r="E710" s="21" t="s">
        <v>14</v>
      </c>
      <c r="F710" s="21" t="s">
        <v>11</v>
      </c>
      <c r="G710" s="22">
        <v>900</v>
      </c>
      <c r="H710" s="20">
        <v>3</v>
      </c>
      <c r="I710" s="32">
        <f>Town_Team[[#This Row],[Item quantity]]*Town_Team[[#This Row],[Selling price]]</f>
        <v>2700</v>
      </c>
      <c r="J710" s="33">
        <f>IF(Town_Team[[#This Row],[Item name]]=" Jeans - Denim",Town_Team[[#This Row],[Item Amount]]*85%,Town_Team[[#This Row],[Item Amount]])</f>
        <v>2700</v>
      </c>
      <c r="K710" s="39" t="str">
        <f>TEXT(Town_Team[[#This Row],[Date ]],"dddd")</f>
        <v>Sunday</v>
      </c>
    </row>
    <row r="711" spans="2:11" hidden="1" x14ac:dyDescent="0.3">
      <c r="B711" s="20">
        <v>707</v>
      </c>
      <c r="C711" s="19">
        <v>44172</v>
      </c>
      <c r="D711" s="21" t="s">
        <v>9</v>
      </c>
      <c r="E711" s="21" t="s">
        <v>10</v>
      </c>
      <c r="F711" s="21" t="s">
        <v>11</v>
      </c>
      <c r="G711" s="22">
        <v>1100</v>
      </c>
      <c r="H711" s="20">
        <v>2</v>
      </c>
      <c r="I711" s="32">
        <f>Town_Team[[#This Row],[Item quantity]]*Town_Team[[#This Row],[Selling price]]</f>
        <v>2200</v>
      </c>
      <c r="J711" s="33">
        <f>IF(Town_Team[[#This Row],[Item name]]=" Jeans - Denim",Town_Team[[#This Row],[Item Amount]]*85%,Town_Team[[#This Row],[Item Amount]])</f>
        <v>2200</v>
      </c>
      <c r="K711" s="39" t="str">
        <f>TEXT(Town_Team[[#This Row],[Date ]],"dddd")</f>
        <v>Monday</v>
      </c>
    </row>
    <row r="712" spans="2:11" hidden="1" x14ac:dyDescent="0.3">
      <c r="B712" s="20">
        <v>708</v>
      </c>
      <c r="C712" s="19">
        <v>44173</v>
      </c>
      <c r="D712" s="21" t="s">
        <v>9</v>
      </c>
      <c r="E712" s="21" t="s">
        <v>10</v>
      </c>
      <c r="F712" s="21" t="s">
        <v>11</v>
      </c>
      <c r="G712" s="22">
        <v>1100</v>
      </c>
      <c r="H712" s="20">
        <v>1</v>
      </c>
      <c r="I712" s="32">
        <f>Town_Team[[#This Row],[Item quantity]]*Town_Team[[#This Row],[Selling price]]</f>
        <v>1100</v>
      </c>
      <c r="J712" s="33">
        <f>IF(Town_Team[[#This Row],[Item name]]=" Jeans - Denim",Town_Team[[#This Row],[Item Amount]]*85%,Town_Team[[#This Row],[Item Amount]])</f>
        <v>1100</v>
      </c>
      <c r="K712" s="39" t="str">
        <f>TEXT(Town_Team[[#This Row],[Date ]],"dddd")</f>
        <v>Tuesday</v>
      </c>
    </row>
    <row r="713" spans="2:11" hidden="1" x14ac:dyDescent="0.3">
      <c r="B713" s="20">
        <v>709</v>
      </c>
      <c r="C713" s="19">
        <v>44174</v>
      </c>
      <c r="D713" s="21" t="s">
        <v>9</v>
      </c>
      <c r="E713" s="21" t="s">
        <v>18</v>
      </c>
      <c r="F713" s="21" t="s">
        <v>17</v>
      </c>
      <c r="G713" s="22">
        <v>600</v>
      </c>
      <c r="H713" s="20">
        <v>1</v>
      </c>
      <c r="I713" s="32">
        <f>Town_Team[[#This Row],[Item quantity]]*Town_Team[[#This Row],[Selling price]]</f>
        <v>600</v>
      </c>
      <c r="J713" s="33">
        <f>IF(Town_Team[[#This Row],[Item name]]=" Jeans - Denim",Town_Team[[#This Row],[Item Amount]]*85%,Town_Team[[#This Row],[Item Amount]])</f>
        <v>600</v>
      </c>
      <c r="K713" s="39" t="str">
        <f>TEXT(Town_Team[[#This Row],[Date ]],"dddd")</f>
        <v>Wednesday</v>
      </c>
    </row>
    <row r="714" spans="2:11" hidden="1" x14ac:dyDescent="0.3">
      <c r="B714" s="20">
        <v>710</v>
      </c>
      <c r="C714" s="19">
        <v>44175</v>
      </c>
      <c r="D714" s="21" t="s">
        <v>9</v>
      </c>
      <c r="E714" s="21" t="s">
        <v>12</v>
      </c>
      <c r="F714" s="21" t="s">
        <v>11</v>
      </c>
      <c r="G714" s="22">
        <v>900</v>
      </c>
      <c r="H714" s="20">
        <v>1</v>
      </c>
      <c r="I714" s="32">
        <f>Town_Team[[#This Row],[Item quantity]]*Town_Team[[#This Row],[Selling price]]</f>
        <v>900</v>
      </c>
      <c r="J714" s="33">
        <f>IF(Town_Team[[#This Row],[Item name]]=" Jeans - Denim",Town_Team[[#This Row],[Item Amount]]*85%,Town_Team[[#This Row],[Item Amount]])</f>
        <v>765</v>
      </c>
      <c r="K714" s="39" t="str">
        <f>TEXT(Town_Team[[#This Row],[Date ]],"dddd")</f>
        <v>Thursday</v>
      </c>
    </row>
    <row r="715" spans="2:11" hidden="1" x14ac:dyDescent="0.3">
      <c r="B715" s="20">
        <v>711</v>
      </c>
      <c r="C715" s="19">
        <v>44176</v>
      </c>
      <c r="D715" s="21" t="s">
        <v>9</v>
      </c>
      <c r="E715" s="21" t="s">
        <v>18</v>
      </c>
      <c r="F715" s="21" t="s">
        <v>17</v>
      </c>
      <c r="G715" s="22">
        <v>600</v>
      </c>
      <c r="H715" s="20">
        <v>1</v>
      </c>
      <c r="I715" s="32">
        <f>Town_Team[[#This Row],[Item quantity]]*Town_Team[[#This Row],[Selling price]]</f>
        <v>600</v>
      </c>
      <c r="J715" s="33">
        <f>IF(Town_Team[[#This Row],[Item name]]=" Jeans - Denim",Town_Team[[#This Row],[Item Amount]]*85%,Town_Team[[#This Row],[Item Amount]])</f>
        <v>600</v>
      </c>
      <c r="K715" s="39" t="str">
        <f>TEXT(Town_Team[[#This Row],[Date ]],"dddd")</f>
        <v>Friday</v>
      </c>
    </row>
    <row r="716" spans="2:11" hidden="1" x14ac:dyDescent="0.3">
      <c r="B716" s="20">
        <v>712</v>
      </c>
      <c r="C716" s="19">
        <v>44177</v>
      </c>
      <c r="D716" s="21" t="s">
        <v>9</v>
      </c>
      <c r="E716" s="21" t="s">
        <v>18</v>
      </c>
      <c r="F716" s="21" t="s">
        <v>17</v>
      </c>
      <c r="G716" s="22">
        <v>600</v>
      </c>
      <c r="H716" s="20">
        <v>1</v>
      </c>
      <c r="I716" s="32">
        <f>Town_Team[[#This Row],[Item quantity]]*Town_Team[[#This Row],[Selling price]]</f>
        <v>600</v>
      </c>
      <c r="J716" s="33">
        <f>IF(Town_Team[[#This Row],[Item name]]=" Jeans - Denim",Town_Team[[#This Row],[Item Amount]]*85%,Town_Team[[#This Row],[Item Amount]])</f>
        <v>600</v>
      </c>
      <c r="K716" s="39" t="str">
        <f>TEXT(Town_Team[[#This Row],[Date ]],"dddd")</f>
        <v>Saturday</v>
      </c>
    </row>
    <row r="717" spans="2:11" x14ac:dyDescent="0.3">
      <c r="B717" s="20">
        <v>713</v>
      </c>
      <c r="C717" s="19">
        <v>44178</v>
      </c>
      <c r="D717" s="21" t="s">
        <v>13</v>
      </c>
      <c r="E717" s="21" t="s">
        <v>12</v>
      </c>
      <c r="F717" s="21" t="s">
        <v>11</v>
      </c>
      <c r="G717" s="22">
        <v>900</v>
      </c>
      <c r="H717" s="20">
        <v>3</v>
      </c>
      <c r="I717" s="32">
        <f>Town_Team[[#This Row],[Item quantity]]*Town_Team[[#This Row],[Selling price]]</f>
        <v>2700</v>
      </c>
      <c r="J717" s="33">
        <f>IF(Town_Team[[#This Row],[Item name]]=" Jeans - Denim",Town_Team[[#This Row],[Item Amount]]*85%,Town_Team[[#This Row],[Item Amount]])</f>
        <v>2295</v>
      </c>
      <c r="K717" s="39" t="str">
        <f>TEXT(Town_Team[[#This Row],[Date ]],"dddd")</f>
        <v>Sunday</v>
      </c>
    </row>
    <row r="718" spans="2:11" x14ac:dyDescent="0.3">
      <c r="B718" s="20">
        <v>714</v>
      </c>
      <c r="C718" s="19">
        <v>44179</v>
      </c>
      <c r="D718" s="21" t="s">
        <v>13</v>
      </c>
      <c r="E718" s="21" t="s">
        <v>18</v>
      </c>
      <c r="F718" s="21" t="s">
        <v>17</v>
      </c>
      <c r="G718" s="22">
        <v>600</v>
      </c>
      <c r="H718" s="20">
        <v>1</v>
      </c>
      <c r="I718" s="32">
        <f>Town_Team[[#This Row],[Item quantity]]*Town_Team[[#This Row],[Selling price]]</f>
        <v>600</v>
      </c>
      <c r="J718" s="33">
        <f>IF(Town_Team[[#This Row],[Item name]]=" Jeans - Denim",Town_Team[[#This Row],[Item Amount]]*85%,Town_Team[[#This Row],[Item Amount]])</f>
        <v>600</v>
      </c>
      <c r="K718" s="39" t="str">
        <f>TEXT(Town_Team[[#This Row],[Date ]],"dddd")</f>
        <v>Monday</v>
      </c>
    </row>
    <row r="719" spans="2:11" x14ac:dyDescent="0.3">
      <c r="B719" s="20">
        <v>715</v>
      </c>
      <c r="C719" s="19">
        <v>44180</v>
      </c>
      <c r="D719" s="21" t="s">
        <v>13</v>
      </c>
      <c r="E719" s="21" t="s">
        <v>16</v>
      </c>
      <c r="F719" s="21" t="s">
        <v>17</v>
      </c>
      <c r="G719" s="22">
        <v>800</v>
      </c>
      <c r="H719" s="20">
        <v>1</v>
      </c>
      <c r="I719" s="32">
        <f>Town_Team[[#This Row],[Item quantity]]*Town_Team[[#This Row],[Selling price]]</f>
        <v>800</v>
      </c>
      <c r="J719" s="33">
        <f>IF(Town_Team[[#This Row],[Item name]]=" Jeans - Denim",Town_Team[[#This Row],[Item Amount]]*85%,Town_Team[[#This Row],[Item Amount]])</f>
        <v>800</v>
      </c>
      <c r="K719" s="39" t="str">
        <f>TEXT(Town_Team[[#This Row],[Date ]],"dddd")</f>
        <v>Tuesday</v>
      </c>
    </row>
    <row r="720" spans="2:11" x14ac:dyDescent="0.3">
      <c r="B720" s="20">
        <v>716</v>
      </c>
      <c r="C720" s="19">
        <v>44181</v>
      </c>
      <c r="D720" s="21" t="s">
        <v>13</v>
      </c>
      <c r="E720" s="21" t="s">
        <v>18</v>
      </c>
      <c r="F720" s="21" t="s">
        <v>17</v>
      </c>
      <c r="G720" s="22">
        <v>600</v>
      </c>
      <c r="H720" s="20">
        <v>1</v>
      </c>
      <c r="I720" s="32">
        <f>Town_Team[[#This Row],[Item quantity]]*Town_Team[[#This Row],[Selling price]]</f>
        <v>600</v>
      </c>
      <c r="J720" s="33">
        <f>IF(Town_Team[[#This Row],[Item name]]=" Jeans - Denim",Town_Team[[#This Row],[Item Amount]]*85%,Town_Team[[#This Row],[Item Amount]])</f>
        <v>600</v>
      </c>
      <c r="K720" s="39" t="str">
        <f>TEXT(Town_Team[[#This Row],[Date ]],"dddd")</f>
        <v>Wednesday</v>
      </c>
    </row>
    <row r="721" spans="2:11" x14ac:dyDescent="0.3">
      <c r="B721" s="20">
        <v>717</v>
      </c>
      <c r="C721" s="19">
        <v>44182</v>
      </c>
      <c r="D721" s="21" t="s">
        <v>13</v>
      </c>
      <c r="E721" s="21" t="s">
        <v>10</v>
      </c>
      <c r="F721" s="21" t="s">
        <v>11</v>
      </c>
      <c r="G721" s="22">
        <v>1100</v>
      </c>
      <c r="H721" s="20">
        <v>1</v>
      </c>
      <c r="I721" s="32">
        <f>Town_Team[[#This Row],[Item quantity]]*Town_Team[[#This Row],[Selling price]]</f>
        <v>1100</v>
      </c>
      <c r="J721" s="33">
        <f>IF(Town_Team[[#This Row],[Item name]]=" Jeans - Denim",Town_Team[[#This Row],[Item Amount]]*85%,Town_Team[[#This Row],[Item Amount]])</f>
        <v>1100</v>
      </c>
      <c r="K721" s="39" t="str">
        <f>TEXT(Town_Team[[#This Row],[Date ]],"dddd")</f>
        <v>Thursday</v>
      </c>
    </row>
    <row r="722" spans="2:11" x14ac:dyDescent="0.3">
      <c r="B722" s="20">
        <v>718</v>
      </c>
      <c r="C722" s="19">
        <v>44183</v>
      </c>
      <c r="D722" s="21" t="s">
        <v>13</v>
      </c>
      <c r="E722" s="21" t="s">
        <v>14</v>
      </c>
      <c r="F722" s="21" t="s">
        <v>11</v>
      </c>
      <c r="G722" s="22">
        <v>900</v>
      </c>
      <c r="H722" s="20">
        <v>1</v>
      </c>
      <c r="I722" s="32">
        <f>Town_Team[[#This Row],[Item quantity]]*Town_Team[[#This Row],[Selling price]]</f>
        <v>900</v>
      </c>
      <c r="J722" s="33">
        <f>IF(Town_Team[[#This Row],[Item name]]=" Jeans - Denim",Town_Team[[#This Row],[Item Amount]]*85%,Town_Team[[#This Row],[Item Amount]])</f>
        <v>900</v>
      </c>
      <c r="K722" s="39" t="str">
        <f>TEXT(Town_Team[[#This Row],[Date ]],"dddd")</f>
        <v>Friday</v>
      </c>
    </row>
    <row r="723" spans="2:11" x14ac:dyDescent="0.3">
      <c r="B723" s="20">
        <v>719</v>
      </c>
      <c r="C723" s="19">
        <v>44184</v>
      </c>
      <c r="D723" s="21" t="s">
        <v>13</v>
      </c>
      <c r="E723" s="21" t="s">
        <v>10</v>
      </c>
      <c r="F723" s="21" t="s">
        <v>11</v>
      </c>
      <c r="G723" s="22">
        <v>1100</v>
      </c>
      <c r="H723" s="20">
        <v>1</v>
      </c>
      <c r="I723" s="32">
        <f>Town_Team[[#This Row],[Item quantity]]*Town_Team[[#This Row],[Selling price]]</f>
        <v>1100</v>
      </c>
      <c r="J723" s="33">
        <f>IF(Town_Team[[#This Row],[Item name]]=" Jeans - Denim",Town_Team[[#This Row],[Item Amount]]*85%,Town_Team[[#This Row],[Item Amount]])</f>
        <v>1100</v>
      </c>
      <c r="K723" s="39" t="str">
        <f>TEXT(Town_Team[[#This Row],[Date ]],"dddd")</f>
        <v>Saturday</v>
      </c>
    </row>
    <row r="724" spans="2:11" x14ac:dyDescent="0.3">
      <c r="B724" s="20">
        <v>720</v>
      </c>
      <c r="C724" s="19">
        <v>44185</v>
      </c>
      <c r="D724" s="21" t="s">
        <v>13</v>
      </c>
      <c r="E724" s="21" t="s">
        <v>10</v>
      </c>
      <c r="F724" s="21" t="s">
        <v>11</v>
      </c>
      <c r="G724" s="22">
        <v>1100</v>
      </c>
      <c r="H724" s="20">
        <v>1</v>
      </c>
      <c r="I724" s="32">
        <f>Town_Team[[#This Row],[Item quantity]]*Town_Team[[#This Row],[Selling price]]</f>
        <v>1100</v>
      </c>
      <c r="J724" s="33">
        <f>IF(Town_Team[[#This Row],[Item name]]=" Jeans - Denim",Town_Team[[#This Row],[Item Amount]]*85%,Town_Team[[#This Row],[Item Amount]])</f>
        <v>1100</v>
      </c>
      <c r="K724" s="39" t="str">
        <f>TEXT(Town_Team[[#This Row],[Date ]],"dddd")</f>
        <v>Sunday</v>
      </c>
    </row>
    <row r="725" spans="2:11" x14ac:dyDescent="0.3">
      <c r="B725" s="20">
        <v>721</v>
      </c>
      <c r="C725" s="19">
        <v>44186</v>
      </c>
      <c r="D725" s="21" t="s">
        <v>13</v>
      </c>
      <c r="E725" s="21" t="s">
        <v>10</v>
      </c>
      <c r="F725" s="21" t="s">
        <v>11</v>
      </c>
      <c r="G725" s="22">
        <v>1100</v>
      </c>
      <c r="H725" s="20">
        <v>1</v>
      </c>
      <c r="I725" s="32">
        <f>Town_Team[[#This Row],[Item quantity]]*Town_Team[[#This Row],[Selling price]]</f>
        <v>1100</v>
      </c>
      <c r="J725" s="33">
        <f>IF(Town_Team[[#This Row],[Item name]]=" Jeans - Denim",Town_Team[[#This Row],[Item Amount]]*85%,Town_Team[[#This Row],[Item Amount]])</f>
        <v>1100</v>
      </c>
      <c r="K725" s="39" t="str">
        <f>TEXT(Town_Team[[#This Row],[Date ]],"dddd")</f>
        <v>Monday</v>
      </c>
    </row>
    <row r="726" spans="2:11" hidden="1" x14ac:dyDescent="0.3">
      <c r="B726" s="20">
        <v>722</v>
      </c>
      <c r="C726" s="19">
        <v>44187</v>
      </c>
      <c r="D726" s="21" t="s">
        <v>9</v>
      </c>
      <c r="E726" s="21" t="s">
        <v>15</v>
      </c>
      <c r="F726" s="21" t="s">
        <v>11</v>
      </c>
      <c r="G726" s="22">
        <v>1000</v>
      </c>
      <c r="H726" s="20">
        <v>1</v>
      </c>
      <c r="I726" s="32">
        <f>Town_Team[[#This Row],[Item quantity]]*Town_Team[[#This Row],[Selling price]]</f>
        <v>1000</v>
      </c>
      <c r="J726" s="33">
        <f>IF(Town_Team[[#This Row],[Item name]]=" Jeans - Denim",Town_Team[[#This Row],[Item Amount]]*85%,Town_Team[[#This Row],[Item Amount]])</f>
        <v>1000</v>
      </c>
      <c r="K726" s="39" t="str">
        <f>TEXT(Town_Team[[#This Row],[Date ]],"dddd")</f>
        <v>Tuesday</v>
      </c>
    </row>
    <row r="727" spans="2:11" hidden="1" x14ac:dyDescent="0.3">
      <c r="B727" s="20">
        <v>723</v>
      </c>
      <c r="C727" s="19">
        <v>44188</v>
      </c>
      <c r="D727" s="21" t="s">
        <v>9</v>
      </c>
      <c r="E727" s="21" t="s">
        <v>18</v>
      </c>
      <c r="F727" s="21" t="s">
        <v>17</v>
      </c>
      <c r="G727" s="22">
        <v>600</v>
      </c>
      <c r="H727" s="20">
        <v>1</v>
      </c>
      <c r="I727" s="32">
        <f>Town_Team[[#This Row],[Item quantity]]*Town_Team[[#This Row],[Selling price]]</f>
        <v>600</v>
      </c>
      <c r="J727" s="33">
        <f>IF(Town_Team[[#This Row],[Item name]]=" Jeans - Denim",Town_Team[[#This Row],[Item Amount]]*85%,Town_Team[[#This Row],[Item Amount]])</f>
        <v>600</v>
      </c>
      <c r="K727" s="39" t="str">
        <f>TEXT(Town_Team[[#This Row],[Date ]],"dddd")</f>
        <v>Wednesday</v>
      </c>
    </row>
    <row r="728" spans="2:11" hidden="1" x14ac:dyDescent="0.3">
      <c r="B728" s="20">
        <v>724</v>
      </c>
      <c r="C728" s="19">
        <v>44189</v>
      </c>
      <c r="D728" s="21" t="s">
        <v>9</v>
      </c>
      <c r="E728" s="21" t="s">
        <v>16</v>
      </c>
      <c r="F728" s="21" t="s">
        <v>17</v>
      </c>
      <c r="G728" s="22">
        <v>800</v>
      </c>
      <c r="H728" s="20">
        <v>1</v>
      </c>
      <c r="I728" s="32">
        <f>Town_Team[[#This Row],[Item quantity]]*Town_Team[[#This Row],[Selling price]]</f>
        <v>800</v>
      </c>
      <c r="J728" s="33">
        <f>IF(Town_Team[[#This Row],[Item name]]=" Jeans - Denim",Town_Team[[#This Row],[Item Amount]]*85%,Town_Team[[#This Row],[Item Amount]])</f>
        <v>800</v>
      </c>
      <c r="K728" s="39" t="str">
        <f>TEXT(Town_Team[[#This Row],[Date ]],"dddd")</f>
        <v>Thursday</v>
      </c>
    </row>
    <row r="729" spans="2:11" hidden="1" x14ac:dyDescent="0.3">
      <c r="B729" s="20">
        <v>725</v>
      </c>
      <c r="C729" s="19">
        <v>44190</v>
      </c>
      <c r="D729" s="21" t="s">
        <v>9</v>
      </c>
      <c r="E729" s="21" t="s">
        <v>10</v>
      </c>
      <c r="F729" s="21" t="s">
        <v>11</v>
      </c>
      <c r="G729" s="22">
        <v>1100</v>
      </c>
      <c r="H729" s="20">
        <v>1</v>
      </c>
      <c r="I729" s="32">
        <f>Town_Team[[#This Row],[Item quantity]]*Town_Team[[#This Row],[Selling price]]</f>
        <v>1100</v>
      </c>
      <c r="J729" s="33">
        <f>IF(Town_Team[[#This Row],[Item name]]=" Jeans - Denim",Town_Team[[#This Row],[Item Amount]]*85%,Town_Team[[#This Row],[Item Amount]])</f>
        <v>1100</v>
      </c>
      <c r="K729" s="39" t="str">
        <f>TEXT(Town_Team[[#This Row],[Date ]],"dddd")</f>
        <v>Friday</v>
      </c>
    </row>
    <row r="730" spans="2:11" hidden="1" x14ac:dyDescent="0.3">
      <c r="B730" s="20">
        <v>726</v>
      </c>
      <c r="C730" s="19">
        <v>44191</v>
      </c>
      <c r="D730" s="21" t="s">
        <v>9</v>
      </c>
      <c r="E730" s="21" t="s">
        <v>18</v>
      </c>
      <c r="F730" s="21" t="s">
        <v>17</v>
      </c>
      <c r="G730" s="22">
        <v>600</v>
      </c>
      <c r="H730" s="20">
        <v>1</v>
      </c>
      <c r="I730" s="32">
        <f>Town_Team[[#This Row],[Item quantity]]*Town_Team[[#This Row],[Selling price]]</f>
        <v>600</v>
      </c>
      <c r="J730" s="33">
        <f>IF(Town_Team[[#This Row],[Item name]]=" Jeans - Denim",Town_Team[[#This Row],[Item Amount]]*85%,Town_Team[[#This Row],[Item Amount]])</f>
        <v>600</v>
      </c>
      <c r="K730" s="39" t="str">
        <f>TEXT(Town_Team[[#This Row],[Date ]],"dddd")</f>
        <v>Saturday</v>
      </c>
    </row>
    <row r="731" spans="2:11" hidden="1" x14ac:dyDescent="0.3">
      <c r="B731" s="20">
        <v>727</v>
      </c>
      <c r="C731" s="19">
        <v>44192</v>
      </c>
      <c r="D731" s="21" t="s">
        <v>9</v>
      </c>
      <c r="E731" s="21" t="s">
        <v>19</v>
      </c>
      <c r="F731" s="21" t="s">
        <v>20</v>
      </c>
      <c r="G731" s="22">
        <v>850</v>
      </c>
      <c r="H731" s="20">
        <v>1</v>
      </c>
      <c r="I731" s="32">
        <f>Town_Team[[#This Row],[Item quantity]]*Town_Team[[#This Row],[Selling price]]</f>
        <v>850</v>
      </c>
      <c r="J731" s="33">
        <f>IF(Town_Team[[#This Row],[Item name]]=" Jeans - Denim",Town_Team[[#This Row],[Item Amount]]*85%,Town_Team[[#This Row],[Item Amount]])</f>
        <v>850</v>
      </c>
      <c r="K731" s="39" t="str">
        <f>TEXT(Town_Team[[#This Row],[Date ]],"dddd")</f>
        <v>Sunday</v>
      </c>
    </row>
    <row r="732" spans="2:11" hidden="1" x14ac:dyDescent="0.3">
      <c r="B732" s="20">
        <v>728</v>
      </c>
      <c r="C732" s="19">
        <v>44193</v>
      </c>
      <c r="D732" s="21" t="s">
        <v>9</v>
      </c>
      <c r="E732" s="21" t="s">
        <v>14</v>
      </c>
      <c r="F732" s="21" t="s">
        <v>11</v>
      </c>
      <c r="G732" s="22">
        <v>900</v>
      </c>
      <c r="H732" s="20">
        <v>1</v>
      </c>
      <c r="I732" s="32">
        <f>Town_Team[[#This Row],[Item quantity]]*Town_Team[[#This Row],[Selling price]]</f>
        <v>900</v>
      </c>
      <c r="J732" s="33">
        <f>IF(Town_Team[[#This Row],[Item name]]=" Jeans - Denim",Town_Team[[#This Row],[Item Amount]]*85%,Town_Team[[#This Row],[Item Amount]])</f>
        <v>900</v>
      </c>
      <c r="K732" s="39" t="str">
        <f>TEXT(Town_Team[[#This Row],[Date ]],"dddd")</f>
        <v>Monday</v>
      </c>
    </row>
    <row r="733" spans="2:11" hidden="1" x14ac:dyDescent="0.3">
      <c r="B733" s="20">
        <v>729</v>
      </c>
      <c r="C733" s="19">
        <v>44194</v>
      </c>
      <c r="D733" s="21" t="s">
        <v>9</v>
      </c>
      <c r="E733" s="21" t="s">
        <v>15</v>
      </c>
      <c r="F733" s="21" t="s">
        <v>11</v>
      </c>
      <c r="G733" s="22">
        <v>1000</v>
      </c>
      <c r="H733" s="20">
        <v>1</v>
      </c>
      <c r="I733" s="32">
        <f>Town_Team[[#This Row],[Item quantity]]*Town_Team[[#This Row],[Selling price]]</f>
        <v>1000</v>
      </c>
      <c r="J733" s="33">
        <f>IF(Town_Team[[#This Row],[Item name]]=" Jeans - Denim",Town_Team[[#This Row],[Item Amount]]*85%,Town_Team[[#This Row],[Item Amount]])</f>
        <v>1000</v>
      </c>
      <c r="K733" s="39" t="str">
        <f>TEXT(Town_Team[[#This Row],[Date ]],"dddd")</f>
        <v>Tuesday</v>
      </c>
    </row>
    <row r="734" spans="2:11" hidden="1" x14ac:dyDescent="0.3">
      <c r="B734" s="20">
        <v>730</v>
      </c>
      <c r="C734" s="19">
        <v>44195</v>
      </c>
      <c r="D734" s="21" t="s">
        <v>9</v>
      </c>
      <c r="E734" s="21" t="s">
        <v>19</v>
      </c>
      <c r="F734" s="21" t="s">
        <v>20</v>
      </c>
      <c r="G734" s="22">
        <v>850</v>
      </c>
      <c r="H734" s="20">
        <v>1</v>
      </c>
      <c r="I734" s="32">
        <f>Town_Team[[#This Row],[Item quantity]]*Town_Team[[#This Row],[Selling price]]</f>
        <v>850</v>
      </c>
      <c r="J734" s="33">
        <f>IF(Town_Team[[#This Row],[Item name]]=" Jeans - Denim",Town_Team[[#This Row],[Item Amount]]*85%,Town_Team[[#This Row],[Item Amount]])</f>
        <v>850</v>
      </c>
      <c r="K734" s="39" t="str">
        <f>TEXT(Town_Team[[#This Row],[Date ]],"dddd")</f>
        <v>Wednesday</v>
      </c>
    </row>
    <row r="735" spans="2:11" hidden="1" x14ac:dyDescent="0.3">
      <c r="B735" s="20">
        <v>731</v>
      </c>
      <c r="C735" s="19">
        <v>44196</v>
      </c>
      <c r="D735" s="21" t="s">
        <v>9</v>
      </c>
      <c r="E735" s="21" t="s">
        <v>19</v>
      </c>
      <c r="F735" s="21" t="s">
        <v>20</v>
      </c>
      <c r="G735" s="22">
        <v>850</v>
      </c>
      <c r="H735" s="20">
        <v>1</v>
      </c>
      <c r="I735" s="32">
        <f>Town_Team[[#This Row],[Item quantity]]*Town_Team[[#This Row],[Selling price]]</f>
        <v>850</v>
      </c>
      <c r="J735" s="33">
        <f>IF(Town_Team[[#This Row],[Item name]]=" Jeans - Denim",Town_Team[[#This Row],[Item Amount]]*85%,Town_Team[[#This Row],[Item Amount]])</f>
        <v>850</v>
      </c>
      <c r="K735" s="39" t="str">
        <f>TEXT(Town_Team[[#This Row],[Date ]],"dddd")</f>
        <v>Thursday</v>
      </c>
    </row>
    <row r="736" spans="2:11" hidden="1" x14ac:dyDescent="0.3">
      <c r="B736" s="20">
        <v>732</v>
      </c>
      <c r="C736" s="19">
        <v>44197</v>
      </c>
      <c r="D736" s="21" t="s">
        <v>9</v>
      </c>
      <c r="E736" s="21" t="s">
        <v>15</v>
      </c>
      <c r="F736" s="21" t="s">
        <v>11</v>
      </c>
      <c r="G736" s="22">
        <v>1000</v>
      </c>
      <c r="H736" s="20">
        <v>1</v>
      </c>
      <c r="I736" s="32">
        <f>Town_Team[[#This Row],[Item quantity]]*Town_Team[[#This Row],[Selling price]]</f>
        <v>1000</v>
      </c>
      <c r="J736" s="33">
        <f>IF(Town_Team[[#This Row],[Item name]]=" Jeans - Denim",Town_Team[[#This Row],[Item Amount]]*85%,Town_Team[[#This Row],[Item Amount]])</f>
        <v>1000</v>
      </c>
      <c r="K736" s="39" t="str">
        <f>TEXT(Town_Team[[#This Row],[Date ]],"dddd")</f>
        <v>Friday</v>
      </c>
    </row>
    <row r="737" spans="2:11" hidden="1" x14ac:dyDescent="0.3">
      <c r="B737" s="20">
        <v>733</v>
      </c>
      <c r="C737" s="19">
        <v>44198</v>
      </c>
      <c r="D737" s="21" t="s">
        <v>9</v>
      </c>
      <c r="E737" s="21" t="s">
        <v>16</v>
      </c>
      <c r="F737" s="21" t="s">
        <v>17</v>
      </c>
      <c r="G737" s="22">
        <v>800</v>
      </c>
      <c r="H737" s="20">
        <v>1</v>
      </c>
      <c r="I737" s="32">
        <f>Town_Team[[#This Row],[Item quantity]]*Town_Team[[#This Row],[Selling price]]</f>
        <v>800</v>
      </c>
      <c r="J737" s="33">
        <f>IF(Town_Team[[#This Row],[Item name]]=" Jeans - Denim",Town_Team[[#This Row],[Item Amount]]*85%,Town_Team[[#This Row],[Item Amount]])</f>
        <v>800</v>
      </c>
      <c r="K737" s="39" t="str">
        <f>TEXT(Town_Team[[#This Row],[Date ]],"dddd")</f>
        <v>Saturday</v>
      </c>
    </row>
    <row r="738" spans="2:11" hidden="1" x14ac:dyDescent="0.3">
      <c r="B738" s="20">
        <v>734</v>
      </c>
      <c r="C738" s="19">
        <v>44199</v>
      </c>
      <c r="D738" s="21" t="s">
        <v>9</v>
      </c>
      <c r="E738" s="21" t="s">
        <v>18</v>
      </c>
      <c r="F738" s="21" t="s">
        <v>17</v>
      </c>
      <c r="G738" s="22">
        <v>600</v>
      </c>
      <c r="H738" s="20">
        <v>1</v>
      </c>
      <c r="I738" s="32">
        <f>Town_Team[[#This Row],[Item quantity]]*Town_Team[[#This Row],[Selling price]]</f>
        <v>600</v>
      </c>
      <c r="J738" s="33">
        <f>IF(Town_Team[[#This Row],[Item name]]=" Jeans - Denim",Town_Team[[#This Row],[Item Amount]]*85%,Town_Team[[#This Row],[Item Amount]])</f>
        <v>600</v>
      </c>
      <c r="K738" s="39" t="str">
        <f>TEXT(Town_Team[[#This Row],[Date ]],"dddd")</f>
        <v>Sunday</v>
      </c>
    </row>
    <row r="739" spans="2:11" hidden="1" x14ac:dyDescent="0.3">
      <c r="B739" s="20">
        <v>735</v>
      </c>
      <c r="C739" s="19">
        <v>44200</v>
      </c>
      <c r="D739" s="21" t="s">
        <v>9</v>
      </c>
      <c r="E739" s="21" t="s">
        <v>16</v>
      </c>
      <c r="F739" s="21" t="s">
        <v>17</v>
      </c>
      <c r="G739" s="22">
        <v>800</v>
      </c>
      <c r="H739" s="20">
        <v>1</v>
      </c>
      <c r="I739" s="32">
        <f>Town_Team[[#This Row],[Item quantity]]*Town_Team[[#This Row],[Selling price]]</f>
        <v>800</v>
      </c>
      <c r="J739" s="33">
        <f>IF(Town_Team[[#This Row],[Item name]]=" Jeans - Denim",Town_Team[[#This Row],[Item Amount]]*85%,Town_Team[[#This Row],[Item Amount]])</f>
        <v>800</v>
      </c>
      <c r="K739" s="39" t="str">
        <f>TEXT(Town_Team[[#This Row],[Date ]],"dddd")</f>
        <v>Monday</v>
      </c>
    </row>
    <row r="740" spans="2:11" hidden="1" x14ac:dyDescent="0.3">
      <c r="B740" s="20">
        <v>736</v>
      </c>
      <c r="C740" s="19">
        <v>44201</v>
      </c>
      <c r="D740" s="21" t="s">
        <v>9</v>
      </c>
      <c r="E740" s="21" t="s">
        <v>10</v>
      </c>
      <c r="F740" s="21" t="s">
        <v>11</v>
      </c>
      <c r="G740" s="22">
        <v>1100</v>
      </c>
      <c r="H740" s="20">
        <v>1</v>
      </c>
      <c r="I740" s="32">
        <f>Town_Team[[#This Row],[Item quantity]]*Town_Team[[#This Row],[Selling price]]</f>
        <v>1100</v>
      </c>
      <c r="J740" s="33">
        <f>IF(Town_Team[[#This Row],[Item name]]=" Jeans - Denim",Town_Team[[#This Row],[Item Amount]]*85%,Town_Team[[#This Row],[Item Amount]])</f>
        <v>1100</v>
      </c>
      <c r="K740" s="39" t="str">
        <f>TEXT(Town_Team[[#This Row],[Date ]],"dddd")</f>
        <v>Tuesday</v>
      </c>
    </row>
    <row r="741" spans="2:11" hidden="1" x14ac:dyDescent="0.3">
      <c r="B741" s="20">
        <v>737</v>
      </c>
      <c r="C741" s="19">
        <v>44202</v>
      </c>
      <c r="D741" s="21" t="s">
        <v>9</v>
      </c>
      <c r="E741" s="21" t="s">
        <v>19</v>
      </c>
      <c r="F741" s="21" t="s">
        <v>20</v>
      </c>
      <c r="G741" s="22">
        <v>850</v>
      </c>
      <c r="H741" s="20">
        <v>1</v>
      </c>
      <c r="I741" s="32">
        <f>Town_Team[[#This Row],[Item quantity]]*Town_Team[[#This Row],[Selling price]]</f>
        <v>850</v>
      </c>
      <c r="J741" s="33">
        <f>IF(Town_Team[[#This Row],[Item name]]=" Jeans - Denim",Town_Team[[#This Row],[Item Amount]]*85%,Town_Team[[#This Row],[Item Amount]])</f>
        <v>850</v>
      </c>
      <c r="K741" s="39" t="str">
        <f>TEXT(Town_Team[[#This Row],[Date ]],"dddd")</f>
        <v>Wednesday</v>
      </c>
    </row>
    <row r="742" spans="2:11" hidden="1" x14ac:dyDescent="0.3">
      <c r="B742" s="20">
        <v>738</v>
      </c>
      <c r="C742" s="19">
        <v>44203</v>
      </c>
      <c r="D742" s="21" t="s">
        <v>9</v>
      </c>
      <c r="E742" s="21" t="s">
        <v>19</v>
      </c>
      <c r="F742" s="21" t="s">
        <v>20</v>
      </c>
      <c r="G742" s="22">
        <v>850</v>
      </c>
      <c r="H742" s="20">
        <v>1</v>
      </c>
      <c r="I742" s="32">
        <f>Town_Team[[#This Row],[Item quantity]]*Town_Team[[#This Row],[Selling price]]</f>
        <v>850</v>
      </c>
      <c r="J742" s="33">
        <f>IF(Town_Team[[#This Row],[Item name]]=" Jeans - Denim",Town_Team[[#This Row],[Item Amount]]*85%,Town_Team[[#This Row],[Item Amount]])</f>
        <v>850</v>
      </c>
      <c r="K742" s="39" t="str">
        <f>TEXT(Town_Team[[#This Row],[Date ]],"dddd")</f>
        <v>Thursday</v>
      </c>
    </row>
    <row r="743" spans="2:11" hidden="1" x14ac:dyDescent="0.3">
      <c r="B743" s="20">
        <v>739</v>
      </c>
      <c r="C743" s="19">
        <v>44204</v>
      </c>
      <c r="D743" s="21" t="s">
        <v>9</v>
      </c>
      <c r="E743" s="21" t="s">
        <v>19</v>
      </c>
      <c r="F743" s="21" t="s">
        <v>20</v>
      </c>
      <c r="G743" s="22">
        <v>850</v>
      </c>
      <c r="H743" s="20">
        <v>1</v>
      </c>
      <c r="I743" s="32">
        <f>Town_Team[[#This Row],[Item quantity]]*Town_Team[[#This Row],[Selling price]]</f>
        <v>850</v>
      </c>
      <c r="J743" s="33">
        <f>IF(Town_Team[[#This Row],[Item name]]=" Jeans - Denim",Town_Team[[#This Row],[Item Amount]]*85%,Town_Team[[#This Row],[Item Amount]])</f>
        <v>850</v>
      </c>
      <c r="K743" s="39" t="str">
        <f>TEXT(Town_Team[[#This Row],[Date ]],"dddd")</f>
        <v>Friday</v>
      </c>
    </row>
    <row r="744" spans="2:11" hidden="1" x14ac:dyDescent="0.3">
      <c r="B744" s="20">
        <v>740</v>
      </c>
      <c r="C744" s="19">
        <v>44205</v>
      </c>
      <c r="D744" s="21" t="s">
        <v>9</v>
      </c>
      <c r="E744" s="21" t="s">
        <v>18</v>
      </c>
      <c r="F744" s="21" t="s">
        <v>17</v>
      </c>
      <c r="G744" s="22">
        <v>600</v>
      </c>
      <c r="H744" s="20">
        <v>1</v>
      </c>
      <c r="I744" s="32">
        <f>Town_Team[[#This Row],[Item quantity]]*Town_Team[[#This Row],[Selling price]]</f>
        <v>600</v>
      </c>
      <c r="J744" s="33">
        <f>IF(Town_Team[[#This Row],[Item name]]=" Jeans - Denim",Town_Team[[#This Row],[Item Amount]]*85%,Town_Team[[#This Row],[Item Amount]])</f>
        <v>600</v>
      </c>
      <c r="K744" s="39" t="str">
        <f>TEXT(Town_Team[[#This Row],[Date ]],"dddd")</f>
        <v>Saturday</v>
      </c>
    </row>
    <row r="745" spans="2:11" hidden="1" x14ac:dyDescent="0.3">
      <c r="B745" s="20">
        <v>741</v>
      </c>
      <c r="C745" s="19">
        <v>44206</v>
      </c>
      <c r="D745" s="21" t="s">
        <v>9</v>
      </c>
      <c r="E745" s="21" t="s">
        <v>19</v>
      </c>
      <c r="F745" s="21" t="s">
        <v>20</v>
      </c>
      <c r="G745" s="22">
        <v>850</v>
      </c>
      <c r="H745" s="20">
        <v>1</v>
      </c>
      <c r="I745" s="32">
        <f>Town_Team[[#This Row],[Item quantity]]*Town_Team[[#This Row],[Selling price]]</f>
        <v>850</v>
      </c>
      <c r="J745" s="33">
        <f>IF(Town_Team[[#This Row],[Item name]]=" Jeans - Denim",Town_Team[[#This Row],[Item Amount]]*85%,Town_Team[[#This Row],[Item Amount]])</f>
        <v>850</v>
      </c>
      <c r="K745" s="39" t="str">
        <f>TEXT(Town_Team[[#This Row],[Date ]],"dddd")</f>
        <v>Sunday</v>
      </c>
    </row>
    <row r="746" spans="2:11" hidden="1" x14ac:dyDescent="0.3">
      <c r="B746" s="20">
        <v>742</v>
      </c>
      <c r="C746" s="19">
        <v>44207</v>
      </c>
      <c r="D746" s="21" t="s">
        <v>9</v>
      </c>
      <c r="E746" s="21" t="s">
        <v>19</v>
      </c>
      <c r="F746" s="21" t="s">
        <v>20</v>
      </c>
      <c r="G746" s="22">
        <v>850</v>
      </c>
      <c r="H746" s="20">
        <v>1</v>
      </c>
      <c r="I746" s="32">
        <f>Town_Team[[#This Row],[Item quantity]]*Town_Team[[#This Row],[Selling price]]</f>
        <v>850</v>
      </c>
      <c r="J746" s="33">
        <f>IF(Town_Team[[#This Row],[Item name]]=" Jeans - Denim",Town_Team[[#This Row],[Item Amount]]*85%,Town_Team[[#This Row],[Item Amount]])</f>
        <v>850</v>
      </c>
      <c r="K746" s="39" t="str">
        <f>TEXT(Town_Team[[#This Row],[Date ]],"dddd")</f>
        <v>Monday</v>
      </c>
    </row>
    <row r="747" spans="2:11" hidden="1" x14ac:dyDescent="0.3">
      <c r="B747" s="20">
        <v>743</v>
      </c>
      <c r="C747" s="19">
        <v>44208</v>
      </c>
      <c r="D747" s="21" t="s">
        <v>9</v>
      </c>
      <c r="E747" s="21" t="s">
        <v>10</v>
      </c>
      <c r="F747" s="21" t="s">
        <v>11</v>
      </c>
      <c r="G747" s="22">
        <v>1100</v>
      </c>
      <c r="H747" s="20">
        <v>1</v>
      </c>
      <c r="I747" s="32">
        <f>Town_Team[[#This Row],[Item quantity]]*Town_Team[[#This Row],[Selling price]]</f>
        <v>1100</v>
      </c>
      <c r="J747" s="33">
        <f>IF(Town_Team[[#This Row],[Item name]]=" Jeans - Denim",Town_Team[[#This Row],[Item Amount]]*85%,Town_Team[[#This Row],[Item Amount]])</f>
        <v>1100</v>
      </c>
      <c r="K747" s="39" t="str">
        <f>TEXT(Town_Team[[#This Row],[Date ]],"dddd")</f>
        <v>Tuesday</v>
      </c>
    </row>
    <row r="748" spans="2:11" hidden="1" x14ac:dyDescent="0.3">
      <c r="B748" s="20">
        <v>744</v>
      </c>
      <c r="C748" s="19">
        <v>44209</v>
      </c>
      <c r="D748" s="21" t="s">
        <v>9</v>
      </c>
      <c r="E748" s="21" t="s">
        <v>15</v>
      </c>
      <c r="F748" s="21" t="s">
        <v>11</v>
      </c>
      <c r="G748" s="22">
        <v>1000</v>
      </c>
      <c r="H748" s="20">
        <v>1</v>
      </c>
      <c r="I748" s="32">
        <f>Town_Team[[#This Row],[Item quantity]]*Town_Team[[#This Row],[Selling price]]</f>
        <v>1000</v>
      </c>
      <c r="J748" s="33">
        <f>IF(Town_Team[[#This Row],[Item name]]=" Jeans - Denim",Town_Team[[#This Row],[Item Amount]]*85%,Town_Team[[#This Row],[Item Amount]])</f>
        <v>1000</v>
      </c>
      <c r="K748" s="39" t="str">
        <f>TEXT(Town_Team[[#This Row],[Date ]],"dddd")</f>
        <v>Wednesday</v>
      </c>
    </row>
    <row r="749" spans="2:11" hidden="1" x14ac:dyDescent="0.3">
      <c r="B749" s="20">
        <v>745</v>
      </c>
      <c r="C749" s="19">
        <v>44210</v>
      </c>
      <c r="D749" s="21" t="s">
        <v>9</v>
      </c>
      <c r="E749" s="21" t="s">
        <v>10</v>
      </c>
      <c r="F749" s="21" t="s">
        <v>11</v>
      </c>
      <c r="G749" s="22">
        <v>1100</v>
      </c>
      <c r="H749" s="20">
        <v>1</v>
      </c>
      <c r="I749" s="32">
        <f>Town_Team[[#This Row],[Item quantity]]*Town_Team[[#This Row],[Selling price]]</f>
        <v>1100</v>
      </c>
      <c r="J749" s="33">
        <f>IF(Town_Team[[#This Row],[Item name]]=" Jeans - Denim",Town_Team[[#This Row],[Item Amount]]*85%,Town_Team[[#This Row],[Item Amount]])</f>
        <v>1100</v>
      </c>
      <c r="K749" s="39" t="str">
        <f>TEXT(Town_Team[[#This Row],[Date ]],"dddd")</f>
        <v>Thursday</v>
      </c>
    </row>
    <row r="750" spans="2:11" hidden="1" x14ac:dyDescent="0.3">
      <c r="B750" s="20">
        <v>746</v>
      </c>
      <c r="C750" s="19">
        <v>44211</v>
      </c>
      <c r="D750" s="21" t="s">
        <v>9</v>
      </c>
      <c r="E750" s="21" t="s">
        <v>18</v>
      </c>
      <c r="F750" s="21" t="s">
        <v>17</v>
      </c>
      <c r="G750" s="22">
        <v>600</v>
      </c>
      <c r="H750" s="20">
        <v>1</v>
      </c>
      <c r="I750" s="32">
        <f>Town_Team[[#This Row],[Item quantity]]*Town_Team[[#This Row],[Selling price]]</f>
        <v>600</v>
      </c>
      <c r="J750" s="33">
        <f>IF(Town_Team[[#This Row],[Item name]]=" Jeans - Denim",Town_Team[[#This Row],[Item Amount]]*85%,Town_Team[[#This Row],[Item Amount]])</f>
        <v>600</v>
      </c>
      <c r="K750" s="39" t="str">
        <f>TEXT(Town_Team[[#This Row],[Date ]],"dddd")</f>
        <v>Friday</v>
      </c>
    </row>
    <row r="751" spans="2:11" hidden="1" x14ac:dyDescent="0.3">
      <c r="B751" s="20">
        <v>747</v>
      </c>
      <c r="C751" s="19">
        <v>44212</v>
      </c>
      <c r="D751" s="21" t="s">
        <v>9</v>
      </c>
      <c r="E751" s="21" t="s">
        <v>18</v>
      </c>
      <c r="F751" s="21" t="s">
        <v>17</v>
      </c>
      <c r="G751" s="22">
        <v>600</v>
      </c>
      <c r="H751" s="20">
        <v>2</v>
      </c>
      <c r="I751" s="32">
        <f>Town_Team[[#This Row],[Item quantity]]*Town_Team[[#This Row],[Selling price]]</f>
        <v>1200</v>
      </c>
      <c r="J751" s="33">
        <f>IF(Town_Team[[#This Row],[Item name]]=" Jeans - Denim",Town_Team[[#This Row],[Item Amount]]*85%,Town_Team[[#This Row],[Item Amount]])</f>
        <v>1200</v>
      </c>
      <c r="K751" s="39" t="str">
        <f>TEXT(Town_Team[[#This Row],[Date ]],"dddd")</f>
        <v>Saturday</v>
      </c>
    </row>
    <row r="752" spans="2:11" hidden="1" x14ac:dyDescent="0.3">
      <c r="B752" s="20">
        <v>748</v>
      </c>
      <c r="C752" s="19">
        <v>44213</v>
      </c>
      <c r="D752" s="21" t="s">
        <v>9</v>
      </c>
      <c r="E752" s="21" t="s">
        <v>18</v>
      </c>
      <c r="F752" s="21" t="s">
        <v>17</v>
      </c>
      <c r="G752" s="22">
        <v>600</v>
      </c>
      <c r="H752" s="20">
        <v>1</v>
      </c>
      <c r="I752" s="32">
        <f>Town_Team[[#This Row],[Item quantity]]*Town_Team[[#This Row],[Selling price]]</f>
        <v>600</v>
      </c>
      <c r="J752" s="33">
        <f>IF(Town_Team[[#This Row],[Item name]]=" Jeans - Denim",Town_Team[[#This Row],[Item Amount]]*85%,Town_Team[[#This Row],[Item Amount]])</f>
        <v>600</v>
      </c>
      <c r="K752" s="39" t="str">
        <f>TEXT(Town_Team[[#This Row],[Date ]],"dddd")</f>
        <v>Sunday</v>
      </c>
    </row>
    <row r="753" spans="2:11" hidden="1" x14ac:dyDescent="0.3">
      <c r="B753" s="20">
        <v>749</v>
      </c>
      <c r="C753" s="19">
        <v>44214</v>
      </c>
      <c r="D753" s="21" t="s">
        <v>9</v>
      </c>
      <c r="E753" s="21" t="s">
        <v>18</v>
      </c>
      <c r="F753" s="21" t="s">
        <v>17</v>
      </c>
      <c r="G753" s="22">
        <v>600</v>
      </c>
      <c r="H753" s="20">
        <v>1</v>
      </c>
      <c r="I753" s="32">
        <f>Town_Team[[#This Row],[Item quantity]]*Town_Team[[#This Row],[Selling price]]</f>
        <v>600</v>
      </c>
      <c r="J753" s="33">
        <f>IF(Town_Team[[#This Row],[Item name]]=" Jeans - Denim",Town_Team[[#This Row],[Item Amount]]*85%,Town_Team[[#This Row],[Item Amount]])</f>
        <v>600</v>
      </c>
      <c r="K753" s="39" t="str">
        <f>TEXT(Town_Team[[#This Row],[Date ]],"dddd")</f>
        <v>Monday</v>
      </c>
    </row>
    <row r="754" spans="2:11" hidden="1" x14ac:dyDescent="0.3">
      <c r="B754" s="20">
        <v>750</v>
      </c>
      <c r="C754" s="19">
        <v>44215</v>
      </c>
      <c r="D754" s="21" t="s">
        <v>9</v>
      </c>
      <c r="E754" s="21" t="s">
        <v>10</v>
      </c>
      <c r="F754" s="21" t="s">
        <v>11</v>
      </c>
      <c r="G754" s="22">
        <v>1100</v>
      </c>
      <c r="H754" s="20">
        <v>1</v>
      </c>
      <c r="I754" s="32">
        <f>Town_Team[[#This Row],[Item quantity]]*Town_Team[[#This Row],[Selling price]]</f>
        <v>1100</v>
      </c>
      <c r="J754" s="33">
        <f>IF(Town_Team[[#This Row],[Item name]]=" Jeans - Denim",Town_Team[[#This Row],[Item Amount]]*85%,Town_Team[[#This Row],[Item Amount]])</f>
        <v>1100</v>
      </c>
      <c r="K754" s="39" t="str">
        <f>TEXT(Town_Team[[#This Row],[Date ]],"dddd")</f>
        <v>Tuesday</v>
      </c>
    </row>
    <row r="755" spans="2:11" hidden="1" x14ac:dyDescent="0.3">
      <c r="B755" s="20">
        <v>751</v>
      </c>
      <c r="C755" s="19">
        <v>44216</v>
      </c>
      <c r="D755" s="21" t="s">
        <v>9</v>
      </c>
      <c r="E755" s="21" t="s">
        <v>14</v>
      </c>
      <c r="F755" s="21" t="s">
        <v>11</v>
      </c>
      <c r="G755" s="22">
        <v>900</v>
      </c>
      <c r="H755" s="20">
        <v>1</v>
      </c>
      <c r="I755" s="32">
        <f>Town_Team[[#This Row],[Item quantity]]*Town_Team[[#This Row],[Selling price]]</f>
        <v>900</v>
      </c>
      <c r="J755" s="33">
        <f>IF(Town_Team[[#This Row],[Item name]]=" Jeans - Denim",Town_Team[[#This Row],[Item Amount]]*85%,Town_Team[[#This Row],[Item Amount]])</f>
        <v>900</v>
      </c>
      <c r="K755" s="39" t="str">
        <f>TEXT(Town_Team[[#This Row],[Date ]],"dddd")</f>
        <v>Wednesday</v>
      </c>
    </row>
    <row r="756" spans="2:11" hidden="1" x14ac:dyDescent="0.3">
      <c r="B756" s="20">
        <v>752</v>
      </c>
      <c r="C756" s="19">
        <v>44217</v>
      </c>
      <c r="D756" s="21" t="s">
        <v>9</v>
      </c>
      <c r="E756" s="21" t="s">
        <v>18</v>
      </c>
      <c r="F756" s="21" t="s">
        <v>17</v>
      </c>
      <c r="G756" s="22">
        <v>600</v>
      </c>
      <c r="H756" s="20">
        <v>1</v>
      </c>
      <c r="I756" s="32">
        <f>Town_Team[[#This Row],[Item quantity]]*Town_Team[[#This Row],[Selling price]]</f>
        <v>600</v>
      </c>
      <c r="J756" s="33">
        <f>IF(Town_Team[[#This Row],[Item name]]=" Jeans - Denim",Town_Team[[#This Row],[Item Amount]]*85%,Town_Team[[#This Row],[Item Amount]])</f>
        <v>600</v>
      </c>
      <c r="K756" s="39" t="str">
        <f>TEXT(Town_Team[[#This Row],[Date ]],"dddd")</f>
        <v>Thursday</v>
      </c>
    </row>
    <row r="757" spans="2:11" hidden="1" x14ac:dyDescent="0.3">
      <c r="B757" s="20">
        <v>753</v>
      </c>
      <c r="C757" s="19">
        <v>44218</v>
      </c>
      <c r="D757" s="21" t="s">
        <v>9</v>
      </c>
      <c r="E757" s="21" t="s">
        <v>14</v>
      </c>
      <c r="F757" s="21" t="s">
        <v>11</v>
      </c>
      <c r="G757" s="22">
        <v>900</v>
      </c>
      <c r="H757" s="20">
        <v>1</v>
      </c>
      <c r="I757" s="32">
        <f>Town_Team[[#This Row],[Item quantity]]*Town_Team[[#This Row],[Selling price]]</f>
        <v>900</v>
      </c>
      <c r="J757" s="33">
        <f>IF(Town_Team[[#This Row],[Item name]]=" Jeans - Denim",Town_Team[[#This Row],[Item Amount]]*85%,Town_Team[[#This Row],[Item Amount]])</f>
        <v>900</v>
      </c>
      <c r="K757" s="39" t="str">
        <f>TEXT(Town_Team[[#This Row],[Date ]],"dddd")</f>
        <v>Friday</v>
      </c>
    </row>
    <row r="758" spans="2:11" hidden="1" x14ac:dyDescent="0.3">
      <c r="B758" s="20">
        <v>754</v>
      </c>
      <c r="C758" s="19">
        <v>44219</v>
      </c>
      <c r="D758" s="21" t="s">
        <v>9</v>
      </c>
      <c r="E758" s="21" t="s">
        <v>12</v>
      </c>
      <c r="F758" s="21" t="s">
        <v>11</v>
      </c>
      <c r="G758" s="22">
        <v>900</v>
      </c>
      <c r="H758" s="20">
        <v>1</v>
      </c>
      <c r="I758" s="32">
        <f>Town_Team[[#This Row],[Item quantity]]*Town_Team[[#This Row],[Selling price]]</f>
        <v>900</v>
      </c>
      <c r="J758" s="33">
        <f>IF(Town_Team[[#This Row],[Item name]]=" Jeans - Denim",Town_Team[[#This Row],[Item Amount]]*85%,Town_Team[[#This Row],[Item Amount]])</f>
        <v>765</v>
      </c>
      <c r="K758" s="39" t="str">
        <f>TEXT(Town_Team[[#This Row],[Date ]],"dddd")</f>
        <v>Saturday</v>
      </c>
    </row>
    <row r="759" spans="2:11" hidden="1" x14ac:dyDescent="0.3">
      <c r="B759" s="20">
        <v>755</v>
      </c>
      <c r="C759" s="19">
        <v>44220</v>
      </c>
      <c r="D759" s="21" t="s">
        <v>9</v>
      </c>
      <c r="E759" s="21" t="s">
        <v>18</v>
      </c>
      <c r="F759" s="21" t="s">
        <v>17</v>
      </c>
      <c r="G759" s="22">
        <v>600</v>
      </c>
      <c r="H759" s="20">
        <v>1</v>
      </c>
      <c r="I759" s="32">
        <f>Town_Team[[#This Row],[Item quantity]]*Town_Team[[#This Row],[Selling price]]</f>
        <v>600</v>
      </c>
      <c r="J759" s="33">
        <f>IF(Town_Team[[#This Row],[Item name]]=" Jeans - Denim",Town_Team[[#This Row],[Item Amount]]*85%,Town_Team[[#This Row],[Item Amount]])</f>
        <v>600</v>
      </c>
      <c r="K759" s="39" t="str">
        <f>TEXT(Town_Team[[#This Row],[Date ]],"dddd")</f>
        <v>Sunday</v>
      </c>
    </row>
    <row r="760" spans="2:11" hidden="1" x14ac:dyDescent="0.3">
      <c r="B760" s="20">
        <v>756</v>
      </c>
      <c r="C760" s="19">
        <v>44221</v>
      </c>
      <c r="D760" s="21" t="s">
        <v>9</v>
      </c>
      <c r="E760" s="21" t="s">
        <v>18</v>
      </c>
      <c r="F760" s="21" t="s">
        <v>17</v>
      </c>
      <c r="G760" s="22">
        <v>600</v>
      </c>
      <c r="H760" s="20">
        <v>1</v>
      </c>
      <c r="I760" s="32">
        <f>Town_Team[[#This Row],[Item quantity]]*Town_Team[[#This Row],[Selling price]]</f>
        <v>600</v>
      </c>
      <c r="J760" s="33">
        <f>IF(Town_Team[[#This Row],[Item name]]=" Jeans - Denim",Town_Team[[#This Row],[Item Amount]]*85%,Town_Team[[#This Row],[Item Amount]])</f>
        <v>600</v>
      </c>
      <c r="K760" s="39" t="str">
        <f>TEXT(Town_Team[[#This Row],[Date ]],"dddd")</f>
        <v>Monday</v>
      </c>
    </row>
    <row r="761" spans="2:11" hidden="1" x14ac:dyDescent="0.3">
      <c r="B761" s="20">
        <v>757</v>
      </c>
      <c r="C761" s="19">
        <v>44222</v>
      </c>
      <c r="D761" s="21" t="s">
        <v>9</v>
      </c>
      <c r="E761" s="21" t="s">
        <v>18</v>
      </c>
      <c r="F761" s="21" t="s">
        <v>17</v>
      </c>
      <c r="G761" s="22">
        <v>600</v>
      </c>
      <c r="H761" s="20">
        <v>1</v>
      </c>
      <c r="I761" s="32">
        <f>Town_Team[[#This Row],[Item quantity]]*Town_Team[[#This Row],[Selling price]]</f>
        <v>600</v>
      </c>
      <c r="J761" s="33">
        <f>IF(Town_Team[[#This Row],[Item name]]=" Jeans - Denim",Town_Team[[#This Row],[Item Amount]]*85%,Town_Team[[#This Row],[Item Amount]])</f>
        <v>600</v>
      </c>
      <c r="K761" s="39" t="str">
        <f>TEXT(Town_Team[[#This Row],[Date ]],"dddd")</f>
        <v>Tuesday</v>
      </c>
    </row>
    <row r="762" spans="2:11" hidden="1" x14ac:dyDescent="0.3">
      <c r="B762" s="20">
        <v>758</v>
      </c>
      <c r="C762" s="19">
        <v>44223</v>
      </c>
      <c r="D762" s="21" t="s">
        <v>9</v>
      </c>
      <c r="E762" s="21" t="s">
        <v>10</v>
      </c>
      <c r="F762" s="21" t="s">
        <v>11</v>
      </c>
      <c r="G762" s="22">
        <v>1100</v>
      </c>
      <c r="H762" s="20">
        <v>1</v>
      </c>
      <c r="I762" s="32">
        <f>Town_Team[[#This Row],[Item quantity]]*Town_Team[[#This Row],[Selling price]]</f>
        <v>1100</v>
      </c>
      <c r="J762" s="33">
        <f>IF(Town_Team[[#This Row],[Item name]]=" Jeans - Denim",Town_Team[[#This Row],[Item Amount]]*85%,Town_Team[[#This Row],[Item Amount]])</f>
        <v>1100</v>
      </c>
      <c r="K762" s="39" t="str">
        <f>TEXT(Town_Team[[#This Row],[Date ]],"dddd")</f>
        <v>Wednesday</v>
      </c>
    </row>
    <row r="763" spans="2:11" hidden="1" x14ac:dyDescent="0.3">
      <c r="B763" s="20">
        <v>759</v>
      </c>
      <c r="C763" s="19">
        <v>44224</v>
      </c>
      <c r="D763" s="21" t="s">
        <v>9</v>
      </c>
      <c r="E763" s="21" t="s">
        <v>18</v>
      </c>
      <c r="F763" s="21" t="s">
        <v>17</v>
      </c>
      <c r="G763" s="22">
        <v>600</v>
      </c>
      <c r="H763" s="20">
        <v>1</v>
      </c>
      <c r="I763" s="32">
        <f>Town_Team[[#This Row],[Item quantity]]*Town_Team[[#This Row],[Selling price]]</f>
        <v>600</v>
      </c>
      <c r="J763" s="33">
        <f>IF(Town_Team[[#This Row],[Item name]]=" Jeans - Denim",Town_Team[[#This Row],[Item Amount]]*85%,Town_Team[[#This Row],[Item Amount]])</f>
        <v>600</v>
      </c>
      <c r="K763" s="39" t="str">
        <f>TEXT(Town_Team[[#This Row],[Date ]],"dddd")</f>
        <v>Thursday</v>
      </c>
    </row>
    <row r="764" spans="2:11" hidden="1" x14ac:dyDescent="0.3">
      <c r="B764" s="20">
        <v>760</v>
      </c>
      <c r="C764" s="19">
        <v>44225</v>
      </c>
      <c r="D764" s="21" t="s">
        <v>9</v>
      </c>
      <c r="E764" s="21" t="s">
        <v>18</v>
      </c>
      <c r="F764" s="21" t="s">
        <v>17</v>
      </c>
      <c r="G764" s="22">
        <v>600</v>
      </c>
      <c r="H764" s="20">
        <v>1</v>
      </c>
      <c r="I764" s="32">
        <f>Town_Team[[#This Row],[Item quantity]]*Town_Team[[#This Row],[Selling price]]</f>
        <v>600</v>
      </c>
      <c r="J764" s="33">
        <f>IF(Town_Team[[#This Row],[Item name]]=" Jeans - Denim",Town_Team[[#This Row],[Item Amount]]*85%,Town_Team[[#This Row],[Item Amount]])</f>
        <v>600</v>
      </c>
      <c r="K764" s="39" t="str">
        <f>TEXT(Town_Team[[#This Row],[Date ]],"dddd")</f>
        <v>Friday</v>
      </c>
    </row>
    <row r="765" spans="2:11" hidden="1" x14ac:dyDescent="0.3">
      <c r="B765" s="20">
        <v>761</v>
      </c>
      <c r="C765" s="19">
        <v>44226</v>
      </c>
      <c r="D765" s="21" t="s">
        <v>9</v>
      </c>
      <c r="E765" s="21" t="s">
        <v>18</v>
      </c>
      <c r="F765" s="21" t="s">
        <v>17</v>
      </c>
      <c r="G765" s="22">
        <v>600</v>
      </c>
      <c r="H765" s="20">
        <v>1</v>
      </c>
      <c r="I765" s="32">
        <f>Town_Team[[#This Row],[Item quantity]]*Town_Team[[#This Row],[Selling price]]</f>
        <v>600</v>
      </c>
      <c r="J765" s="33">
        <f>IF(Town_Team[[#This Row],[Item name]]=" Jeans - Denim",Town_Team[[#This Row],[Item Amount]]*85%,Town_Team[[#This Row],[Item Amount]])</f>
        <v>600</v>
      </c>
      <c r="K765" s="39" t="str">
        <f>TEXT(Town_Team[[#This Row],[Date ]],"dddd")</f>
        <v>Saturday</v>
      </c>
    </row>
    <row r="766" spans="2:11" hidden="1" x14ac:dyDescent="0.3">
      <c r="B766" s="20">
        <v>762</v>
      </c>
      <c r="C766" s="19">
        <v>44227</v>
      </c>
      <c r="D766" s="21" t="s">
        <v>9</v>
      </c>
      <c r="E766" s="21" t="s">
        <v>12</v>
      </c>
      <c r="F766" s="21" t="s">
        <v>11</v>
      </c>
      <c r="G766" s="22">
        <v>900</v>
      </c>
      <c r="H766" s="20">
        <v>1</v>
      </c>
      <c r="I766" s="32">
        <f>Town_Team[[#This Row],[Item quantity]]*Town_Team[[#This Row],[Selling price]]</f>
        <v>900</v>
      </c>
      <c r="J766" s="33">
        <f>IF(Town_Team[[#This Row],[Item name]]=" Jeans - Denim",Town_Team[[#This Row],[Item Amount]]*85%,Town_Team[[#This Row],[Item Amount]])</f>
        <v>765</v>
      </c>
      <c r="K766" s="39" t="str">
        <f>TEXT(Town_Team[[#This Row],[Date ]],"dddd")</f>
        <v>Sunday</v>
      </c>
    </row>
    <row r="767" spans="2:11" hidden="1" x14ac:dyDescent="0.3">
      <c r="B767" s="20">
        <v>763</v>
      </c>
      <c r="C767" s="19">
        <v>44228</v>
      </c>
      <c r="D767" s="21" t="s">
        <v>9</v>
      </c>
      <c r="E767" s="21" t="s">
        <v>18</v>
      </c>
      <c r="F767" s="21" t="s">
        <v>17</v>
      </c>
      <c r="G767" s="22">
        <v>600</v>
      </c>
      <c r="H767" s="20">
        <v>1</v>
      </c>
      <c r="I767" s="32">
        <f>Town_Team[[#This Row],[Item quantity]]*Town_Team[[#This Row],[Selling price]]</f>
        <v>600</v>
      </c>
      <c r="J767" s="33">
        <f>IF(Town_Team[[#This Row],[Item name]]=" Jeans - Denim",Town_Team[[#This Row],[Item Amount]]*85%,Town_Team[[#This Row],[Item Amount]])</f>
        <v>600</v>
      </c>
      <c r="K767" s="39" t="str">
        <f>TEXT(Town_Team[[#This Row],[Date ]],"dddd")</f>
        <v>Monday</v>
      </c>
    </row>
    <row r="768" spans="2:11" hidden="1" x14ac:dyDescent="0.3">
      <c r="B768" s="20">
        <v>764</v>
      </c>
      <c r="C768" s="19">
        <v>44229</v>
      </c>
      <c r="D768" s="21" t="s">
        <v>9</v>
      </c>
      <c r="E768" s="21" t="s">
        <v>14</v>
      </c>
      <c r="F768" s="21" t="s">
        <v>11</v>
      </c>
      <c r="G768" s="22">
        <v>900</v>
      </c>
      <c r="H768" s="20">
        <v>1</v>
      </c>
      <c r="I768" s="32">
        <f>Town_Team[[#This Row],[Item quantity]]*Town_Team[[#This Row],[Selling price]]</f>
        <v>900</v>
      </c>
      <c r="J768" s="33">
        <f>IF(Town_Team[[#This Row],[Item name]]=" Jeans - Denim",Town_Team[[#This Row],[Item Amount]]*85%,Town_Team[[#This Row],[Item Amount]])</f>
        <v>900</v>
      </c>
      <c r="K768" s="39" t="str">
        <f>TEXT(Town_Team[[#This Row],[Date ]],"dddd")</f>
        <v>Tuesday</v>
      </c>
    </row>
    <row r="769" spans="2:11" hidden="1" x14ac:dyDescent="0.3">
      <c r="B769" s="20">
        <v>765</v>
      </c>
      <c r="C769" s="19">
        <v>44230</v>
      </c>
      <c r="D769" s="21" t="s">
        <v>9</v>
      </c>
      <c r="E769" s="21" t="s">
        <v>21</v>
      </c>
      <c r="F769" s="21" t="s">
        <v>20</v>
      </c>
      <c r="G769" s="22">
        <v>1200</v>
      </c>
      <c r="H769" s="20">
        <v>1</v>
      </c>
      <c r="I769" s="32">
        <f>Town_Team[[#This Row],[Item quantity]]*Town_Team[[#This Row],[Selling price]]</f>
        <v>1200</v>
      </c>
      <c r="J769" s="33">
        <f>IF(Town_Team[[#This Row],[Item name]]=" Jeans - Denim",Town_Team[[#This Row],[Item Amount]]*85%,Town_Team[[#This Row],[Item Amount]])</f>
        <v>1200</v>
      </c>
      <c r="K769" s="39" t="str">
        <f>TEXT(Town_Team[[#This Row],[Date ]],"dddd")</f>
        <v>Wednesday</v>
      </c>
    </row>
    <row r="770" spans="2:11" hidden="1" x14ac:dyDescent="0.3">
      <c r="B770" s="20">
        <v>766</v>
      </c>
      <c r="C770" s="19">
        <v>44231</v>
      </c>
      <c r="D770" s="21" t="s">
        <v>9</v>
      </c>
      <c r="E770" s="21" t="s">
        <v>10</v>
      </c>
      <c r="F770" s="21" t="s">
        <v>11</v>
      </c>
      <c r="G770" s="22">
        <v>1100</v>
      </c>
      <c r="H770" s="20">
        <v>1</v>
      </c>
      <c r="I770" s="32">
        <f>Town_Team[[#This Row],[Item quantity]]*Town_Team[[#This Row],[Selling price]]</f>
        <v>1100</v>
      </c>
      <c r="J770" s="33">
        <f>IF(Town_Team[[#This Row],[Item name]]=" Jeans - Denim",Town_Team[[#This Row],[Item Amount]]*85%,Town_Team[[#This Row],[Item Amount]])</f>
        <v>1100</v>
      </c>
      <c r="K770" s="39" t="str">
        <f>TEXT(Town_Team[[#This Row],[Date ]],"dddd")</f>
        <v>Thursday</v>
      </c>
    </row>
    <row r="771" spans="2:11" hidden="1" x14ac:dyDescent="0.3">
      <c r="B771" s="20">
        <v>767</v>
      </c>
      <c r="C771" s="19">
        <v>44232</v>
      </c>
      <c r="D771" s="21" t="s">
        <v>9</v>
      </c>
      <c r="E771" s="21" t="s">
        <v>10</v>
      </c>
      <c r="F771" s="21" t="s">
        <v>11</v>
      </c>
      <c r="G771" s="22">
        <v>1100</v>
      </c>
      <c r="H771" s="20">
        <v>1</v>
      </c>
      <c r="I771" s="32">
        <f>Town_Team[[#This Row],[Item quantity]]*Town_Team[[#This Row],[Selling price]]</f>
        <v>1100</v>
      </c>
      <c r="J771" s="33">
        <f>IF(Town_Team[[#This Row],[Item name]]=" Jeans - Denim",Town_Team[[#This Row],[Item Amount]]*85%,Town_Team[[#This Row],[Item Amount]])</f>
        <v>1100</v>
      </c>
      <c r="K771" s="39" t="str">
        <f>TEXT(Town_Team[[#This Row],[Date ]],"dddd")</f>
        <v>Friday</v>
      </c>
    </row>
    <row r="772" spans="2:11" hidden="1" x14ac:dyDescent="0.3">
      <c r="B772" s="20">
        <v>768</v>
      </c>
      <c r="C772" s="19">
        <v>44233</v>
      </c>
      <c r="D772" s="21" t="s">
        <v>9</v>
      </c>
      <c r="E772" s="21" t="s">
        <v>18</v>
      </c>
      <c r="F772" s="21" t="s">
        <v>17</v>
      </c>
      <c r="G772" s="22">
        <v>600</v>
      </c>
      <c r="H772" s="20">
        <v>1</v>
      </c>
      <c r="I772" s="32">
        <f>Town_Team[[#This Row],[Item quantity]]*Town_Team[[#This Row],[Selling price]]</f>
        <v>600</v>
      </c>
      <c r="J772" s="33">
        <f>IF(Town_Team[[#This Row],[Item name]]=" Jeans - Denim",Town_Team[[#This Row],[Item Amount]]*85%,Town_Team[[#This Row],[Item Amount]])</f>
        <v>600</v>
      </c>
      <c r="K772" s="39" t="str">
        <f>TEXT(Town_Team[[#This Row],[Date ]],"dddd")</f>
        <v>Saturday</v>
      </c>
    </row>
    <row r="773" spans="2:11" hidden="1" x14ac:dyDescent="0.3">
      <c r="B773" s="20">
        <v>769</v>
      </c>
      <c r="C773" s="19">
        <v>44234</v>
      </c>
      <c r="D773" s="21" t="s">
        <v>9</v>
      </c>
      <c r="E773" s="21" t="s">
        <v>18</v>
      </c>
      <c r="F773" s="21" t="s">
        <v>17</v>
      </c>
      <c r="G773" s="22">
        <v>600</v>
      </c>
      <c r="H773" s="20">
        <v>2</v>
      </c>
      <c r="I773" s="32">
        <f>Town_Team[[#This Row],[Item quantity]]*Town_Team[[#This Row],[Selling price]]</f>
        <v>1200</v>
      </c>
      <c r="J773" s="33">
        <f>IF(Town_Team[[#This Row],[Item name]]=" Jeans - Denim",Town_Team[[#This Row],[Item Amount]]*85%,Town_Team[[#This Row],[Item Amount]])</f>
        <v>1200</v>
      </c>
      <c r="K773" s="39" t="str">
        <f>TEXT(Town_Team[[#This Row],[Date ]],"dddd")</f>
        <v>Sunday</v>
      </c>
    </row>
    <row r="774" spans="2:11" hidden="1" x14ac:dyDescent="0.3">
      <c r="B774" s="20">
        <v>770</v>
      </c>
      <c r="C774" s="19">
        <v>44235</v>
      </c>
      <c r="D774" s="21" t="s">
        <v>9</v>
      </c>
      <c r="E774" s="21" t="s">
        <v>21</v>
      </c>
      <c r="F774" s="21" t="s">
        <v>20</v>
      </c>
      <c r="G774" s="22">
        <v>1200</v>
      </c>
      <c r="H774" s="20">
        <v>1</v>
      </c>
      <c r="I774" s="32">
        <f>Town_Team[[#This Row],[Item quantity]]*Town_Team[[#This Row],[Selling price]]</f>
        <v>1200</v>
      </c>
      <c r="J774" s="33">
        <f>IF(Town_Team[[#This Row],[Item name]]=" Jeans - Denim",Town_Team[[#This Row],[Item Amount]]*85%,Town_Team[[#This Row],[Item Amount]])</f>
        <v>1200</v>
      </c>
      <c r="K774" s="39" t="str">
        <f>TEXT(Town_Team[[#This Row],[Date ]],"dddd")</f>
        <v>Monday</v>
      </c>
    </row>
    <row r="775" spans="2:11" hidden="1" x14ac:dyDescent="0.3">
      <c r="B775" s="20">
        <v>771</v>
      </c>
      <c r="C775" s="19">
        <v>44236</v>
      </c>
      <c r="D775" s="21" t="s">
        <v>9</v>
      </c>
      <c r="E775" s="21" t="s">
        <v>21</v>
      </c>
      <c r="F775" s="21" t="s">
        <v>20</v>
      </c>
      <c r="G775" s="22">
        <v>1200</v>
      </c>
      <c r="H775" s="20">
        <v>1</v>
      </c>
      <c r="I775" s="32">
        <f>Town_Team[[#This Row],[Item quantity]]*Town_Team[[#This Row],[Selling price]]</f>
        <v>1200</v>
      </c>
      <c r="J775" s="33">
        <f>IF(Town_Team[[#This Row],[Item name]]=" Jeans - Denim",Town_Team[[#This Row],[Item Amount]]*85%,Town_Team[[#This Row],[Item Amount]])</f>
        <v>1200</v>
      </c>
      <c r="K775" s="39" t="str">
        <f>TEXT(Town_Team[[#This Row],[Date ]],"dddd")</f>
        <v>Tuesday</v>
      </c>
    </row>
    <row r="776" spans="2:11" hidden="1" x14ac:dyDescent="0.3">
      <c r="B776" s="20">
        <v>772</v>
      </c>
      <c r="C776" s="19">
        <v>44237</v>
      </c>
      <c r="D776" s="21" t="s">
        <v>9</v>
      </c>
      <c r="E776" s="21" t="s">
        <v>15</v>
      </c>
      <c r="F776" s="21" t="s">
        <v>11</v>
      </c>
      <c r="G776" s="22">
        <v>1000</v>
      </c>
      <c r="H776" s="20">
        <v>1</v>
      </c>
      <c r="I776" s="32">
        <f>Town_Team[[#This Row],[Item quantity]]*Town_Team[[#This Row],[Selling price]]</f>
        <v>1000</v>
      </c>
      <c r="J776" s="33">
        <f>IF(Town_Team[[#This Row],[Item name]]=" Jeans - Denim",Town_Team[[#This Row],[Item Amount]]*85%,Town_Team[[#This Row],[Item Amount]])</f>
        <v>1000</v>
      </c>
      <c r="K776" s="39" t="str">
        <f>TEXT(Town_Team[[#This Row],[Date ]],"dddd")</f>
        <v>Wednesday</v>
      </c>
    </row>
    <row r="777" spans="2:11" hidden="1" x14ac:dyDescent="0.3">
      <c r="B777" s="20">
        <v>773</v>
      </c>
      <c r="C777" s="19">
        <v>44238</v>
      </c>
      <c r="D777" s="21" t="s">
        <v>9</v>
      </c>
      <c r="E777" s="21" t="s">
        <v>16</v>
      </c>
      <c r="F777" s="21" t="s">
        <v>17</v>
      </c>
      <c r="G777" s="22">
        <v>800</v>
      </c>
      <c r="H777" s="20">
        <v>2</v>
      </c>
      <c r="I777" s="32">
        <f>Town_Team[[#This Row],[Item quantity]]*Town_Team[[#This Row],[Selling price]]</f>
        <v>1600</v>
      </c>
      <c r="J777" s="33">
        <f>IF(Town_Team[[#This Row],[Item name]]=" Jeans - Denim",Town_Team[[#This Row],[Item Amount]]*85%,Town_Team[[#This Row],[Item Amount]])</f>
        <v>1600</v>
      </c>
      <c r="K777" s="39" t="str">
        <f>TEXT(Town_Team[[#This Row],[Date ]],"dddd")</f>
        <v>Thursday</v>
      </c>
    </row>
    <row r="778" spans="2:11" hidden="1" x14ac:dyDescent="0.3">
      <c r="B778" s="20">
        <v>774</v>
      </c>
      <c r="C778" s="19">
        <v>44239</v>
      </c>
      <c r="D778" s="21" t="s">
        <v>9</v>
      </c>
      <c r="E778" s="21" t="s">
        <v>21</v>
      </c>
      <c r="F778" s="21" t="s">
        <v>20</v>
      </c>
      <c r="G778" s="22">
        <v>1200</v>
      </c>
      <c r="H778" s="20">
        <v>1</v>
      </c>
      <c r="I778" s="32">
        <f>Town_Team[[#This Row],[Item quantity]]*Town_Team[[#This Row],[Selling price]]</f>
        <v>1200</v>
      </c>
      <c r="J778" s="33">
        <f>IF(Town_Team[[#This Row],[Item name]]=" Jeans - Denim",Town_Team[[#This Row],[Item Amount]]*85%,Town_Team[[#This Row],[Item Amount]])</f>
        <v>1200</v>
      </c>
      <c r="K778" s="39" t="str">
        <f>TEXT(Town_Team[[#This Row],[Date ]],"dddd")</f>
        <v>Friday</v>
      </c>
    </row>
    <row r="779" spans="2:11" hidden="1" x14ac:dyDescent="0.3">
      <c r="B779" s="20">
        <v>775</v>
      </c>
      <c r="C779" s="19">
        <v>44240</v>
      </c>
      <c r="D779" s="21" t="s">
        <v>9</v>
      </c>
      <c r="E779" s="21" t="s">
        <v>14</v>
      </c>
      <c r="F779" s="21" t="s">
        <v>11</v>
      </c>
      <c r="G779" s="22">
        <v>900</v>
      </c>
      <c r="H779" s="20">
        <v>1</v>
      </c>
      <c r="I779" s="32">
        <f>Town_Team[[#This Row],[Item quantity]]*Town_Team[[#This Row],[Selling price]]</f>
        <v>900</v>
      </c>
      <c r="J779" s="33">
        <f>IF(Town_Team[[#This Row],[Item name]]=" Jeans - Denim",Town_Team[[#This Row],[Item Amount]]*85%,Town_Team[[#This Row],[Item Amount]])</f>
        <v>900</v>
      </c>
      <c r="K779" s="39" t="str">
        <f>TEXT(Town_Team[[#This Row],[Date ]],"dddd")</f>
        <v>Saturday</v>
      </c>
    </row>
    <row r="780" spans="2:11" hidden="1" x14ac:dyDescent="0.3">
      <c r="B780" s="20">
        <v>776</v>
      </c>
      <c r="C780" s="19">
        <v>44241</v>
      </c>
      <c r="D780" s="21" t="s">
        <v>9</v>
      </c>
      <c r="E780" s="21" t="s">
        <v>15</v>
      </c>
      <c r="F780" s="21" t="s">
        <v>11</v>
      </c>
      <c r="G780" s="22">
        <v>1000</v>
      </c>
      <c r="H780" s="20">
        <v>1</v>
      </c>
      <c r="I780" s="32">
        <f>Town_Team[[#This Row],[Item quantity]]*Town_Team[[#This Row],[Selling price]]</f>
        <v>1000</v>
      </c>
      <c r="J780" s="33">
        <f>IF(Town_Team[[#This Row],[Item name]]=" Jeans - Denim",Town_Team[[#This Row],[Item Amount]]*85%,Town_Team[[#This Row],[Item Amount]])</f>
        <v>1000</v>
      </c>
      <c r="K780" s="39" t="str">
        <f>TEXT(Town_Team[[#This Row],[Date ]],"dddd")</f>
        <v>Sunday</v>
      </c>
    </row>
    <row r="781" spans="2:11" hidden="1" x14ac:dyDescent="0.3">
      <c r="B781" s="20">
        <v>777</v>
      </c>
      <c r="C781" s="19">
        <v>44242</v>
      </c>
      <c r="D781" s="21" t="s">
        <v>9</v>
      </c>
      <c r="E781" s="21" t="s">
        <v>16</v>
      </c>
      <c r="F781" s="21" t="s">
        <v>17</v>
      </c>
      <c r="G781" s="22">
        <v>800</v>
      </c>
      <c r="H781" s="20">
        <v>1</v>
      </c>
      <c r="I781" s="32">
        <f>Town_Team[[#This Row],[Item quantity]]*Town_Team[[#This Row],[Selling price]]</f>
        <v>800</v>
      </c>
      <c r="J781" s="33">
        <f>IF(Town_Team[[#This Row],[Item name]]=" Jeans - Denim",Town_Team[[#This Row],[Item Amount]]*85%,Town_Team[[#This Row],[Item Amount]])</f>
        <v>800</v>
      </c>
      <c r="K781" s="39" t="str">
        <f>TEXT(Town_Team[[#This Row],[Date ]],"dddd")</f>
        <v>Monday</v>
      </c>
    </row>
    <row r="782" spans="2:11" hidden="1" x14ac:dyDescent="0.3">
      <c r="B782" s="20">
        <v>778</v>
      </c>
      <c r="C782" s="19">
        <v>44243</v>
      </c>
      <c r="D782" s="21" t="s">
        <v>9</v>
      </c>
      <c r="E782" s="21" t="s">
        <v>21</v>
      </c>
      <c r="F782" s="21" t="s">
        <v>20</v>
      </c>
      <c r="G782" s="22">
        <v>1200</v>
      </c>
      <c r="H782" s="20">
        <v>1</v>
      </c>
      <c r="I782" s="32">
        <f>Town_Team[[#This Row],[Item quantity]]*Town_Team[[#This Row],[Selling price]]</f>
        <v>1200</v>
      </c>
      <c r="J782" s="33">
        <f>IF(Town_Team[[#This Row],[Item name]]=" Jeans - Denim",Town_Team[[#This Row],[Item Amount]]*85%,Town_Team[[#This Row],[Item Amount]])</f>
        <v>1200</v>
      </c>
      <c r="K782" s="39" t="str">
        <f>TEXT(Town_Team[[#This Row],[Date ]],"dddd")</f>
        <v>Tuesday</v>
      </c>
    </row>
    <row r="783" spans="2:11" hidden="1" x14ac:dyDescent="0.3">
      <c r="B783" s="20">
        <v>779</v>
      </c>
      <c r="C783" s="19">
        <v>44244</v>
      </c>
      <c r="D783" s="21" t="s">
        <v>9</v>
      </c>
      <c r="E783" s="21" t="s">
        <v>21</v>
      </c>
      <c r="F783" s="21" t="s">
        <v>20</v>
      </c>
      <c r="G783" s="22">
        <v>1200</v>
      </c>
      <c r="H783" s="20">
        <v>1</v>
      </c>
      <c r="I783" s="32">
        <f>Town_Team[[#This Row],[Item quantity]]*Town_Team[[#This Row],[Selling price]]</f>
        <v>1200</v>
      </c>
      <c r="J783" s="33">
        <f>IF(Town_Team[[#This Row],[Item name]]=" Jeans - Denim",Town_Team[[#This Row],[Item Amount]]*85%,Town_Team[[#This Row],[Item Amount]])</f>
        <v>1200</v>
      </c>
      <c r="K783" s="39" t="str">
        <f>TEXT(Town_Team[[#This Row],[Date ]],"dddd")</f>
        <v>Wednesday</v>
      </c>
    </row>
    <row r="784" spans="2:11" hidden="1" x14ac:dyDescent="0.3">
      <c r="B784" s="20">
        <v>780</v>
      </c>
      <c r="C784" s="19">
        <v>44245</v>
      </c>
      <c r="D784" s="21" t="s">
        <v>9</v>
      </c>
      <c r="E784" s="21" t="s">
        <v>16</v>
      </c>
      <c r="F784" s="21" t="s">
        <v>17</v>
      </c>
      <c r="G784" s="22">
        <v>800</v>
      </c>
      <c r="H784" s="20">
        <v>2</v>
      </c>
      <c r="I784" s="32">
        <f>Town_Team[[#This Row],[Item quantity]]*Town_Team[[#This Row],[Selling price]]</f>
        <v>1600</v>
      </c>
      <c r="J784" s="33">
        <f>IF(Town_Team[[#This Row],[Item name]]=" Jeans - Denim",Town_Team[[#This Row],[Item Amount]]*85%,Town_Team[[#This Row],[Item Amount]])</f>
        <v>1600</v>
      </c>
      <c r="K784" s="39" t="str">
        <f>TEXT(Town_Team[[#This Row],[Date ]],"dddd")</f>
        <v>Thursday</v>
      </c>
    </row>
    <row r="785" spans="2:11" hidden="1" x14ac:dyDescent="0.3">
      <c r="B785" s="20">
        <v>781</v>
      </c>
      <c r="C785" s="19">
        <v>44246</v>
      </c>
      <c r="D785" s="21" t="s">
        <v>9</v>
      </c>
      <c r="E785" s="21" t="s">
        <v>12</v>
      </c>
      <c r="F785" s="21" t="s">
        <v>11</v>
      </c>
      <c r="G785" s="22">
        <v>900</v>
      </c>
      <c r="H785" s="20">
        <v>1</v>
      </c>
      <c r="I785" s="32">
        <f>Town_Team[[#This Row],[Item quantity]]*Town_Team[[#This Row],[Selling price]]</f>
        <v>900</v>
      </c>
      <c r="J785" s="33">
        <f>IF(Town_Team[[#This Row],[Item name]]=" Jeans - Denim",Town_Team[[#This Row],[Item Amount]]*85%,Town_Team[[#This Row],[Item Amount]])</f>
        <v>765</v>
      </c>
      <c r="K785" s="39" t="str">
        <f>TEXT(Town_Team[[#This Row],[Date ]],"dddd")</f>
        <v>Friday</v>
      </c>
    </row>
    <row r="786" spans="2:11" hidden="1" x14ac:dyDescent="0.3">
      <c r="B786" s="20">
        <v>782</v>
      </c>
      <c r="C786" s="19">
        <v>44247</v>
      </c>
      <c r="D786" s="21" t="s">
        <v>9</v>
      </c>
      <c r="E786" s="21" t="s">
        <v>15</v>
      </c>
      <c r="F786" s="21" t="s">
        <v>11</v>
      </c>
      <c r="G786" s="22">
        <v>1000</v>
      </c>
      <c r="H786" s="20">
        <v>1</v>
      </c>
      <c r="I786" s="32">
        <f>Town_Team[[#This Row],[Item quantity]]*Town_Team[[#This Row],[Selling price]]</f>
        <v>1000</v>
      </c>
      <c r="J786" s="33">
        <f>IF(Town_Team[[#This Row],[Item name]]=" Jeans - Denim",Town_Team[[#This Row],[Item Amount]]*85%,Town_Team[[#This Row],[Item Amount]])</f>
        <v>1000</v>
      </c>
      <c r="K786" s="39" t="str">
        <f>TEXT(Town_Team[[#This Row],[Date ]],"dddd")</f>
        <v>Saturday</v>
      </c>
    </row>
    <row r="787" spans="2:11" hidden="1" x14ac:dyDescent="0.3">
      <c r="B787" s="20">
        <v>783</v>
      </c>
      <c r="C787" s="19">
        <v>44248</v>
      </c>
      <c r="D787" s="21" t="s">
        <v>9</v>
      </c>
      <c r="E787" s="21" t="s">
        <v>15</v>
      </c>
      <c r="F787" s="21" t="s">
        <v>11</v>
      </c>
      <c r="G787" s="22">
        <v>1000</v>
      </c>
      <c r="H787" s="20">
        <v>1</v>
      </c>
      <c r="I787" s="32">
        <f>Town_Team[[#This Row],[Item quantity]]*Town_Team[[#This Row],[Selling price]]</f>
        <v>1000</v>
      </c>
      <c r="J787" s="33">
        <f>IF(Town_Team[[#This Row],[Item name]]=" Jeans - Denim",Town_Team[[#This Row],[Item Amount]]*85%,Town_Team[[#This Row],[Item Amount]])</f>
        <v>1000</v>
      </c>
      <c r="K787" s="39" t="str">
        <f>TEXT(Town_Team[[#This Row],[Date ]],"dddd")</f>
        <v>Sunday</v>
      </c>
    </row>
    <row r="788" spans="2:11" hidden="1" x14ac:dyDescent="0.3">
      <c r="B788" s="20">
        <v>784</v>
      </c>
      <c r="C788" s="19">
        <v>44249</v>
      </c>
      <c r="D788" s="21" t="s">
        <v>9</v>
      </c>
      <c r="E788" s="21" t="s">
        <v>18</v>
      </c>
      <c r="F788" s="21" t="s">
        <v>17</v>
      </c>
      <c r="G788" s="22">
        <v>600</v>
      </c>
      <c r="H788" s="20">
        <v>1</v>
      </c>
      <c r="I788" s="32">
        <f>Town_Team[[#This Row],[Item quantity]]*Town_Team[[#This Row],[Selling price]]</f>
        <v>600</v>
      </c>
      <c r="J788" s="33">
        <f>IF(Town_Team[[#This Row],[Item name]]=" Jeans - Denim",Town_Team[[#This Row],[Item Amount]]*85%,Town_Team[[#This Row],[Item Amount]])</f>
        <v>600</v>
      </c>
      <c r="K788" s="39" t="str">
        <f>TEXT(Town_Team[[#This Row],[Date ]],"dddd")</f>
        <v>Monday</v>
      </c>
    </row>
    <row r="789" spans="2:11" hidden="1" x14ac:dyDescent="0.3">
      <c r="B789" s="20">
        <v>785</v>
      </c>
      <c r="C789" s="19">
        <v>44250</v>
      </c>
      <c r="D789" s="21" t="s">
        <v>9</v>
      </c>
      <c r="E789" s="21" t="s">
        <v>19</v>
      </c>
      <c r="F789" s="21" t="s">
        <v>20</v>
      </c>
      <c r="G789" s="22">
        <v>850</v>
      </c>
      <c r="H789" s="20">
        <v>1</v>
      </c>
      <c r="I789" s="32">
        <f>Town_Team[[#This Row],[Item quantity]]*Town_Team[[#This Row],[Selling price]]</f>
        <v>850</v>
      </c>
      <c r="J789" s="33">
        <f>IF(Town_Team[[#This Row],[Item name]]=" Jeans - Denim",Town_Team[[#This Row],[Item Amount]]*85%,Town_Team[[#This Row],[Item Amount]])</f>
        <v>850</v>
      </c>
      <c r="K789" s="39" t="str">
        <f>TEXT(Town_Team[[#This Row],[Date ]],"dddd")</f>
        <v>Tuesday</v>
      </c>
    </row>
    <row r="790" spans="2:11" hidden="1" x14ac:dyDescent="0.3">
      <c r="B790" s="20">
        <v>786</v>
      </c>
      <c r="C790" s="19">
        <v>44251</v>
      </c>
      <c r="D790" s="21" t="s">
        <v>9</v>
      </c>
      <c r="E790" s="21" t="s">
        <v>18</v>
      </c>
      <c r="F790" s="21" t="s">
        <v>17</v>
      </c>
      <c r="G790" s="22">
        <v>600</v>
      </c>
      <c r="H790" s="20">
        <v>1</v>
      </c>
      <c r="I790" s="32">
        <f>Town_Team[[#This Row],[Item quantity]]*Town_Team[[#This Row],[Selling price]]</f>
        <v>600</v>
      </c>
      <c r="J790" s="33">
        <f>IF(Town_Team[[#This Row],[Item name]]=" Jeans - Denim",Town_Team[[#This Row],[Item Amount]]*85%,Town_Team[[#This Row],[Item Amount]])</f>
        <v>600</v>
      </c>
      <c r="K790" s="39" t="str">
        <f>TEXT(Town_Team[[#This Row],[Date ]],"dddd")</f>
        <v>Wednesday</v>
      </c>
    </row>
    <row r="791" spans="2:11" hidden="1" x14ac:dyDescent="0.3">
      <c r="B791" s="20">
        <v>787</v>
      </c>
      <c r="C791" s="19">
        <v>44252</v>
      </c>
      <c r="D791" s="21" t="s">
        <v>9</v>
      </c>
      <c r="E791" s="21" t="s">
        <v>19</v>
      </c>
      <c r="F791" s="21" t="s">
        <v>20</v>
      </c>
      <c r="G791" s="22">
        <v>850</v>
      </c>
      <c r="H791" s="20">
        <v>1</v>
      </c>
      <c r="I791" s="32">
        <f>Town_Team[[#This Row],[Item quantity]]*Town_Team[[#This Row],[Selling price]]</f>
        <v>850</v>
      </c>
      <c r="J791" s="33">
        <f>IF(Town_Team[[#This Row],[Item name]]=" Jeans - Denim",Town_Team[[#This Row],[Item Amount]]*85%,Town_Team[[#This Row],[Item Amount]])</f>
        <v>850</v>
      </c>
      <c r="K791" s="39" t="str">
        <f>TEXT(Town_Team[[#This Row],[Date ]],"dddd")</f>
        <v>Thursday</v>
      </c>
    </row>
    <row r="792" spans="2:11" hidden="1" x14ac:dyDescent="0.3">
      <c r="B792" s="20">
        <v>788</v>
      </c>
      <c r="C792" s="19">
        <v>44253</v>
      </c>
      <c r="D792" s="21" t="s">
        <v>9</v>
      </c>
      <c r="E792" s="21" t="s">
        <v>19</v>
      </c>
      <c r="F792" s="21" t="s">
        <v>20</v>
      </c>
      <c r="G792" s="22">
        <v>850</v>
      </c>
      <c r="H792" s="20">
        <v>1</v>
      </c>
      <c r="I792" s="32">
        <f>Town_Team[[#This Row],[Item quantity]]*Town_Team[[#This Row],[Selling price]]</f>
        <v>850</v>
      </c>
      <c r="J792" s="33">
        <f>IF(Town_Team[[#This Row],[Item name]]=" Jeans - Denim",Town_Team[[#This Row],[Item Amount]]*85%,Town_Team[[#This Row],[Item Amount]])</f>
        <v>850</v>
      </c>
      <c r="K792" s="39" t="str">
        <f>TEXT(Town_Team[[#This Row],[Date ]],"dddd")</f>
        <v>Friday</v>
      </c>
    </row>
    <row r="793" spans="2:11" hidden="1" x14ac:dyDescent="0.3">
      <c r="B793" s="20">
        <v>789</v>
      </c>
      <c r="C793" s="19">
        <v>44254</v>
      </c>
      <c r="D793" s="21" t="s">
        <v>9</v>
      </c>
      <c r="E793" s="21" t="s">
        <v>12</v>
      </c>
      <c r="F793" s="21" t="s">
        <v>11</v>
      </c>
      <c r="G793" s="22">
        <v>900</v>
      </c>
      <c r="H793" s="20">
        <v>1</v>
      </c>
      <c r="I793" s="32">
        <f>Town_Team[[#This Row],[Item quantity]]*Town_Team[[#This Row],[Selling price]]</f>
        <v>900</v>
      </c>
      <c r="J793" s="33">
        <f>IF(Town_Team[[#This Row],[Item name]]=" Jeans - Denim",Town_Team[[#This Row],[Item Amount]]*85%,Town_Team[[#This Row],[Item Amount]])</f>
        <v>765</v>
      </c>
      <c r="K793" s="39" t="str">
        <f>TEXT(Town_Team[[#This Row],[Date ]],"dddd")</f>
        <v>Saturday</v>
      </c>
    </row>
    <row r="794" spans="2:11" hidden="1" x14ac:dyDescent="0.3">
      <c r="B794" s="20">
        <v>790</v>
      </c>
      <c r="C794" s="19">
        <v>44255</v>
      </c>
      <c r="D794" s="21" t="s">
        <v>9</v>
      </c>
      <c r="E794" s="21" t="s">
        <v>21</v>
      </c>
      <c r="F794" s="21" t="s">
        <v>20</v>
      </c>
      <c r="G794" s="22">
        <v>1200</v>
      </c>
      <c r="H794" s="20">
        <v>2</v>
      </c>
      <c r="I794" s="32">
        <f>Town_Team[[#This Row],[Item quantity]]*Town_Team[[#This Row],[Selling price]]</f>
        <v>2400</v>
      </c>
      <c r="J794" s="33">
        <f>IF(Town_Team[[#This Row],[Item name]]=" Jeans - Denim",Town_Team[[#This Row],[Item Amount]]*85%,Town_Team[[#This Row],[Item Amount]])</f>
        <v>2400</v>
      </c>
      <c r="K794" s="39" t="str">
        <f>TEXT(Town_Team[[#This Row],[Date ]],"dddd")</f>
        <v>Sunday</v>
      </c>
    </row>
    <row r="795" spans="2:11" hidden="1" x14ac:dyDescent="0.3">
      <c r="B795" s="20">
        <v>791</v>
      </c>
      <c r="C795" s="19">
        <v>44256</v>
      </c>
      <c r="D795" s="21" t="s">
        <v>9</v>
      </c>
      <c r="E795" s="21" t="s">
        <v>16</v>
      </c>
      <c r="F795" s="21" t="s">
        <v>17</v>
      </c>
      <c r="G795" s="22">
        <v>800</v>
      </c>
      <c r="H795" s="20">
        <v>1</v>
      </c>
      <c r="I795" s="32">
        <f>Town_Team[[#This Row],[Item quantity]]*Town_Team[[#This Row],[Selling price]]</f>
        <v>800</v>
      </c>
      <c r="J795" s="33">
        <f>IF(Town_Team[[#This Row],[Item name]]=" Jeans - Denim",Town_Team[[#This Row],[Item Amount]]*85%,Town_Team[[#This Row],[Item Amount]])</f>
        <v>800</v>
      </c>
      <c r="K795" s="39" t="str">
        <f>TEXT(Town_Team[[#This Row],[Date ]],"dddd")</f>
        <v>Monday</v>
      </c>
    </row>
    <row r="796" spans="2:11" hidden="1" x14ac:dyDescent="0.3">
      <c r="B796" s="20">
        <v>792</v>
      </c>
      <c r="C796" s="19">
        <v>44257</v>
      </c>
      <c r="D796" s="21" t="s">
        <v>9</v>
      </c>
      <c r="E796" s="21" t="s">
        <v>16</v>
      </c>
      <c r="F796" s="21" t="s">
        <v>17</v>
      </c>
      <c r="G796" s="22">
        <v>800</v>
      </c>
      <c r="H796" s="20">
        <v>1</v>
      </c>
      <c r="I796" s="32">
        <f>Town_Team[[#This Row],[Item quantity]]*Town_Team[[#This Row],[Selling price]]</f>
        <v>800</v>
      </c>
      <c r="J796" s="33">
        <f>IF(Town_Team[[#This Row],[Item name]]=" Jeans - Denim",Town_Team[[#This Row],[Item Amount]]*85%,Town_Team[[#This Row],[Item Amount]])</f>
        <v>800</v>
      </c>
      <c r="K796" s="39" t="str">
        <f>TEXT(Town_Team[[#This Row],[Date ]],"dddd")</f>
        <v>Tuesday</v>
      </c>
    </row>
    <row r="797" spans="2:11" hidden="1" x14ac:dyDescent="0.3">
      <c r="B797" s="20">
        <v>793</v>
      </c>
      <c r="C797" s="19">
        <v>44258</v>
      </c>
      <c r="D797" s="21" t="s">
        <v>9</v>
      </c>
      <c r="E797" s="21" t="s">
        <v>14</v>
      </c>
      <c r="F797" s="21" t="s">
        <v>11</v>
      </c>
      <c r="G797" s="22">
        <v>900</v>
      </c>
      <c r="H797" s="20">
        <v>1</v>
      </c>
      <c r="I797" s="32">
        <f>Town_Team[[#This Row],[Item quantity]]*Town_Team[[#This Row],[Selling price]]</f>
        <v>900</v>
      </c>
      <c r="J797" s="33">
        <f>IF(Town_Team[[#This Row],[Item name]]=" Jeans - Denim",Town_Team[[#This Row],[Item Amount]]*85%,Town_Team[[#This Row],[Item Amount]])</f>
        <v>900</v>
      </c>
      <c r="K797" s="39" t="str">
        <f>TEXT(Town_Team[[#This Row],[Date ]],"dddd")</f>
        <v>Wednesday</v>
      </c>
    </row>
    <row r="798" spans="2:11" hidden="1" x14ac:dyDescent="0.3">
      <c r="B798" s="20">
        <v>794</v>
      </c>
      <c r="C798" s="19">
        <v>44259</v>
      </c>
      <c r="D798" s="21" t="s">
        <v>9</v>
      </c>
      <c r="E798" s="21" t="s">
        <v>16</v>
      </c>
      <c r="F798" s="21" t="s">
        <v>17</v>
      </c>
      <c r="G798" s="22">
        <v>800</v>
      </c>
      <c r="H798" s="20">
        <v>1</v>
      </c>
      <c r="I798" s="32">
        <f>Town_Team[[#This Row],[Item quantity]]*Town_Team[[#This Row],[Selling price]]</f>
        <v>800</v>
      </c>
      <c r="J798" s="33">
        <f>IF(Town_Team[[#This Row],[Item name]]=" Jeans - Denim",Town_Team[[#This Row],[Item Amount]]*85%,Town_Team[[#This Row],[Item Amount]])</f>
        <v>800</v>
      </c>
      <c r="K798" s="39" t="str">
        <f>TEXT(Town_Team[[#This Row],[Date ]],"dddd")</f>
        <v>Thursday</v>
      </c>
    </row>
    <row r="799" spans="2:11" hidden="1" x14ac:dyDescent="0.3">
      <c r="B799" s="20">
        <v>795</v>
      </c>
      <c r="C799" s="19">
        <v>44260</v>
      </c>
      <c r="D799" s="21" t="s">
        <v>9</v>
      </c>
      <c r="E799" s="21" t="s">
        <v>18</v>
      </c>
      <c r="F799" s="21" t="s">
        <v>17</v>
      </c>
      <c r="G799" s="22">
        <v>600</v>
      </c>
      <c r="H799" s="20">
        <v>1</v>
      </c>
      <c r="I799" s="32">
        <f>Town_Team[[#This Row],[Item quantity]]*Town_Team[[#This Row],[Selling price]]</f>
        <v>600</v>
      </c>
      <c r="J799" s="33">
        <f>IF(Town_Team[[#This Row],[Item name]]=" Jeans - Denim",Town_Team[[#This Row],[Item Amount]]*85%,Town_Team[[#This Row],[Item Amount]])</f>
        <v>600</v>
      </c>
      <c r="K799" s="39" t="str">
        <f>TEXT(Town_Team[[#This Row],[Date ]],"dddd")</f>
        <v>Friday</v>
      </c>
    </row>
    <row r="800" spans="2:11" hidden="1" x14ac:dyDescent="0.3">
      <c r="B800" s="20">
        <v>796</v>
      </c>
      <c r="C800" s="19">
        <v>44261</v>
      </c>
      <c r="D800" s="21" t="s">
        <v>9</v>
      </c>
      <c r="E800" s="21" t="s">
        <v>12</v>
      </c>
      <c r="F800" s="21" t="s">
        <v>11</v>
      </c>
      <c r="G800" s="22">
        <v>900</v>
      </c>
      <c r="H800" s="20">
        <v>3</v>
      </c>
      <c r="I800" s="32">
        <f>Town_Team[[#This Row],[Item quantity]]*Town_Team[[#This Row],[Selling price]]</f>
        <v>2700</v>
      </c>
      <c r="J800" s="33">
        <f>IF(Town_Team[[#This Row],[Item name]]=" Jeans - Denim",Town_Team[[#This Row],[Item Amount]]*85%,Town_Team[[#This Row],[Item Amount]])</f>
        <v>2295</v>
      </c>
      <c r="K800" s="39" t="str">
        <f>TEXT(Town_Team[[#This Row],[Date ]],"dddd")</f>
        <v>Saturday</v>
      </c>
    </row>
    <row r="801" spans="2:11" hidden="1" x14ac:dyDescent="0.3">
      <c r="B801" s="20">
        <v>797</v>
      </c>
      <c r="C801" s="19">
        <v>44262</v>
      </c>
      <c r="D801" s="21" t="s">
        <v>9</v>
      </c>
      <c r="E801" s="21" t="s">
        <v>18</v>
      </c>
      <c r="F801" s="21" t="s">
        <v>17</v>
      </c>
      <c r="G801" s="22">
        <v>600</v>
      </c>
      <c r="H801" s="20">
        <v>1</v>
      </c>
      <c r="I801" s="32">
        <f>Town_Team[[#This Row],[Item quantity]]*Town_Team[[#This Row],[Selling price]]</f>
        <v>600</v>
      </c>
      <c r="J801" s="33">
        <f>IF(Town_Team[[#This Row],[Item name]]=" Jeans - Denim",Town_Team[[#This Row],[Item Amount]]*85%,Town_Team[[#This Row],[Item Amount]])</f>
        <v>600</v>
      </c>
      <c r="K801" s="39" t="str">
        <f>TEXT(Town_Team[[#This Row],[Date ]],"dddd")</f>
        <v>Sunday</v>
      </c>
    </row>
    <row r="802" spans="2:11" hidden="1" x14ac:dyDescent="0.3">
      <c r="B802" s="20">
        <v>798</v>
      </c>
      <c r="C802" s="19">
        <v>44263</v>
      </c>
      <c r="D802" s="21" t="s">
        <v>9</v>
      </c>
      <c r="E802" s="21" t="s">
        <v>16</v>
      </c>
      <c r="F802" s="21" t="s">
        <v>17</v>
      </c>
      <c r="G802" s="22">
        <v>800</v>
      </c>
      <c r="H802" s="20">
        <v>1</v>
      </c>
      <c r="I802" s="32">
        <f>Town_Team[[#This Row],[Item quantity]]*Town_Team[[#This Row],[Selling price]]</f>
        <v>800</v>
      </c>
      <c r="J802" s="33">
        <f>IF(Town_Team[[#This Row],[Item name]]=" Jeans - Denim",Town_Team[[#This Row],[Item Amount]]*85%,Town_Team[[#This Row],[Item Amount]])</f>
        <v>800</v>
      </c>
      <c r="K802" s="39" t="str">
        <f>TEXT(Town_Team[[#This Row],[Date ]],"dddd")</f>
        <v>Monday</v>
      </c>
    </row>
    <row r="803" spans="2:11" hidden="1" x14ac:dyDescent="0.3">
      <c r="B803" s="20">
        <v>799</v>
      </c>
      <c r="C803" s="19">
        <v>44264</v>
      </c>
      <c r="D803" s="21" t="s">
        <v>9</v>
      </c>
      <c r="E803" s="21" t="s">
        <v>18</v>
      </c>
      <c r="F803" s="21" t="s">
        <v>17</v>
      </c>
      <c r="G803" s="22">
        <v>600</v>
      </c>
      <c r="H803" s="20">
        <v>1</v>
      </c>
      <c r="I803" s="32">
        <f>Town_Team[[#This Row],[Item quantity]]*Town_Team[[#This Row],[Selling price]]</f>
        <v>600</v>
      </c>
      <c r="J803" s="33">
        <f>IF(Town_Team[[#This Row],[Item name]]=" Jeans - Denim",Town_Team[[#This Row],[Item Amount]]*85%,Town_Team[[#This Row],[Item Amount]])</f>
        <v>600</v>
      </c>
      <c r="K803" s="39" t="str">
        <f>TEXT(Town_Team[[#This Row],[Date ]],"dddd")</f>
        <v>Tuesday</v>
      </c>
    </row>
    <row r="804" spans="2:11" hidden="1" x14ac:dyDescent="0.3">
      <c r="B804" s="20">
        <v>800</v>
      </c>
      <c r="C804" s="19">
        <v>44265</v>
      </c>
      <c r="D804" s="21" t="s">
        <v>9</v>
      </c>
      <c r="E804" s="21" t="s">
        <v>10</v>
      </c>
      <c r="F804" s="21" t="s">
        <v>11</v>
      </c>
      <c r="G804" s="22">
        <v>1100</v>
      </c>
      <c r="H804" s="20">
        <v>1</v>
      </c>
      <c r="I804" s="32">
        <f>Town_Team[[#This Row],[Item quantity]]*Town_Team[[#This Row],[Selling price]]</f>
        <v>1100</v>
      </c>
      <c r="J804" s="33">
        <f>IF(Town_Team[[#This Row],[Item name]]=" Jeans - Denim",Town_Team[[#This Row],[Item Amount]]*85%,Town_Team[[#This Row],[Item Amount]])</f>
        <v>1100</v>
      </c>
      <c r="K804" s="39" t="str">
        <f>TEXT(Town_Team[[#This Row],[Date ]],"dddd")</f>
        <v>Wednesday</v>
      </c>
    </row>
    <row r="805" spans="2:11" hidden="1" x14ac:dyDescent="0.3">
      <c r="B805" s="20">
        <v>801</v>
      </c>
      <c r="C805" s="19">
        <v>44266</v>
      </c>
      <c r="D805" s="21" t="s">
        <v>9</v>
      </c>
      <c r="E805" s="21" t="s">
        <v>14</v>
      </c>
      <c r="F805" s="21" t="s">
        <v>11</v>
      </c>
      <c r="G805" s="22">
        <v>900</v>
      </c>
      <c r="H805" s="20">
        <v>1</v>
      </c>
      <c r="I805" s="32">
        <f>Town_Team[[#This Row],[Item quantity]]*Town_Team[[#This Row],[Selling price]]</f>
        <v>900</v>
      </c>
      <c r="J805" s="33">
        <f>IF(Town_Team[[#This Row],[Item name]]=" Jeans - Denim",Town_Team[[#This Row],[Item Amount]]*85%,Town_Team[[#This Row],[Item Amount]])</f>
        <v>900</v>
      </c>
      <c r="K805" s="39" t="str">
        <f>TEXT(Town_Team[[#This Row],[Date ]],"dddd")</f>
        <v>Thursday</v>
      </c>
    </row>
    <row r="806" spans="2:11" hidden="1" x14ac:dyDescent="0.3">
      <c r="B806" s="20">
        <v>802</v>
      </c>
      <c r="C806" s="19">
        <v>44267</v>
      </c>
      <c r="D806" s="21" t="s">
        <v>9</v>
      </c>
      <c r="E806" s="21" t="s">
        <v>10</v>
      </c>
      <c r="F806" s="21" t="s">
        <v>11</v>
      </c>
      <c r="G806" s="22">
        <v>1100</v>
      </c>
      <c r="H806" s="20">
        <v>1</v>
      </c>
      <c r="I806" s="32">
        <f>Town_Team[[#This Row],[Item quantity]]*Town_Team[[#This Row],[Selling price]]</f>
        <v>1100</v>
      </c>
      <c r="J806" s="33">
        <f>IF(Town_Team[[#This Row],[Item name]]=" Jeans - Denim",Town_Team[[#This Row],[Item Amount]]*85%,Town_Team[[#This Row],[Item Amount]])</f>
        <v>1100</v>
      </c>
      <c r="K806" s="39" t="str">
        <f>TEXT(Town_Team[[#This Row],[Date ]],"dddd")</f>
        <v>Friday</v>
      </c>
    </row>
    <row r="807" spans="2:11" hidden="1" x14ac:dyDescent="0.3">
      <c r="B807" s="20">
        <v>803</v>
      </c>
      <c r="C807" s="19">
        <v>44268</v>
      </c>
      <c r="D807" s="21" t="s">
        <v>9</v>
      </c>
      <c r="E807" s="21" t="s">
        <v>10</v>
      </c>
      <c r="F807" s="21" t="s">
        <v>11</v>
      </c>
      <c r="G807" s="22">
        <v>1100</v>
      </c>
      <c r="H807" s="20">
        <v>1</v>
      </c>
      <c r="I807" s="32">
        <f>Town_Team[[#This Row],[Item quantity]]*Town_Team[[#This Row],[Selling price]]</f>
        <v>1100</v>
      </c>
      <c r="J807" s="33">
        <f>IF(Town_Team[[#This Row],[Item name]]=" Jeans - Denim",Town_Team[[#This Row],[Item Amount]]*85%,Town_Team[[#This Row],[Item Amount]])</f>
        <v>1100</v>
      </c>
      <c r="K807" s="39" t="str">
        <f>TEXT(Town_Team[[#This Row],[Date ]],"dddd")</f>
        <v>Saturday</v>
      </c>
    </row>
    <row r="808" spans="2:11" hidden="1" x14ac:dyDescent="0.3">
      <c r="B808" s="20">
        <v>804</v>
      </c>
      <c r="C808" s="19">
        <v>44269</v>
      </c>
      <c r="D808" s="21" t="s">
        <v>9</v>
      </c>
      <c r="E808" s="21" t="s">
        <v>21</v>
      </c>
      <c r="F808" s="21" t="s">
        <v>20</v>
      </c>
      <c r="G808" s="22">
        <v>1200</v>
      </c>
      <c r="H808" s="20">
        <v>1</v>
      </c>
      <c r="I808" s="32">
        <f>Town_Team[[#This Row],[Item quantity]]*Town_Team[[#This Row],[Selling price]]</f>
        <v>1200</v>
      </c>
      <c r="J808" s="33">
        <f>IF(Town_Team[[#This Row],[Item name]]=" Jeans - Denim",Town_Team[[#This Row],[Item Amount]]*85%,Town_Team[[#This Row],[Item Amount]])</f>
        <v>1200</v>
      </c>
      <c r="K808" s="39" t="str">
        <f>TEXT(Town_Team[[#This Row],[Date ]],"dddd")</f>
        <v>Sunday</v>
      </c>
    </row>
    <row r="809" spans="2:11" hidden="1" x14ac:dyDescent="0.3">
      <c r="B809" s="20">
        <v>805</v>
      </c>
      <c r="C809" s="19">
        <v>44270</v>
      </c>
      <c r="D809" s="21" t="s">
        <v>9</v>
      </c>
      <c r="E809" s="21" t="s">
        <v>21</v>
      </c>
      <c r="F809" s="21" t="s">
        <v>20</v>
      </c>
      <c r="G809" s="22">
        <v>1200</v>
      </c>
      <c r="H809" s="20">
        <v>1</v>
      </c>
      <c r="I809" s="32">
        <f>Town_Team[[#This Row],[Item quantity]]*Town_Team[[#This Row],[Selling price]]</f>
        <v>1200</v>
      </c>
      <c r="J809" s="33">
        <f>IF(Town_Team[[#This Row],[Item name]]=" Jeans - Denim",Town_Team[[#This Row],[Item Amount]]*85%,Town_Team[[#This Row],[Item Amount]])</f>
        <v>1200</v>
      </c>
      <c r="K809" s="39" t="str">
        <f>TEXT(Town_Team[[#This Row],[Date ]],"dddd")</f>
        <v>Monday</v>
      </c>
    </row>
    <row r="810" spans="2:11" hidden="1" x14ac:dyDescent="0.3">
      <c r="B810" s="20">
        <v>806</v>
      </c>
      <c r="C810" s="19">
        <v>44271</v>
      </c>
      <c r="D810" s="21" t="s">
        <v>9</v>
      </c>
      <c r="E810" s="21" t="s">
        <v>10</v>
      </c>
      <c r="F810" s="21" t="s">
        <v>11</v>
      </c>
      <c r="G810" s="22">
        <v>1100</v>
      </c>
      <c r="H810" s="20">
        <v>1</v>
      </c>
      <c r="I810" s="32">
        <f>Town_Team[[#This Row],[Item quantity]]*Town_Team[[#This Row],[Selling price]]</f>
        <v>1100</v>
      </c>
      <c r="J810" s="33">
        <f>IF(Town_Team[[#This Row],[Item name]]=" Jeans - Denim",Town_Team[[#This Row],[Item Amount]]*85%,Town_Team[[#This Row],[Item Amount]])</f>
        <v>1100</v>
      </c>
      <c r="K810" s="39" t="str">
        <f>TEXT(Town_Team[[#This Row],[Date ]],"dddd")</f>
        <v>Tuesday</v>
      </c>
    </row>
    <row r="811" spans="2:11" hidden="1" x14ac:dyDescent="0.3">
      <c r="B811" s="20">
        <v>807</v>
      </c>
      <c r="C811" s="19">
        <v>44272</v>
      </c>
      <c r="D811" s="21" t="s">
        <v>9</v>
      </c>
      <c r="E811" s="21" t="s">
        <v>10</v>
      </c>
      <c r="F811" s="21" t="s">
        <v>11</v>
      </c>
      <c r="G811" s="22">
        <v>1100</v>
      </c>
      <c r="H811" s="20">
        <v>1</v>
      </c>
      <c r="I811" s="32">
        <f>Town_Team[[#This Row],[Item quantity]]*Town_Team[[#This Row],[Selling price]]</f>
        <v>1100</v>
      </c>
      <c r="J811" s="33">
        <f>IF(Town_Team[[#This Row],[Item name]]=" Jeans - Denim",Town_Team[[#This Row],[Item Amount]]*85%,Town_Team[[#This Row],[Item Amount]])</f>
        <v>1100</v>
      </c>
      <c r="K811" s="39" t="str">
        <f>TEXT(Town_Team[[#This Row],[Date ]],"dddd")</f>
        <v>Wednesday</v>
      </c>
    </row>
    <row r="812" spans="2:11" hidden="1" x14ac:dyDescent="0.3">
      <c r="B812" s="20">
        <v>808</v>
      </c>
      <c r="C812" s="19">
        <v>44273</v>
      </c>
      <c r="D812" s="21" t="s">
        <v>9</v>
      </c>
      <c r="E812" s="21" t="s">
        <v>22</v>
      </c>
      <c r="F812" s="21" t="s">
        <v>23</v>
      </c>
      <c r="G812" s="22">
        <v>900</v>
      </c>
      <c r="H812" s="20">
        <v>1</v>
      </c>
      <c r="I812" s="32">
        <f>Town_Team[[#This Row],[Item quantity]]*Town_Team[[#This Row],[Selling price]]</f>
        <v>900</v>
      </c>
      <c r="J812" s="33">
        <f>IF(Town_Team[[#This Row],[Item name]]=" Jeans - Denim",Town_Team[[#This Row],[Item Amount]]*85%,Town_Team[[#This Row],[Item Amount]])</f>
        <v>900</v>
      </c>
      <c r="K812" s="39" t="str">
        <f>TEXT(Town_Team[[#This Row],[Date ]],"dddd")</f>
        <v>Thursday</v>
      </c>
    </row>
    <row r="813" spans="2:11" hidden="1" x14ac:dyDescent="0.3">
      <c r="B813" s="20">
        <v>809</v>
      </c>
      <c r="C813" s="19">
        <v>44274</v>
      </c>
      <c r="D813" s="21" t="s">
        <v>9</v>
      </c>
      <c r="E813" s="21" t="s">
        <v>14</v>
      </c>
      <c r="F813" s="21" t="s">
        <v>11</v>
      </c>
      <c r="G813" s="22">
        <v>900</v>
      </c>
      <c r="H813" s="20">
        <v>1</v>
      </c>
      <c r="I813" s="32">
        <f>Town_Team[[#This Row],[Item quantity]]*Town_Team[[#This Row],[Selling price]]</f>
        <v>900</v>
      </c>
      <c r="J813" s="33">
        <f>IF(Town_Team[[#This Row],[Item name]]=" Jeans - Denim",Town_Team[[#This Row],[Item Amount]]*85%,Town_Team[[#This Row],[Item Amount]])</f>
        <v>900</v>
      </c>
      <c r="K813" s="39" t="str">
        <f>TEXT(Town_Team[[#This Row],[Date ]],"dddd")</f>
        <v>Friday</v>
      </c>
    </row>
    <row r="814" spans="2:11" hidden="1" x14ac:dyDescent="0.3">
      <c r="B814" s="20">
        <v>810</v>
      </c>
      <c r="C814" s="19">
        <v>44275</v>
      </c>
      <c r="D814" s="21" t="s">
        <v>9</v>
      </c>
      <c r="E814" s="21" t="s">
        <v>22</v>
      </c>
      <c r="F814" s="21" t="s">
        <v>23</v>
      </c>
      <c r="G814" s="22">
        <v>800</v>
      </c>
      <c r="H814" s="20">
        <v>1</v>
      </c>
      <c r="I814" s="32">
        <f>Town_Team[[#This Row],[Item quantity]]*Town_Team[[#This Row],[Selling price]]</f>
        <v>800</v>
      </c>
      <c r="J814" s="33">
        <f>IF(Town_Team[[#This Row],[Item name]]=" Jeans - Denim",Town_Team[[#This Row],[Item Amount]]*85%,Town_Team[[#This Row],[Item Amount]])</f>
        <v>800</v>
      </c>
      <c r="K814" s="39" t="str">
        <f>TEXT(Town_Team[[#This Row],[Date ]],"dddd")</f>
        <v>Saturday</v>
      </c>
    </row>
    <row r="815" spans="2:11" hidden="1" x14ac:dyDescent="0.3">
      <c r="B815" s="20">
        <v>811</v>
      </c>
      <c r="C815" s="19">
        <v>44276</v>
      </c>
      <c r="D815" s="21" t="s">
        <v>9</v>
      </c>
      <c r="E815" s="21" t="s">
        <v>18</v>
      </c>
      <c r="F815" s="21" t="s">
        <v>17</v>
      </c>
      <c r="G815" s="22">
        <v>600</v>
      </c>
      <c r="H815" s="20">
        <v>1</v>
      </c>
      <c r="I815" s="32">
        <f>Town_Team[[#This Row],[Item quantity]]*Town_Team[[#This Row],[Selling price]]</f>
        <v>600</v>
      </c>
      <c r="J815" s="33">
        <f>IF(Town_Team[[#This Row],[Item name]]=" Jeans - Denim",Town_Team[[#This Row],[Item Amount]]*85%,Town_Team[[#This Row],[Item Amount]])</f>
        <v>600</v>
      </c>
      <c r="K815" s="39" t="str">
        <f>TEXT(Town_Team[[#This Row],[Date ]],"dddd")</f>
        <v>Sunday</v>
      </c>
    </row>
    <row r="816" spans="2:11" hidden="1" x14ac:dyDescent="0.3">
      <c r="B816" s="20">
        <v>812</v>
      </c>
      <c r="C816" s="19">
        <v>44277</v>
      </c>
      <c r="D816" s="21" t="s">
        <v>9</v>
      </c>
      <c r="E816" s="21" t="s">
        <v>22</v>
      </c>
      <c r="F816" s="21" t="s">
        <v>23</v>
      </c>
      <c r="G816" s="22">
        <v>800</v>
      </c>
      <c r="H816" s="20">
        <v>1</v>
      </c>
      <c r="I816" s="32">
        <f>Town_Team[[#This Row],[Item quantity]]*Town_Team[[#This Row],[Selling price]]</f>
        <v>800</v>
      </c>
      <c r="J816" s="33">
        <f>IF(Town_Team[[#This Row],[Item name]]=" Jeans - Denim",Town_Team[[#This Row],[Item Amount]]*85%,Town_Team[[#This Row],[Item Amount]])</f>
        <v>800</v>
      </c>
      <c r="K816" s="39" t="str">
        <f>TEXT(Town_Team[[#This Row],[Date ]],"dddd")</f>
        <v>Monday</v>
      </c>
    </row>
    <row r="817" spans="2:11" hidden="1" x14ac:dyDescent="0.3">
      <c r="B817" s="20">
        <v>813</v>
      </c>
      <c r="C817" s="19">
        <v>44278</v>
      </c>
      <c r="D817" s="21" t="s">
        <v>9</v>
      </c>
      <c r="E817" s="21" t="s">
        <v>14</v>
      </c>
      <c r="F817" s="21" t="s">
        <v>11</v>
      </c>
      <c r="G817" s="22">
        <v>900</v>
      </c>
      <c r="H817" s="20">
        <v>1</v>
      </c>
      <c r="I817" s="32">
        <f>Town_Team[[#This Row],[Item quantity]]*Town_Team[[#This Row],[Selling price]]</f>
        <v>900</v>
      </c>
      <c r="J817" s="33">
        <f>IF(Town_Team[[#This Row],[Item name]]=" Jeans - Denim",Town_Team[[#This Row],[Item Amount]]*85%,Town_Team[[#This Row],[Item Amount]])</f>
        <v>900</v>
      </c>
      <c r="K817" s="39" t="str">
        <f>TEXT(Town_Team[[#This Row],[Date ]],"dddd")</f>
        <v>Tuesday</v>
      </c>
    </row>
    <row r="818" spans="2:11" hidden="1" x14ac:dyDescent="0.3">
      <c r="B818" s="20">
        <v>814</v>
      </c>
      <c r="C818" s="19">
        <v>44279</v>
      </c>
      <c r="D818" s="21" t="s">
        <v>9</v>
      </c>
      <c r="E818" s="21" t="s">
        <v>21</v>
      </c>
      <c r="F818" s="21" t="s">
        <v>20</v>
      </c>
      <c r="G818" s="22">
        <v>1200</v>
      </c>
      <c r="H818" s="20">
        <v>1</v>
      </c>
      <c r="I818" s="32">
        <f>Town_Team[[#This Row],[Item quantity]]*Town_Team[[#This Row],[Selling price]]</f>
        <v>1200</v>
      </c>
      <c r="J818" s="33">
        <f>IF(Town_Team[[#This Row],[Item name]]=" Jeans - Denim",Town_Team[[#This Row],[Item Amount]]*85%,Town_Team[[#This Row],[Item Amount]])</f>
        <v>1200</v>
      </c>
      <c r="K818" s="39" t="str">
        <f>TEXT(Town_Team[[#This Row],[Date ]],"dddd")</f>
        <v>Wednesday</v>
      </c>
    </row>
    <row r="819" spans="2:11" hidden="1" x14ac:dyDescent="0.3">
      <c r="B819" s="20">
        <v>815</v>
      </c>
      <c r="C819" s="19">
        <v>44280</v>
      </c>
      <c r="D819" s="21" t="s">
        <v>9</v>
      </c>
      <c r="E819" s="21" t="s">
        <v>22</v>
      </c>
      <c r="F819" s="21" t="s">
        <v>23</v>
      </c>
      <c r="G819" s="22">
        <v>800</v>
      </c>
      <c r="H819" s="20">
        <v>1</v>
      </c>
      <c r="I819" s="32">
        <f>Town_Team[[#This Row],[Item quantity]]*Town_Team[[#This Row],[Selling price]]</f>
        <v>800</v>
      </c>
      <c r="J819" s="33">
        <f>IF(Town_Team[[#This Row],[Item name]]=" Jeans - Denim",Town_Team[[#This Row],[Item Amount]]*85%,Town_Team[[#This Row],[Item Amount]])</f>
        <v>800</v>
      </c>
      <c r="K819" s="39" t="str">
        <f>TEXT(Town_Team[[#This Row],[Date ]],"dddd")</f>
        <v>Thursday</v>
      </c>
    </row>
    <row r="820" spans="2:11" hidden="1" x14ac:dyDescent="0.3">
      <c r="B820" s="20">
        <v>816</v>
      </c>
      <c r="C820" s="19">
        <v>44281</v>
      </c>
      <c r="D820" s="21" t="s">
        <v>9</v>
      </c>
      <c r="E820" s="21" t="s">
        <v>12</v>
      </c>
      <c r="F820" s="21" t="s">
        <v>11</v>
      </c>
      <c r="G820" s="22">
        <v>900</v>
      </c>
      <c r="H820" s="20">
        <v>1</v>
      </c>
      <c r="I820" s="32">
        <f>Town_Team[[#This Row],[Item quantity]]*Town_Team[[#This Row],[Selling price]]</f>
        <v>900</v>
      </c>
      <c r="J820" s="33">
        <f>IF(Town_Team[[#This Row],[Item name]]=" Jeans - Denim",Town_Team[[#This Row],[Item Amount]]*85%,Town_Team[[#This Row],[Item Amount]])</f>
        <v>765</v>
      </c>
      <c r="K820" s="39" t="str">
        <f>TEXT(Town_Team[[#This Row],[Date ]],"dddd")</f>
        <v>Friday</v>
      </c>
    </row>
    <row r="821" spans="2:11" hidden="1" x14ac:dyDescent="0.3">
      <c r="B821" s="20">
        <v>817</v>
      </c>
      <c r="C821" s="19">
        <v>44282</v>
      </c>
      <c r="D821" s="21" t="s">
        <v>9</v>
      </c>
      <c r="E821" s="21" t="s">
        <v>21</v>
      </c>
      <c r="F821" s="21" t="s">
        <v>20</v>
      </c>
      <c r="G821" s="22">
        <v>1200</v>
      </c>
      <c r="H821" s="20">
        <v>1</v>
      </c>
      <c r="I821" s="32">
        <f>Town_Team[[#This Row],[Item quantity]]*Town_Team[[#This Row],[Selling price]]</f>
        <v>1200</v>
      </c>
      <c r="J821" s="33">
        <f>IF(Town_Team[[#This Row],[Item name]]=" Jeans - Denim",Town_Team[[#This Row],[Item Amount]]*85%,Town_Team[[#This Row],[Item Amount]])</f>
        <v>1200</v>
      </c>
      <c r="K821" s="39" t="str">
        <f>TEXT(Town_Team[[#This Row],[Date ]],"dddd")</f>
        <v>Saturday</v>
      </c>
    </row>
    <row r="822" spans="2:11" hidden="1" x14ac:dyDescent="0.3">
      <c r="B822" s="20">
        <v>818</v>
      </c>
      <c r="C822" s="19">
        <v>44283</v>
      </c>
      <c r="D822" s="21" t="s">
        <v>9</v>
      </c>
      <c r="E822" s="21" t="s">
        <v>10</v>
      </c>
      <c r="F822" s="21" t="s">
        <v>11</v>
      </c>
      <c r="G822" s="22">
        <v>1100</v>
      </c>
      <c r="H822" s="20">
        <v>1</v>
      </c>
      <c r="I822" s="32">
        <f>Town_Team[[#This Row],[Item quantity]]*Town_Team[[#This Row],[Selling price]]</f>
        <v>1100</v>
      </c>
      <c r="J822" s="33">
        <f>IF(Town_Team[[#This Row],[Item name]]=" Jeans - Denim",Town_Team[[#This Row],[Item Amount]]*85%,Town_Team[[#This Row],[Item Amount]])</f>
        <v>1100</v>
      </c>
      <c r="K822" s="39" t="str">
        <f>TEXT(Town_Team[[#This Row],[Date ]],"dddd")</f>
        <v>Sunday</v>
      </c>
    </row>
    <row r="823" spans="2:11" hidden="1" x14ac:dyDescent="0.3">
      <c r="B823" s="20">
        <v>819</v>
      </c>
      <c r="C823" s="19">
        <v>44284</v>
      </c>
      <c r="D823" s="21" t="s">
        <v>9</v>
      </c>
      <c r="E823" s="21" t="s">
        <v>21</v>
      </c>
      <c r="F823" s="21" t="s">
        <v>20</v>
      </c>
      <c r="G823" s="22">
        <v>1200</v>
      </c>
      <c r="H823" s="20">
        <v>1</v>
      </c>
      <c r="I823" s="32">
        <f>Town_Team[[#This Row],[Item quantity]]*Town_Team[[#This Row],[Selling price]]</f>
        <v>1200</v>
      </c>
      <c r="J823" s="33">
        <f>IF(Town_Team[[#This Row],[Item name]]=" Jeans - Denim",Town_Team[[#This Row],[Item Amount]]*85%,Town_Team[[#This Row],[Item Amount]])</f>
        <v>1200</v>
      </c>
      <c r="K823" s="39" t="str">
        <f>TEXT(Town_Team[[#This Row],[Date ]],"dddd")</f>
        <v>Monday</v>
      </c>
    </row>
    <row r="824" spans="2:11" hidden="1" x14ac:dyDescent="0.3">
      <c r="B824" s="20">
        <v>820</v>
      </c>
      <c r="C824" s="19">
        <v>44285</v>
      </c>
      <c r="D824" s="21" t="s">
        <v>9</v>
      </c>
      <c r="E824" s="21" t="s">
        <v>14</v>
      </c>
      <c r="F824" s="21" t="s">
        <v>11</v>
      </c>
      <c r="G824" s="22">
        <v>900</v>
      </c>
      <c r="H824" s="20">
        <v>1</v>
      </c>
      <c r="I824" s="32">
        <f>Town_Team[[#This Row],[Item quantity]]*Town_Team[[#This Row],[Selling price]]</f>
        <v>900</v>
      </c>
      <c r="J824" s="33">
        <f>IF(Town_Team[[#This Row],[Item name]]=" Jeans - Denim",Town_Team[[#This Row],[Item Amount]]*85%,Town_Team[[#This Row],[Item Amount]])</f>
        <v>900</v>
      </c>
      <c r="K824" s="39" t="str">
        <f>TEXT(Town_Team[[#This Row],[Date ]],"dddd")</f>
        <v>Tuesday</v>
      </c>
    </row>
    <row r="825" spans="2:11" hidden="1" x14ac:dyDescent="0.3">
      <c r="B825" s="20">
        <v>821</v>
      </c>
      <c r="C825" s="19">
        <v>44286</v>
      </c>
      <c r="D825" s="21" t="s">
        <v>9</v>
      </c>
      <c r="E825" s="21" t="s">
        <v>10</v>
      </c>
      <c r="F825" s="21" t="s">
        <v>11</v>
      </c>
      <c r="G825" s="22">
        <v>1100</v>
      </c>
      <c r="H825" s="20">
        <v>2</v>
      </c>
      <c r="I825" s="32">
        <f>Town_Team[[#This Row],[Item quantity]]*Town_Team[[#This Row],[Selling price]]</f>
        <v>2200</v>
      </c>
      <c r="J825" s="33">
        <f>IF(Town_Team[[#This Row],[Item name]]=" Jeans - Denim",Town_Team[[#This Row],[Item Amount]]*85%,Town_Team[[#This Row],[Item Amount]])</f>
        <v>2200</v>
      </c>
      <c r="K825" s="39" t="str">
        <f>TEXT(Town_Team[[#This Row],[Date ]],"dddd")</f>
        <v>Wednesday</v>
      </c>
    </row>
    <row r="826" spans="2:11" hidden="1" x14ac:dyDescent="0.3">
      <c r="B826" s="20">
        <v>822</v>
      </c>
      <c r="C826" s="19">
        <v>44287</v>
      </c>
      <c r="D826" s="21" t="s">
        <v>9</v>
      </c>
      <c r="E826" s="21" t="s">
        <v>21</v>
      </c>
      <c r="F826" s="21" t="s">
        <v>20</v>
      </c>
      <c r="G826" s="22">
        <v>1200</v>
      </c>
      <c r="H826" s="20">
        <v>1</v>
      </c>
      <c r="I826" s="32">
        <f>Town_Team[[#This Row],[Item quantity]]*Town_Team[[#This Row],[Selling price]]</f>
        <v>1200</v>
      </c>
      <c r="J826" s="33">
        <f>IF(Town_Team[[#This Row],[Item name]]=" Jeans - Denim",Town_Team[[#This Row],[Item Amount]]*85%,Town_Team[[#This Row],[Item Amount]])</f>
        <v>1200</v>
      </c>
      <c r="K826" s="39" t="str">
        <f>TEXT(Town_Team[[#This Row],[Date ]],"dddd")</f>
        <v>Thursday</v>
      </c>
    </row>
    <row r="827" spans="2:11" hidden="1" x14ac:dyDescent="0.3">
      <c r="B827" s="20">
        <v>823</v>
      </c>
      <c r="C827" s="19">
        <v>44288</v>
      </c>
      <c r="D827" s="21" t="s">
        <v>9</v>
      </c>
      <c r="E827" s="21" t="s">
        <v>10</v>
      </c>
      <c r="F827" s="21" t="s">
        <v>11</v>
      </c>
      <c r="G827" s="22">
        <v>1100</v>
      </c>
      <c r="H827" s="20">
        <v>1</v>
      </c>
      <c r="I827" s="32">
        <f>Town_Team[[#This Row],[Item quantity]]*Town_Team[[#This Row],[Selling price]]</f>
        <v>1100</v>
      </c>
      <c r="J827" s="33">
        <f>IF(Town_Team[[#This Row],[Item name]]=" Jeans - Denim",Town_Team[[#This Row],[Item Amount]]*85%,Town_Team[[#This Row],[Item Amount]])</f>
        <v>1100</v>
      </c>
      <c r="K827" s="39" t="str">
        <f>TEXT(Town_Team[[#This Row],[Date ]],"dddd")</f>
        <v>Friday</v>
      </c>
    </row>
    <row r="828" spans="2:11" hidden="1" x14ac:dyDescent="0.3">
      <c r="B828" s="20">
        <v>824</v>
      </c>
      <c r="C828" s="19">
        <v>44289</v>
      </c>
      <c r="D828" s="21" t="s">
        <v>9</v>
      </c>
      <c r="E828" s="21" t="s">
        <v>12</v>
      </c>
      <c r="F828" s="21" t="s">
        <v>11</v>
      </c>
      <c r="G828" s="22">
        <v>900</v>
      </c>
      <c r="H828" s="20">
        <v>1</v>
      </c>
      <c r="I828" s="32">
        <f>Town_Team[[#This Row],[Item quantity]]*Town_Team[[#This Row],[Selling price]]</f>
        <v>900</v>
      </c>
      <c r="J828" s="33">
        <f>IF(Town_Team[[#This Row],[Item name]]=" Jeans - Denim",Town_Team[[#This Row],[Item Amount]]*85%,Town_Team[[#This Row],[Item Amount]])</f>
        <v>765</v>
      </c>
      <c r="K828" s="39" t="str">
        <f>TEXT(Town_Team[[#This Row],[Date ]],"dddd")</f>
        <v>Saturday</v>
      </c>
    </row>
    <row r="829" spans="2:11" hidden="1" x14ac:dyDescent="0.3">
      <c r="B829" s="20">
        <v>825</v>
      </c>
      <c r="C829" s="19">
        <v>44290</v>
      </c>
      <c r="D829" s="21" t="s">
        <v>9</v>
      </c>
      <c r="E829" s="21" t="s">
        <v>18</v>
      </c>
      <c r="F829" s="21" t="s">
        <v>17</v>
      </c>
      <c r="G829" s="22">
        <v>600</v>
      </c>
      <c r="H829" s="20">
        <v>1</v>
      </c>
      <c r="I829" s="32">
        <f>Town_Team[[#This Row],[Item quantity]]*Town_Team[[#This Row],[Selling price]]</f>
        <v>600</v>
      </c>
      <c r="J829" s="33">
        <f>IF(Town_Team[[#This Row],[Item name]]=" Jeans - Denim",Town_Team[[#This Row],[Item Amount]]*85%,Town_Team[[#This Row],[Item Amount]])</f>
        <v>600</v>
      </c>
      <c r="K829" s="39" t="str">
        <f>TEXT(Town_Team[[#This Row],[Date ]],"dddd")</f>
        <v>Sunday</v>
      </c>
    </row>
    <row r="830" spans="2:11" hidden="1" x14ac:dyDescent="0.3">
      <c r="B830" s="20">
        <v>826</v>
      </c>
      <c r="C830" s="19">
        <v>44291</v>
      </c>
      <c r="D830" s="21" t="s">
        <v>9</v>
      </c>
      <c r="E830" s="21" t="s">
        <v>22</v>
      </c>
      <c r="F830" s="21" t="s">
        <v>23</v>
      </c>
      <c r="G830" s="22">
        <v>900</v>
      </c>
      <c r="H830" s="20">
        <v>1</v>
      </c>
      <c r="I830" s="32">
        <f>Town_Team[[#This Row],[Item quantity]]*Town_Team[[#This Row],[Selling price]]</f>
        <v>900</v>
      </c>
      <c r="J830" s="33">
        <f>IF(Town_Team[[#This Row],[Item name]]=" Jeans - Denim",Town_Team[[#This Row],[Item Amount]]*85%,Town_Team[[#This Row],[Item Amount]])</f>
        <v>900</v>
      </c>
      <c r="K830" s="39" t="str">
        <f>TEXT(Town_Team[[#This Row],[Date ]],"dddd")</f>
        <v>Monday</v>
      </c>
    </row>
    <row r="831" spans="2:11" hidden="1" x14ac:dyDescent="0.3">
      <c r="B831" s="20">
        <v>827</v>
      </c>
      <c r="C831" s="19">
        <v>44292</v>
      </c>
      <c r="D831" s="21" t="s">
        <v>9</v>
      </c>
      <c r="E831" s="21" t="s">
        <v>16</v>
      </c>
      <c r="F831" s="21" t="s">
        <v>17</v>
      </c>
      <c r="G831" s="22">
        <v>800</v>
      </c>
      <c r="H831" s="20">
        <v>1</v>
      </c>
      <c r="I831" s="32">
        <f>Town_Team[[#This Row],[Item quantity]]*Town_Team[[#This Row],[Selling price]]</f>
        <v>800</v>
      </c>
      <c r="J831" s="33">
        <f>IF(Town_Team[[#This Row],[Item name]]=" Jeans - Denim",Town_Team[[#This Row],[Item Amount]]*85%,Town_Team[[#This Row],[Item Amount]])</f>
        <v>800</v>
      </c>
      <c r="K831" s="39" t="str">
        <f>TEXT(Town_Team[[#This Row],[Date ]],"dddd")</f>
        <v>Tuesday</v>
      </c>
    </row>
    <row r="832" spans="2:11" hidden="1" x14ac:dyDescent="0.3">
      <c r="B832" s="20">
        <v>828</v>
      </c>
      <c r="C832" s="19">
        <v>44293</v>
      </c>
      <c r="D832" s="21" t="s">
        <v>9</v>
      </c>
      <c r="E832" s="21" t="s">
        <v>10</v>
      </c>
      <c r="F832" s="21" t="s">
        <v>11</v>
      </c>
      <c r="G832" s="22">
        <v>1100</v>
      </c>
      <c r="H832" s="20">
        <v>1</v>
      </c>
      <c r="I832" s="32">
        <f>Town_Team[[#This Row],[Item quantity]]*Town_Team[[#This Row],[Selling price]]</f>
        <v>1100</v>
      </c>
      <c r="J832" s="33">
        <f>IF(Town_Team[[#This Row],[Item name]]=" Jeans - Denim",Town_Team[[#This Row],[Item Amount]]*85%,Town_Team[[#This Row],[Item Amount]])</f>
        <v>1100</v>
      </c>
      <c r="K832" s="39" t="str">
        <f>TEXT(Town_Team[[#This Row],[Date ]],"dddd")</f>
        <v>Wednesday</v>
      </c>
    </row>
    <row r="833" spans="2:11" hidden="1" x14ac:dyDescent="0.3">
      <c r="B833" s="20">
        <v>829</v>
      </c>
      <c r="C833" s="19">
        <v>44294</v>
      </c>
      <c r="D833" s="21" t="s">
        <v>9</v>
      </c>
      <c r="E833" s="21" t="s">
        <v>14</v>
      </c>
      <c r="F833" s="21" t="s">
        <v>11</v>
      </c>
      <c r="G833" s="22">
        <v>900</v>
      </c>
      <c r="H833" s="20">
        <v>1</v>
      </c>
      <c r="I833" s="32">
        <f>Town_Team[[#This Row],[Item quantity]]*Town_Team[[#This Row],[Selling price]]</f>
        <v>900</v>
      </c>
      <c r="J833" s="33">
        <f>IF(Town_Team[[#This Row],[Item name]]=" Jeans - Denim",Town_Team[[#This Row],[Item Amount]]*85%,Town_Team[[#This Row],[Item Amount]])</f>
        <v>900</v>
      </c>
      <c r="K833" s="39" t="str">
        <f>TEXT(Town_Team[[#This Row],[Date ]],"dddd")</f>
        <v>Thursday</v>
      </c>
    </row>
    <row r="834" spans="2:11" hidden="1" x14ac:dyDescent="0.3">
      <c r="B834" s="20">
        <v>830</v>
      </c>
      <c r="C834" s="19">
        <v>44295</v>
      </c>
      <c r="D834" s="21" t="s">
        <v>9</v>
      </c>
      <c r="E834" s="21" t="s">
        <v>15</v>
      </c>
      <c r="F834" s="21" t="s">
        <v>11</v>
      </c>
      <c r="G834" s="22">
        <v>1000</v>
      </c>
      <c r="H834" s="20">
        <v>1</v>
      </c>
      <c r="I834" s="32">
        <f>Town_Team[[#This Row],[Item quantity]]*Town_Team[[#This Row],[Selling price]]</f>
        <v>1000</v>
      </c>
      <c r="J834" s="33">
        <f>IF(Town_Team[[#This Row],[Item name]]=" Jeans - Denim",Town_Team[[#This Row],[Item Amount]]*85%,Town_Team[[#This Row],[Item Amount]])</f>
        <v>1000</v>
      </c>
      <c r="K834" s="39" t="str">
        <f>TEXT(Town_Team[[#This Row],[Date ]],"dddd")</f>
        <v>Friday</v>
      </c>
    </row>
    <row r="835" spans="2:11" hidden="1" x14ac:dyDescent="0.3">
      <c r="B835" s="20">
        <v>831</v>
      </c>
      <c r="C835" s="19">
        <v>44296</v>
      </c>
      <c r="D835" s="21" t="s">
        <v>9</v>
      </c>
      <c r="E835" s="21" t="s">
        <v>19</v>
      </c>
      <c r="F835" s="21" t="s">
        <v>20</v>
      </c>
      <c r="G835" s="22">
        <v>850</v>
      </c>
      <c r="H835" s="20">
        <v>1</v>
      </c>
      <c r="I835" s="32">
        <f>Town_Team[[#This Row],[Item quantity]]*Town_Team[[#This Row],[Selling price]]</f>
        <v>850</v>
      </c>
      <c r="J835" s="33">
        <f>IF(Town_Team[[#This Row],[Item name]]=" Jeans - Denim",Town_Team[[#This Row],[Item Amount]]*85%,Town_Team[[#This Row],[Item Amount]])</f>
        <v>850</v>
      </c>
      <c r="K835" s="39" t="str">
        <f>TEXT(Town_Team[[#This Row],[Date ]],"dddd")</f>
        <v>Saturday</v>
      </c>
    </row>
    <row r="836" spans="2:11" hidden="1" x14ac:dyDescent="0.3">
      <c r="B836" s="20">
        <v>832</v>
      </c>
      <c r="C836" s="19">
        <v>44297</v>
      </c>
      <c r="D836" s="21" t="s">
        <v>9</v>
      </c>
      <c r="E836" s="21" t="s">
        <v>18</v>
      </c>
      <c r="F836" s="21" t="s">
        <v>17</v>
      </c>
      <c r="G836" s="22">
        <v>600</v>
      </c>
      <c r="H836" s="20">
        <v>1</v>
      </c>
      <c r="I836" s="32">
        <f>Town_Team[[#This Row],[Item quantity]]*Town_Team[[#This Row],[Selling price]]</f>
        <v>600</v>
      </c>
      <c r="J836" s="33">
        <f>IF(Town_Team[[#This Row],[Item name]]=" Jeans - Denim",Town_Team[[#This Row],[Item Amount]]*85%,Town_Team[[#This Row],[Item Amount]])</f>
        <v>600</v>
      </c>
      <c r="K836" s="39" t="str">
        <f>TEXT(Town_Team[[#This Row],[Date ]],"dddd")</f>
        <v>Sunday</v>
      </c>
    </row>
    <row r="837" spans="2:11" hidden="1" x14ac:dyDescent="0.3">
      <c r="B837" s="20">
        <v>833</v>
      </c>
      <c r="C837" s="19">
        <v>44298</v>
      </c>
      <c r="D837" s="21" t="s">
        <v>9</v>
      </c>
      <c r="E837" s="21" t="s">
        <v>14</v>
      </c>
      <c r="F837" s="21" t="s">
        <v>11</v>
      </c>
      <c r="G837" s="22">
        <v>900</v>
      </c>
      <c r="H837" s="20">
        <v>1</v>
      </c>
      <c r="I837" s="32">
        <f>Town_Team[[#This Row],[Item quantity]]*Town_Team[[#This Row],[Selling price]]</f>
        <v>900</v>
      </c>
      <c r="J837" s="33">
        <f>IF(Town_Team[[#This Row],[Item name]]=" Jeans - Denim",Town_Team[[#This Row],[Item Amount]]*85%,Town_Team[[#This Row],[Item Amount]])</f>
        <v>900</v>
      </c>
      <c r="K837" s="39" t="str">
        <f>TEXT(Town_Team[[#This Row],[Date ]],"dddd")</f>
        <v>Monday</v>
      </c>
    </row>
    <row r="838" spans="2:11" hidden="1" x14ac:dyDescent="0.3">
      <c r="B838" s="20">
        <v>834</v>
      </c>
      <c r="C838" s="19">
        <v>44299</v>
      </c>
      <c r="D838" s="21" t="s">
        <v>9</v>
      </c>
      <c r="E838" s="21" t="s">
        <v>15</v>
      </c>
      <c r="F838" s="21" t="s">
        <v>11</v>
      </c>
      <c r="G838" s="22">
        <v>1000</v>
      </c>
      <c r="H838" s="20">
        <v>1</v>
      </c>
      <c r="I838" s="32">
        <f>Town_Team[[#This Row],[Item quantity]]*Town_Team[[#This Row],[Selling price]]</f>
        <v>1000</v>
      </c>
      <c r="J838" s="33">
        <f>IF(Town_Team[[#This Row],[Item name]]=" Jeans - Denim",Town_Team[[#This Row],[Item Amount]]*85%,Town_Team[[#This Row],[Item Amount]])</f>
        <v>1000</v>
      </c>
      <c r="K838" s="39" t="str">
        <f>TEXT(Town_Team[[#This Row],[Date ]],"dddd")</f>
        <v>Tuesday</v>
      </c>
    </row>
    <row r="839" spans="2:11" hidden="1" x14ac:dyDescent="0.3">
      <c r="B839" s="20">
        <v>835</v>
      </c>
      <c r="C839" s="19">
        <v>44300</v>
      </c>
      <c r="D839" s="21" t="s">
        <v>9</v>
      </c>
      <c r="E839" s="21" t="s">
        <v>14</v>
      </c>
      <c r="F839" s="21" t="s">
        <v>11</v>
      </c>
      <c r="G839" s="22">
        <v>900</v>
      </c>
      <c r="H839" s="20">
        <v>1</v>
      </c>
      <c r="I839" s="32">
        <f>Town_Team[[#This Row],[Item quantity]]*Town_Team[[#This Row],[Selling price]]</f>
        <v>900</v>
      </c>
      <c r="J839" s="33">
        <f>IF(Town_Team[[#This Row],[Item name]]=" Jeans - Denim",Town_Team[[#This Row],[Item Amount]]*85%,Town_Team[[#This Row],[Item Amount]])</f>
        <v>900</v>
      </c>
      <c r="K839" s="39" t="str">
        <f>TEXT(Town_Team[[#This Row],[Date ]],"dddd")</f>
        <v>Wednesday</v>
      </c>
    </row>
    <row r="840" spans="2:11" hidden="1" x14ac:dyDescent="0.3">
      <c r="B840" s="20">
        <v>836</v>
      </c>
      <c r="C840" s="19">
        <v>44301</v>
      </c>
      <c r="D840" s="21" t="s">
        <v>9</v>
      </c>
      <c r="E840" s="21" t="s">
        <v>12</v>
      </c>
      <c r="F840" s="21" t="s">
        <v>11</v>
      </c>
      <c r="G840" s="22">
        <v>900</v>
      </c>
      <c r="H840" s="20">
        <v>1</v>
      </c>
      <c r="I840" s="32">
        <f>Town_Team[[#This Row],[Item quantity]]*Town_Team[[#This Row],[Selling price]]</f>
        <v>900</v>
      </c>
      <c r="J840" s="33">
        <f>IF(Town_Team[[#This Row],[Item name]]=" Jeans - Denim",Town_Team[[#This Row],[Item Amount]]*85%,Town_Team[[#This Row],[Item Amount]])</f>
        <v>765</v>
      </c>
      <c r="K840" s="39" t="str">
        <f>TEXT(Town_Team[[#This Row],[Date ]],"dddd")</f>
        <v>Thursday</v>
      </c>
    </row>
    <row r="841" spans="2:11" hidden="1" x14ac:dyDescent="0.3">
      <c r="B841" s="20">
        <v>837</v>
      </c>
      <c r="C841" s="19">
        <v>44302</v>
      </c>
      <c r="D841" s="21" t="s">
        <v>9</v>
      </c>
      <c r="E841" s="21" t="s">
        <v>18</v>
      </c>
      <c r="F841" s="21" t="s">
        <v>17</v>
      </c>
      <c r="G841" s="22">
        <v>600</v>
      </c>
      <c r="H841" s="20">
        <v>1</v>
      </c>
      <c r="I841" s="32">
        <f>Town_Team[[#This Row],[Item quantity]]*Town_Team[[#This Row],[Selling price]]</f>
        <v>600</v>
      </c>
      <c r="J841" s="33">
        <f>IF(Town_Team[[#This Row],[Item name]]=" Jeans - Denim",Town_Team[[#This Row],[Item Amount]]*85%,Town_Team[[#This Row],[Item Amount]])</f>
        <v>600</v>
      </c>
      <c r="K841" s="39" t="str">
        <f>TEXT(Town_Team[[#This Row],[Date ]],"dddd")</f>
        <v>Friday</v>
      </c>
    </row>
    <row r="842" spans="2:11" hidden="1" x14ac:dyDescent="0.3">
      <c r="B842" s="20">
        <v>838</v>
      </c>
      <c r="C842" s="19">
        <v>44303</v>
      </c>
      <c r="D842" s="21" t="s">
        <v>9</v>
      </c>
      <c r="E842" s="21" t="s">
        <v>22</v>
      </c>
      <c r="F842" s="21" t="s">
        <v>23</v>
      </c>
      <c r="G842" s="22">
        <v>900</v>
      </c>
      <c r="H842" s="20">
        <v>1</v>
      </c>
      <c r="I842" s="32">
        <f>Town_Team[[#This Row],[Item quantity]]*Town_Team[[#This Row],[Selling price]]</f>
        <v>900</v>
      </c>
      <c r="J842" s="33">
        <f>IF(Town_Team[[#This Row],[Item name]]=" Jeans - Denim",Town_Team[[#This Row],[Item Amount]]*85%,Town_Team[[#This Row],[Item Amount]])</f>
        <v>900</v>
      </c>
      <c r="K842" s="39" t="str">
        <f>TEXT(Town_Team[[#This Row],[Date ]],"dddd")</f>
        <v>Saturday</v>
      </c>
    </row>
    <row r="843" spans="2:11" hidden="1" x14ac:dyDescent="0.3">
      <c r="B843" s="20">
        <v>839</v>
      </c>
      <c r="C843" s="19">
        <v>44304</v>
      </c>
      <c r="D843" s="21" t="s">
        <v>9</v>
      </c>
      <c r="E843" s="21" t="s">
        <v>22</v>
      </c>
      <c r="F843" s="21" t="s">
        <v>23</v>
      </c>
      <c r="G843" s="22">
        <v>800</v>
      </c>
      <c r="H843" s="20">
        <v>1</v>
      </c>
      <c r="I843" s="32">
        <f>Town_Team[[#This Row],[Item quantity]]*Town_Team[[#This Row],[Selling price]]</f>
        <v>800</v>
      </c>
      <c r="J843" s="33">
        <f>IF(Town_Team[[#This Row],[Item name]]=" Jeans - Denim",Town_Team[[#This Row],[Item Amount]]*85%,Town_Team[[#This Row],[Item Amount]])</f>
        <v>800</v>
      </c>
      <c r="K843" s="39" t="str">
        <f>TEXT(Town_Team[[#This Row],[Date ]],"dddd")</f>
        <v>Sunday</v>
      </c>
    </row>
    <row r="844" spans="2:11" hidden="1" x14ac:dyDescent="0.3">
      <c r="B844" s="20">
        <v>840</v>
      </c>
      <c r="C844" s="19">
        <v>44305</v>
      </c>
      <c r="D844" s="21" t="s">
        <v>9</v>
      </c>
      <c r="E844" s="21" t="s">
        <v>16</v>
      </c>
      <c r="F844" s="21" t="s">
        <v>17</v>
      </c>
      <c r="G844" s="22">
        <v>800</v>
      </c>
      <c r="H844" s="20">
        <v>1</v>
      </c>
      <c r="I844" s="32">
        <f>Town_Team[[#This Row],[Item quantity]]*Town_Team[[#This Row],[Selling price]]</f>
        <v>800</v>
      </c>
      <c r="J844" s="33">
        <f>IF(Town_Team[[#This Row],[Item name]]=" Jeans - Denim",Town_Team[[#This Row],[Item Amount]]*85%,Town_Team[[#This Row],[Item Amount]])</f>
        <v>800</v>
      </c>
      <c r="K844" s="39" t="str">
        <f>TEXT(Town_Team[[#This Row],[Date ]],"dddd")</f>
        <v>Monday</v>
      </c>
    </row>
    <row r="845" spans="2:11" hidden="1" x14ac:dyDescent="0.3">
      <c r="B845" s="20">
        <v>841</v>
      </c>
      <c r="C845" s="19">
        <v>44306</v>
      </c>
      <c r="D845" s="21" t="s">
        <v>9</v>
      </c>
      <c r="E845" s="21" t="s">
        <v>18</v>
      </c>
      <c r="F845" s="21" t="s">
        <v>17</v>
      </c>
      <c r="G845" s="22">
        <v>600</v>
      </c>
      <c r="H845" s="20">
        <v>1</v>
      </c>
      <c r="I845" s="32">
        <f>Town_Team[[#This Row],[Item quantity]]*Town_Team[[#This Row],[Selling price]]</f>
        <v>600</v>
      </c>
      <c r="J845" s="33">
        <f>IF(Town_Team[[#This Row],[Item name]]=" Jeans - Denim",Town_Team[[#This Row],[Item Amount]]*85%,Town_Team[[#This Row],[Item Amount]])</f>
        <v>600</v>
      </c>
      <c r="K845" s="39" t="str">
        <f>TEXT(Town_Team[[#This Row],[Date ]],"dddd")</f>
        <v>Tuesday</v>
      </c>
    </row>
    <row r="846" spans="2:11" hidden="1" x14ac:dyDescent="0.3">
      <c r="B846" s="20">
        <v>842</v>
      </c>
      <c r="C846" s="19">
        <v>44307</v>
      </c>
      <c r="D846" s="21" t="s">
        <v>9</v>
      </c>
      <c r="E846" s="21" t="s">
        <v>22</v>
      </c>
      <c r="F846" s="21" t="s">
        <v>23</v>
      </c>
      <c r="G846" s="22">
        <v>500</v>
      </c>
      <c r="H846" s="20">
        <v>1</v>
      </c>
      <c r="I846" s="32">
        <f>Town_Team[[#This Row],[Item quantity]]*Town_Team[[#This Row],[Selling price]]</f>
        <v>500</v>
      </c>
      <c r="J846" s="33">
        <f>IF(Town_Team[[#This Row],[Item name]]=" Jeans - Denim",Town_Team[[#This Row],[Item Amount]]*85%,Town_Team[[#This Row],[Item Amount]])</f>
        <v>500</v>
      </c>
      <c r="K846" s="39" t="str">
        <f>TEXT(Town_Team[[#This Row],[Date ]],"dddd")</f>
        <v>Wednesday</v>
      </c>
    </row>
    <row r="847" spans="2:11" hidden="1" x14ac:dyDescent="0.3">
      <c r="B847" s="20">
        <v>843</v>
      </c>
      <c r="C847" s="19">
        <v>44308</v>
      </c>
      <c r="D847" s="21" t="s">
        <v>9</v>
      </c>
      <c r="E847" s="21" t="s">
        <v>14</v>
      </c>
      <c r="F847" s="21" t="s">
        <v>11</v>
      </c>
      <c r="G847" s="22">
        <v>900</v>
      </c>
      <c r="H847" s="20">
        <v>1</v>
      </c>
      <c r="I847" s="32">
        <f>Town_Team[[#This Row],[Item quantity]]*Town_Team[[#This Row],[Selling price]]</f>
        <v>900</v>
      </c>
      <c r="J847" s="33">
        <f>IF(Town_Team[[#This Row],[Item name]]=" Jeans - Denim",Town_Team[[#This Row],[Item Amount]]*85%,Town_Team[[#This Row],[Item Amount]])</f>
        <v>900</v>
      </c>
      <c r="K847" s="39" t="str">
        <f>TEXT(Town_Team[[#This Row],[Date ]],"dddd")</f>
        <v>Thursday</v>
      </c>
    </row>
    <row r="848" spans="2:11" hidden="1" x14ac:dyDescent="0.3">
      <c r="B848" s="20">
        <v>844</v>
      </c>
      <c r="C848" s="19">
        <v>44309</v>
      </c>
      <c r="D848" s="21" t="s">
        <v>9</v>
      </c>
      <c r="E848" s="21" t="s">
        <v>10</v>
      </c>
      <c r="F848" s="21" t="s">
        <v>11</v>
      </c>
      <c r="G848" s="22">
        <v>1100</v>
      </c>
      <c r="H848" s="20">
        <v>1</v>
      </c>
      <c r="I848" s="32">
        <f>Town_Team[[#This Row],[Item quantity]]*Town_Team[[#This Row],[Selling price]]</f>
        <v>1100</v>
      </c>
      <c r="J848" s="33">
        <f>IF(Town_Team[[#This Row],[Item name]]=" Jeans - Denim",Town_Team[[#This Row],[Item Amount]]*85%,Town_Team[[#This Row],[Item Amount]])</f>
        <v>1100</v>
      </c>
      <c r="K848" s="39" t="str">
        <f>TEXT(Town_Team[[#This Row],[Date ]],"dddd")</f>
        <v>Friday</v>
      </c>
    </row>
    <row r="849" spans="2:11" hidden="1" x14ac:dyDescent="0.3">
      <c r="B849" s="20">
        <v>845</v>
      </c>
      <c r="C849" s="19">
        <v>44310</v>
      </c>
      <c r="D849" s="21" t="s">
        <v>9</v>
      </c>
      <c r="E849" s="21" t="s">
        <v>22</v>
      </c>
      <c r="F849" s="21" t="s">
        <v>23</v>
      </c>
      <c r="G849" s="22">
        <v>500</v>
      </c>
      <c r="H849" s="20">
        <v>1</v>
      </c>
      <c r="I849" s="32">
        <f>Town_Team[[#This Row],[Item quantity]]*Town_Team[[#This Row],[Selling price]]</f>
        <v>500</v>
      </c>
      <c r="J849" s="33">
        <f>IF(Town_Team[[#This Row],[Item name]]=" Jeans - Denim",Town_Team[[#This Row],[Item Amount]]*85%,Town_Team[[#This Row],[Item Amount]])</f>
        <v>500</v>
      </c>
      <c r="K849" s="39" t="str">
        <f>TEXT(Town_Team[[#This Row],[Date ]],"dddd")</f>
        <v>Saturday</v>
      </c>
    </row>
    <row r="850" spans="2:11" hidden="1" x14ac:dyDescent="0.3">
      <c r="B850" s="20">
        <v>846</v>
      </c>
      <c r="C850" s="19">
        <v>44311</v>
      </c>
      <c r="D850" s="21" t="s">
        <v>9</v>
      </c>
      <c r="E850" s="21" t="s">
        <v>18</v>
      </c>
      <c r="F850" s="21" t="s">
        <v>17</v>
      </c>
      <c r="G850" s="22">
        <v>600</v>
      </c>
      <c r="H850" s="20">
        <v>1</v>
      </c>
      <c r="I850" s="32">
        <f>Town_Team[[#This Row],[Item quantity]]*Town_Team[[#This Row],[Selling price]]</f>
        <v>600</v>
      </c>
      <c r="J850" s="33">
        <f>IF(Town_Team[[#This Row],[Item name]]=" Jeans - Denim",Town_Team[[#This Row],[Item Amount]]*85%,Town_Team[[#This Row],[Item Amount]])</f>
        <v>600</v>
      </c>
      <c r="K850" s="39" t="str">
        <f>TEXT(Town_Team[[#This Row],[Date ]],"dddd")</f>
        <v>Sunday</v>
      </c>
    </row>
    <row r="851" spans="2:11" hidden="1" x14ac:dyDescent="0.3">
      <c r="B851" s="20">
        <v>847</v>
      </c>
      <c r="C851" s="19">
        <v>44312</v>
      </c>
      <c r="D851" s="21" t="s">
        <v>9</v>
      </c>
      <c r="E851" s="21" t="s">
        <v>14</v>
      </c>
      <c r="F851" s="21" t="s">
        <v>11</v>
      </c>
      <c r="G851" s="22">
        <v>900</v>
      </c>
      <c r="H851" s="20">
        <v>1</v>
      </c>
      <c r="I851" s="32">
        <f>Town_Team[[#This Row],[Item quantity]]*Town_Team[[#This Row],[Selling price]]</f>
        <v>900</v>
      </c>
      <c r="J851" s="33">
        <f>IF(Town_Team[[#This Row],[Item name]]=" Jeans - Denim",Town_Team[[#This Row],[Item Amount]]*85%,Town_Team[[#This Row],[Item Amount]])</f>
        <v>900</v>
      </c>
      <c r="K851" s="39" t="str">
        <f>TEXT(Town_Team[[#This Row],[Date ]],"dddd")</f>
        <v>Monday</v>
      </c>
    </row>
    <row r="852" spans="2:11" hidden="1" x14ac:dyDescent="0.3">
      <c r="B852" s="20">
        <v>848</v>
      </c>
      <c r="C852" s="19">
        <v>44313</v>
      </c>
      <c r="D852" s="21" t="s">
        <v>9</v>
      </c>
      <c r="E852" s="21" t="s">
        <v>22</v>
      </c>
      <c r="F852" s="21" t="s">
        <v>23</v>
      </c>
      <c r="G852" s="22">
        <v>500</v>
      </c>
      <c r="H852" s="20">
        <v>1</v>
      </c>
      <c r="I852" s="32">
        <f>Town_Team[[#This Row],[Item quantity]]*Town_Team[[#This Row],[Selling price]]</f>
        <v>500</v>
      </c>
      <c r="J852" s="33">
        <f>IF(Town_Team[[#This Row],[Item name]]=" Jeans - Denim",Town_Team[[#This Row],[Item Amount]]*85%,Town_Team[[#This Row],[Item Amount]])</f>
        <v>500</v>
      </c>
      <c r="K852" s="39" t="str">
        <f>TEXT(Town_Team[[#This Row],[Date ]],"dddd")</f>
        <v>Tuesday</v>
      </c>
    </row>
    <row r="853" spans="2:11" hidden="1" x14ac:dyDescent="0.3">
      <c r="B853" s="20">
        <v>849</v>
      </c>
      <c r="C853" s="19">
        <v>44314</v>
      </c>
      <c r="D853" s="21" t="s">
        <v>9</v>
      </c>
      <c r="E853" s="21" t="s">
        <v>22</v>
      </c>
      <c r="F853" s="21" t="s">
        <v>23</v>
      </c>
      <c r="G853" s="22">
        <v>500</v>
      </c>
      <c r="H853" s="20">
        <v>1</v>
      </c>
      <c r="I853" s="32">
        <f>Town_Team[[#This Row],[Item quantity]]*Town_Team[[#This Row],[Selling price]]</f>
        <v>500</v>
      </c>
      <c r="J853" s="33">
        <f>IF(Town_Team[[#This Row],[Item name]]=" Jeans - Denim",Town_Team[[#This Row],[Item Amount]]*85%,Town_Team[[#This Row],[Item Amount]])</f>
        <v>500</v>
      </c>
      <c r="K853" s="39" t="str">
        <f>TEXT(Town_Team[[#This Row],[Date ]],"dddd")</f>
        <v>Wednesday</v>
      </c>
    </row>
    <row r="854" spans="2:11" hidden="1" x14ac:dyDescent="0.3">
      <c r="B854" s="20">
        <v>850</v>
      </c>
      <c r="C854" s="19">
        <v>44315</v>
      </c>
      <c r="D854" s="21" t="s">
        <v>9</v>
      </c>
      <c r="E854" s="21" t="s">
        <v>18</v>
      </c>
      <c r="F854" s="21" t="s">
        <v>17</v>
      </c>
      <c r="G854" s="22">
        <v>600</v>
      </c>
      <c r="H854" s="20">
        <v>1</v>
      </c>
      <c r="I854" s="32">
        <f>Town_Team[[#This Row],[Item quantity]]*Town_Team[[#This Row],[Selling price]]</f>
        <v>600</v>
      </c>
      <c r="J854" s="33">
        <f>IF(Town_Team[[#This Row],[Item name]]=" Jeans - Denim",Town_Team[[#This Row],[Item Amount]]*85%,Town_Team[[#This Row],[Item Amount]])</f>
        <v>600</v>
      </c>
      <c r="K854" s="39" t="str">
        <f>TEXT(Town_Team[[#This Row],[Date ]],"dddd")</f>
        <v>Thursday</v>
      </c>
    </row>
    <row r="855" spans="2:11" hidden="1" x14ac:dyDescent="0.3">
      <c r="B855" s="20">
        <v>851</v>
      </c>
      <c r="C855" s="19">
        <v>44316</v>
      </c>
      <c r="D855" s="21" t="s">
        <v>9</v>
      </c>
      <c r="E855" s="21" t="s">
        <v>18</v>
      </c>
      <c r="F855" s="21" t="s">
        <v>17</v>
      </c>
      <c r="G855" s="22">
        <v>600</v>
      </c>
      <c r="H855" s="20">
        <v>1</v>
      </c>
      <c r="I855" s="32">
        <f>Town_Team[[#This Row],[Item quantity]]*Town_Team[[#This Row],[Selling price]]</f>
        <v>600</v>
      </c>
      <c r="J855" s="33">
        <f>IF(Town_Team[[#This Row],[Item name]]=" Jeans - Denim",Town_Team[[#This Row],[Item Amount]]*85%,Town_Team[[#This Row],[Item Amount]])</f>
        <v>600</v>
      </c>
      <c r="K855" s="39" t="str">
        <f>TEXT(Town_Team[[#This Row],[Date ]],"dddd")</f>
        <v>Friday</v>
      </c>
    </row>
    <row r="856" spans="2:11" hidden="1" x14ac:dyDescent="0.3">
      <c r="B856" s="20">
        <v>852</v>
      </c>
      <c r="C856" s="19">
        <v>44317</v>
      </c>
      <c r="D856" s="21" t="s">
        <v>9</v>
      </c>
      <c r="E856" s="21" t="s">
        <v>16</v>
      </c>
      <c r="F856" s="21" t="s">
        <v>17</v>
      </c>
      <c r="G856" s="22">
        <v>800</v>
      </c>
      <c r="H856" s="20">
        <v>1</v>
      </c>
      <c r="I856" s="32">
        <f>Town_Team[[#This Row],[Item quantity]]*Town_Team[[#This Row],[Selling price]]</f>
        <v>800</v>
      </c>
      <c r="J856" s="33">
        <f>IF(Town_Team[[#This Row],[Item name]]=" Jeans - Denim",Town_Team[[#This Row],[Item Amount]]*85%,Town_Team[[#This Row],[Item Amount]])</f>
        <v>800</v>
      </c>
      <c r="K856" s="39" t="str">
        <f>TEXT(Town_Team[[#This Row],[Date ]],"dddd")</f>
        <v>Saturday</v>
      </c>
    </row>
    <row r="857" spans="2:11" hidden="1" x14ac:dyDescent="0.3">
      <c r="B857" s="20">
        <v>853</v>
      </c>
      <c r="C857" s="19">
        <v>44318</v>
      </c>
      <c r="D857" s="21" t="s">
        <v>9</v>
      </c>
      <c r="E857" s="21" t="s">
        <v>19</v>
      </c>
      <c r="F857" s="21" t="s">
        <v>20</v>
      </c>
      <c r="G857" s="22">
        <v>850</v>
      </c>
      <c r="H857" s="20">
        <v>1</v>
      </c>
      <c r="I857" s="32">
        <f>Town_Team[[#This Row],[Item quantity]]*Town_Team[[#This Row],[Selling price]]</f>
        <v>850</v>
      </c>
      <c r="J857" s="33">
        <f>IF(Town_Team[[#This Row],[Item name]]=" Jeans - Denim",Town_Team[[#This Row],[Item Amount]]*85%,Town_Team[[#This Row],[Item Amount]])</f>
        <v>850</v>
      </c>
      <c r="K857" s="39" t="str">
        <f>TEXT(Town_Team[[#This Row],[Date ]],"dddd")</f>
        <v>Sunday</v>
      </c>
    </row>
    <row r="858" spans="2:11" hidden="1" x14ac:dyDescent="0.3">
      <c r="B858" s="20">
        <v>854</v>
      </c>
      <c r="C858" s="19">
        <v>44319</v>
      </c>
      <c r="D858" s="21" t="s">
        <v>9</v>
      </c>
      <c r="E858" s="21" t="s">
        <v>22</v>
      </c>
      <c r="F858" s="21" t="s">
        <v>23</v>
      </c>
      <c r="G858" s="22">
        <v>500</v>
      </c>
      <c r="H858" s="20">
        <v>1</v>
      </c>
      <c r="I858" s="32">
        <f>Town_Team[[#This Row],[Item quantity]]*Town_Team[[#This Row],[Selling price]]</f>
        <v>500</v>
      </c>
      <c r="J858" s="33">
        <f>IF(Town_Team[[#This Row],[Item name]]=" Jeans - Denim",Town_Team[[#This Row],[Item Amount]]*85%,Town_Team[[#This Row],[Item Amount]])</f>
        <v>500</v>
      </c>
      <c r="K858" s="39" t="str">
        <f>TEXT(Town_Team[[#This Row],[Date ]],"dddd")</f>
        <v>Monday</v>
      </c>
    </row>
    <row r="859" spans="2:11" hidden="1" x14ac:dyDescent="0.3">
      <c r="B859" s="20">
        <v>855</v>
      </c>
      <c r="C859" s="19">
        <v>44320</v>
      </c>
      <c r="D859" s="21" t="s">
        <v>9</v>
      </c>
      <c r="E859" s="21" t="s">
        <v>22</v>
      </c>
      <c r="F859" s="21" t="s">
        <v>23</v>
      </c>
      <c r="G859" s="22">
        <v>500</v>
      </c>
      <c r="H859" s="20">
        <v>1</v>
      </c>
      <c r="I859" s="32">
        <f>Town_Team[[#This Row],[Item quantity]]*Town_Team[[#This Row],[Selling price]]</f>
        <v>500</v>
      </c>
      <c r="J859" s="33">
        <f>IF(Town_Team[[#This Row],[Item name]]=" Jeans - Denim",Town_Team[[#This Row],[Item Amount]]*85%,Town_Team[[#This Row],[Item Amount]])</f>
        <v>500</v>
      </c>
      <c r="K859" s="39" t="str">
        <f>TEXT(Town_Team[[#This Row],[Date ]],"dddd")</f>
        <v>Tuesday</v>
      </c>
    </row>
    <row r="860" spans="2:11" hidden="1" x14ac:dyDescent="0.3">
      <c r="B860" s="20">
        <v>856</v>
      </c>
      <c r="C860" s="19">
        <v>44321</v>
      </c>
      <c r="D860" s="21" t="s">
        <v>9</v>
      </c>
      <c r="E860" s="21" t="s">
        <v>10</v>
      </c>
      <c r="F860" s="21" t="s">
        <v>11</v>
      </c>
      <c r="G860" s="22">
        <v>1100</v>
      </c>
      <c r="H860" s="20">
        <v>1</v>
      </c>
      <c r="I860" s="32">
        <f>Town_Team[[#This Row],[Item quantity]]*Town_Team[[#This Row],[Selling price]]</f>
        <v>1100</v>
      </c>
      <c r="J860" s="33">
        <f>IF(Town_Team[[#This Row],[Item name]]=" Jeans - Denim",Town_Team[[#This Row],[Item Amount]]*85%,Town_Team[[#This Row],[Item Amount]])</f>
        <v>1100</v>
      </c>
      <c r="K860" s="39" t="str">
        <f>TEXT(Town_Team[[#This Row],[Date ]],"dddd")</f>
        <v>Wednesday</v>
      </c>
    </row>
    <row r="861" spans="2:11" hidden="1" x14ac:dyDescent="0.3">
      <c r="B861" s="20">
        <v>857</v>
      </c>
      <c r="C861" s="19">
        <v>44322</v>
      </c>
      <c r="D861" s="21" t="s">
        <v>9</v>
      </c>
      <c r="E861" s="21" t="s">
        <v>22</v>
      </c>
      <c r="F861" s="21" t="s">
        <v>23</v>
      </c>
      <c r="G861" s="22">
        <v>500</v>
      </c>
      <c r="H861" s="20">
        <v>1</v>
      </c>
      <c r="I861" s="32">
        <f>Town_Team[[#This Row],[Item quantity]]*Town_Team[[#This Row],[Selling price]]</f>
        <v>500</v>
      </c>
      <c r="J861" s="33">
        <f>IF(Town_Team[[#This Row],[Item name]]=" Jeans - Denim",Town_Team[[#This Row],[Item Amount]]*85%,Town_Team[[#This Row],[Item Amount]])</f>
        <v>500</v>
      </c>
      <c r="K861" s="39" t="str">
        <f>TEXT(Town_Team[[#This Row],[Date ]],"dddd")</f>
        <v>Thursday</v>
      </c>
    </row>
    <row r="862" spans="2:11" hidden="1" x14ac:dyDescent="0.3">
      <c r="B862" s="20">
        <v>858</v>
      </c>
      <c r="C862" s="19">
        <v>44323</v>
      </c>
      <c r="D862" s="21" t="s">
        <v>9</v>
      </c>
      <c r="E862" s="21" t="s">
        <v>15</v>
      </c>
      <c r="F862" s="21" t="s">
        <v>11</v>
      </c>
      <c r="G862" s="22">
        <v>1000</v>
      </c>
      <c r="H862" s="20">
        <v>1</v>
      </c>
      <c r="I862" s="32">
        <f>Town_Team[[#This Row],[Item quantity]]*Town_Team[[#This Row],[Selling price]]</f>
        <v>1000</v>
      </c>
      <c r="J862" s="33">
        <f>IF(Town_Team[[#This Row],[Item name]]=" Jeans - Denim",Town_Team[[#This Row],[Item Amount]]*85%,Town_Team[[#This Row],[Item Amount]])</f>
        <v>1000</v>
      </c>
      <c r="K862" s="39" t="str">
        <f>TEXT(Town_Team[[#This Row],[Date ]],"dddd")</f>
        <v>Friday</v>
      </c>
    </row>
    <row r="863" spans="2:11" hidden="1" x14ac:dyDescent="0.3">
      <c r="B863" s="20">
        <v>859</v>
      </c>
      <c r="C863" s="19">
        <v>44324</v>
      </c>
      <c r="D863" s="21" t="s">
        <v>9</v>
      </c>
      <c r="E863" s="21" t="s">
        <v>16</v>
      </c>
      <c r="F863" s="21" t="s">
        <v>17</v>
      </c>
      <c r="G863" s="22">
        <v>800</v>
      </c>
      <c r="H863" s="20">
        <v>1</v>
      </c>
      <c r="I863" s="32">
        <f>Town_Team[[#This Row],[Item quantity]]*Town_Team[[#This Row],[Selling price]]</f>
        <v>800</v>
      </c>
      <c r="J863" s="33">
        <f>IF(Town_Team[[#This Row],[Item name]]=" Jeans - Denim",Town_Team[[#This Row],[Item Amount]]*85%,Town_Team[[#This Row],[Item Amount]])</f>
        <v>800</v>
      </c>
      <c r="K863" s="39" t="str">
        <f>TEXT(Town_Team[[#This Row],[Date ]],"dddd")</f>
        <v>Saturday</v>
      </c>
    </row>
    <row r="864" spans="2:11" hidden="1" x14ac:dyDescent="0.3">
      <c r="B864" s="20">
        <v>860</v>
      </c>
      <c r="C864" s="19">
        <v>44325</v>
      </c>
      <c r="D864" s="21" t="s">
        <v>9</v>
      </c>
      <c r="E864" s="21" t="s">
        <v>24</v>
      </c>
      <c r="F864" s="21" t="s">
        <v>23</v>
      </c>
      <c r="G864" s="22">
        <v>600</v>
      </c>
      <c r="H864" s="20">
        <v>1</v>
      </c>
      <c r="I864" s="32">
        <f>Town_Team[[#This Row],[Item quantity]]*Town_Team[[#This Row],[Selling price]]</f>
        <v>600</v>
      </c>
      <c r="J864" s="33">
        <f>IF(Town_Team[[#This Row],[Item name]]=" Jeans - Denim",Town_Team[[#This Row],[Item Amount]]*85%,Town_Team[[#This Row],[Item Amount]])</f>
        <v>600</v>
      </c>
      <c r="K864" s="39" t="str">
        <f>TEXT(Town_Team[[#This Row],[Date ]],"dddd")</f>
        <v>Sunday</v>
      </c>
    </row>
    <row r="865" spans="2:11" hidden="1" x14ac:dyDescent="0.3">
      <c r="B865" s="20">
        <v>861</v>
      </c>
      <c r="C865" s="19">
        <v>44326</v>
      </c>
      <c r="D865" s="21" t="s">
        <v>9</v>
      </c>
      <c r="E865" s="21" t="s">
        <v>24</v>
      </c>
      <c r="F865" s="21" t="s">
        <v>23</v>
      </c>
      <c r="G865" s="22">
        <v>600</v>
      </c>
      <c r="H865" s="20">
        <v>1</v>
      </c>
      <c r="I865" s="32">
        <f>Town_Team[[#This Row],[Item quantity]]*Town_Team[[#This Row],[Selling price]]</f>
        <v>600</v>
      </c>
      <c r="J865" s="33">
        <f>IF(Town_Team[[#This Row],[Item name]]=" Jeans - Denim",Town_Team[[#This Row],[Item Amount]]*85%,Town_Team[[#This Row],[Item Amount]])</f>
        <v>600</v>
      </c>
      <c r="K865" s="39" t="str">
        <f>TEXT(Town_Team[[#This Row],[Date ]],"dddd")</f>
        <v>Monday</v>
      </c>
    </row>
    <row r="866" spans="2:11" hidden="1" x14ac:dyDescent="0.3">
      <c r="B866" s="20">
        <v>862</v>
      </c>
      <c r="C866" s="19">
        <v>44327</v>
      </c>
      <c r="D866" s="21" t="s">
        <v>9</v>
      </c>
      <c r="E866" s="21" t="s">
        <v>19</v>
      </c>
      <c r="F866" s="21" t="s">
        <v>20</v>
      </c>
      <c r="G866" s="22">
        <v>850</v>
      </c>
      <c r="H866" s="20">
        <v>1</v>
      </c>
      <c r="I866" s="32">
        <f>Town_Team[[#This Row],[Item quantity]]*Town_Team[[#This Row],[Selling price]]</f>
        <v>850</v>
      </c>
      <c r="J866" s="33">
        <f>IF(Town_Team[[#This Row],[Item name]]=" Jeans - Denim",Town_Team[[#This Row],[Item Amount]]*85%,Town_Team[[#This Row],[Item Amount]])</f>
        <v>850</v>
      </c>
      <c r="K866" s="39" t="str">
        <f>TEXT(Town_Team[[#This Row],[Date ]],"dddd")</f>
        <v>Tuesday</v>
      </c>
    </row>
    <row r="867" spans="2:11" hidden="1" x14ac:dyDescent="0.3">
      <c r="B867" s="20">
        <v>863</v>
      </c>
      <c r="C867" s="19">
        <v>44328</v>
      </c>
      <c r="D867" s="21" t="s">
        <v>9</v>
      </c>
      <c r="E867" s="21" t="s">
        <v>24</v>
      </c>
      <c r="F867" s="21" t="s">
        <v>23</v>
      </c>
      <c r="G867" s="22">
        <v>600</v>
      </c>
      <c r="H867" s="20">
        <v>1</v>
      </c>
      <c r="I867" s="32">
        <f>Town_Team[[#This Row],[Item quantity]]*Town_Team[[#This Row],[Selling price]]</f>
        <v>600</v>
      </c>
      <c r="J867" s="33">
        <f>IF(Town_Team[[#This Row],[Item name]]=" Jeans - Denim",Town_Team[[#This Row],[Item Amount]]*85%,Town_Team[[#This Row],[Item Amount]])</f>
        <v>600</v>
      </c>
      <c r="K867" s="39" t="str">
        <f>TEXT(Town_Team[[#This Row],[Date ]],"dddd")</f>
        <v>Wednesday</v>
      </c>
    </row>
    <row r="868" spans="2:11" hidden="1" x14ac:dyDescent="0.3">
      <c r="B868" s="20">
        <v>864</v>
      </c>
      <c r="C868" s="19">
        <v>44329</v>
      </c>
      <c r="D868" s="21" t="s">
        <v>9</v>
      </c>
      <c r="E868" s="21" t="s">
        <v>18</v>
      </c>
      <c r="F868" s="21" t="s">
        <v>17</v>
      </c>
      <c r="G868" s="22">
        <v>600</v>
      </c>
      <c r="H868" s="20">
        <v>1</v>
      </c>
      <c r="I868" s="32">
        <f>Town_Team[[#This Row],[Item quantity]]*Town_Team[[#This Row],[Selling price]]</f>
        <v>600</v>
      </c>
      <c r="J868" s="33">
        <f>IF(Town_Team[[#This Row],[Item name]]=" Jeans - Denim",Town_Team[[#This Row],[Item Amount]]*85%,Town_Team[[#This Row],[Item Amount]])</f>
        <v>600</v>
      </c>
      <c r="K868" s="39" t="str">
        <f>TEXT(Town_Team[[#This Row],[Date ]],"dddd")</f>
        <v>Thursday</v>
      </c>
    </row>
    <row r="869" spans="2:11" hidden="1" x14ac:dyDescent="0.3">
      <c r="B869" s="20">
        <v>865</v>
      </c>
      <c r="C869" s="19">
        <v>44330</v>
      </c>
      <c r="D869" s="21" t="s">
        <v>9</v>
      </c>
      <c r="E869" s="21" t="s">
        <v>24</v>
      </c>
      <c r="F869" s="21" t="s">
        <v>23</v>
      </c>
      <c r="G869" s="22">
        <v>600</v>
      </c>
      <c r="H869" s="20">
        <v>1</v>
      </c>
      <c r="I869" s="32">
        <f>Town_Team[[#This Row],[Item quantity]]*Town_Team[[#This Row],[Selling price]]</f>
        <v>600</v>
      </c>
      <c r="J869" s="33">
        <f>IF(Town_Team[[#This Row],[Item name]]=" Jeans - Denim",Town_Team[[#This Row],[Item Amount]]*85%,Town_Team[[#This Row],[Item Amount]])</f>
        <v>600</v>
      </c>
      <c r="K869" s="39" t="str">
        <f>TEXT(Town_Team[[#This Row],[Date ]],"dddd")</f>
        <v>Friday</v>
      </c>
    </row>
    <row r="870" spans="2:11" hidden="1" x14ac:dyDescent="0.3">
      <c r="B870" s="20">
        <v>866</v>
      </c>
      <c r="C870" s="19">
        <v>44331</v>
      </c>
      <c r="D870" s="21" t="s">
        <v>9</v>
      </c>
      <c r="E870" s="21" t="s">
        <v>10</v>
      </c>
      <c r="F870" s="21" t="s">
        <v>11</v>
      </c>
      <c r="G870" s="22">
        <v>1100</v>
      </c>
      <c r="H870" s="20">
        <v>1</v>
      </c>
      <c r="I870" s="32">
        <f>Town_Team[[#This Row],[Item quantity]]*Town_Team[[#This Row],[Selling price]]</f>
        <v>1100</v>
      </c>
      <c r="J870" s="33">
        <f>IF(Town_Team[[#This Row],[Item name]]=" Jeans - Denim",Town_Team[[#This Row],[Item Amount]]*85%,Town_Team[[#This Row],[Item Amount]])</f>
        <v>1100</v>
      </c>
      <c r="K870" s="39" t="str">
        <f>TEXT(Town_Team[[#This Row],[Date ]],"dddd")</f>
        <v>Saturday</v>
      </c>
    </row>
    <row r="871" spans="2:11" hidden="1" x14ac:dyDescent="0.3">
      <c r="B871" s="20">
        <v>867</v>
      </c>
      <c r="C871" s="19">
        <v>44332</v>
      </c>
      <c r="D871" s="21" t="s">
        <v>9</v>
      </c>
      <c r="E871" s="21" t="s">
        <v>18</v>
      </c>
      <c r="F871" s="21" t="s">
        <v>17</v>
      </c>
      <c r="G871" s="22">
        <v>600</v>
      </c>
      <c r="H871" s="20">
        <v>1</v>
      </c>
      <c r="I871" s="32">
        <f>Town_Team[[#This Row],[Item quantity]]*Town_Team[[#This Row],[Selling price]]</f>
        <v>600</v>
      </c>
      <c r="J871" s="33">
        <f>IF(Town_Team[[#This Row],[Item name]]=" Jeans - Denim",Town_Team[[#This Row],[Item Amount]]*85%,Town_Team[[#This Row],[Item Amount]])</f>
        <v>600</v>
      </c>
      <c r="K871" s="39" t="str">
        <f>TEXT(Town_Team[[#This Row],[Date ]],"dddd")</f>
        <v>Sunday</v>
      </c>
    </row>
    <row r="872" spans="2:11" hidden="1" x14ac:dyDescent="0.3">
      <c r="B872" s="20">
        <v>868</v>
      </c>
      <c r="C872" s="19">
        <v>44333</v>
      </c>
      <c r="D872" s="21" t="s">
        <v>9</v>
      </c>
      <c r="E872" s="21" t="s">
        <v>10</v>
      </c>
      <c r="F872" s="21" t="s">
        <v>11</v>
      </c>
      <c r="G872" s="22">
        <v>1100</v>
      </c>
      <c r="H872" s="20">
        <v>1</v>
      </c>
      <c r="I872" s="32">
        <f>Town_Team[[#This Row],[Item quantity]]*Town_Team[[#This Row],[Selling price]]</f>
        <v>1100</v>
      </c>
      <c r="J872" s="33">
        <f>IF(Town_Team[[#This Row],[Item name]]=" Jeans - Denim",Town_Team[[#This Row],[Item Amount]]*85%,Town_Team[[#This Row],[Item Amount]])</f>
        <v>1100</v>
      </c>
      <c r="K872" s="39" t="str">
        <f>TEXT(Town_Team[[#This Row],[Date ]],"dddd")</f>
        <v>Monday</v>
      </c>
    </row>
    <row r="873" spans="2:11" hidden="1" x14ac:dyDescent="0.3">
      <c r="B873" s="20">
        <v>869</v>
      </c>
      <c r="C873" s="19">
        <v>44334</v>
      </c>
      <c r="D873" s="21" t="s">
        <v>9</v>
      </c>
      <c r="E873" s="21" t="s">
        <v>10</v>
      </c>
      <c r="F873" s="21" t="s">
        <v>11</v>
      </c>
      <c r="G873" s="22">
        <v>1100</v>
      </c>
      <c r="H873" s="20">
        <v>1</v>
      </c>
      <c r="I873" s="32">
        <f>Town_Team[[#This Row],[Item quantity]]*Town_Team[[#This Row],[Selling price]]</f>
        <v>1100</v>
      </c>
      <c r="J873" s="33">
        <f>IF(Town_Team[[#This Row],[Item name]]=" Jeans - Denim",Town_Team[[#This Row],[Item Amount]]*85%,Town_Team[[#This Row],[Item Amount]])</f>
        <v>1100</v>
      </c>
      <c r="K873" s="39" t="str">
        <f>TEXT(Town_Team[[#This Row],[Date ]],"dddd")</f>
        <v>Tuesday</v>
      </c>
    </row>
    <row r="874" spans="2:11" hidden="1" x14ac:dyDescent="0.3">
      <c r="B874" s="20">
        <v>870</v>
      </c>
      <c r="C874" s="19">
        <v>44335</v>
      </c>
      <c r="D874" s="21" t="s">
        <v>9</v>
      </c>
      <c r="E874" s="21" t="s">
        <v>10</v>
      </c>
      <c r="F874" s="21" t="s">
        <v>11</v>
      </c>
      <c r="G874" s="22">
        <v>1100</v>
      </c>
      <c r="H874" s="20">
        <v>1</v>
      </c>
      <c r="I874" s="32">
        <f>Town_Team[[#This Row],[Item quantity]]*Town_Team[[#This Row],[Selling price]]</f>
        <v>1100</v>
      </c>
      <c r="J874" s="33">
        <f>IF(Town_Team[[#This Row],[Item name]]=" Jeans - Denim",Town_Team[[#This Row],[Item Amount]]*85%,Town_Team[[#This Row],[Item Amount]])</f>
        <v>1100</v>
      </c>
      <c r="K874" s="39" t="str">
        <f>TEXT(Town_Team[[#This Row],[Date ]],"dddd")</f>
        <v>Wednesday</v>
      </c>
    </row>
    <row r="875" spans="2:11" hidden="1" x14ac:dyDescent="0.3">
      <c r="B875" s="20">
        <v>871</v>
      </c>
      <c r="C875" s="19">
        <v>44336</v>
      </c>
      <c r="D875" s="21" t="s">
        <v>9</v>
      </c>
      <c r="E875" s="21" t="s">
        <v>19</v>
      </c>
      <c r="F875" s="21" t="s">
        <v>20</v>
      </c>
      <c r="G875" s="22">
        <v>850</v>
      </c>
      <c r="H875" s="20">
        <v>1</v>
      </c>
      <c r="I875" s="32">
        <f>Town_Team[[#This Row],[Item quantity]]*Town_Team[[#This Row],[Selling price]]</f>
        <v>850</v>
      </c>
      <c r="J875" s="33">
        <f>IF(Town_Team[[#This Row],[Item name]]=" Jeans - Denim",Town_Team[[#This Row],[Item Amount]]*85%,Town_Team[[#This Row],[Item Amount]])</f>
        <v>850</v>
      </c>
      <c r="K875" s="39" t="str">
        <f>TEXT(Town_Team[[#This Row],[Date ]],"dddd")</f>
        <v>Thursday</v>
      </c>
    </row>
    <row r="876" spans="2:11" hidden="1" x14ac:dyDescent="0.3">
      <c r="B876" s="20">
        <v>872</v>
      </c>
      <c r="C876" s="19">
        <v>44337</v>
      </c>
      <c r="D876" s="21" t="s">
        <v>9</v>
      </c>
      <c r="E876" s="21" t="s">
        <v>18</v>
      </c>
      <c r="F876" s="21" t="s">
        <v>17</v>
      </c>
      <c r="G876" s="22">
        <v>600</v>
      </c>
      <c r="H876" s="20">
        <v>1</v>
      </c>
      <c r="I876" s="32">
        <f>Town_Team[[#This Row],[Item quantity]]*Town_Team[[#This Row],[Selling price]]</f>
        <v>600</v>
      </c>
      <c r="J876" s="33">
        <f>IF(Town_Team[[#This Row],[Item name]]=" Jeans - Denim",Town_Team[[#This Row],[Item Amount]]*85%,Town_Team[[#This Row],[Item Amount]])</f>
        <v>600</v>
      </c>
      <c r="K876" s="39" t="str">
        <f>TEXT(Town_Team[[#This Row],[Date ]],"dddd")</f>
        <v>Friday</v>
      </c>
    </row>
    <row r="877" spans="2:11" hidden="1" x14ac:dyDescent="0.3">
      <c r="B877" s="20">
        <v>873</v>
      </c>
      <c r="C877" s="19">
        <v>44338</v>
      </c>
      <c r="D877" s="21" t="s">
        <v>9</v>
      </c>
      <c r="E877" s="21" t="s">
        <v>18</v>
      </c>
      <c r="F877" s="21" t="s">
        <v>17</v>
      </c>
      <c r="G877" s="22">
        <v>600</v>
      </c>
      <c r="H877" s="20">
        <v>1</v>
      </c>
      <c r="I877" s="32">
        <f>Town_Team[[#This Row],[Item quantity]]*Town_Team[[#This Row],[Selling price]]</f>
        <v>600</v>
      </c>
      <c r="J877" s="33">
        <f>IF(Town_Team[[#This Row],[Item name]]=" Jeans - Denim",Town_Team[[#This Row],[Item Amount]]*85%,Town_Team[[#This Row],[Item Amount]])</f>
        <v>600</v>
      </c>
      <c r="K877" s="39" t="str">
        <f>TEXT(Town_Team[[#This Row],[Date ]],"dddd")</f>
        <v>Saturday</v>
      </c>
    </row>
    <row r="878" spans="2:11" hidden="1" x14ac:dyDescent="0.3">
      <c r="B878" s="20">
        <v>874</v>
      </c>
      <c r="C878" s="19">
        <v>44339</v>
      </c>
      <c r="D878" s="21" t="s">
        <v>9</v>
      </c>
      <c r="E878" s="21" t="s">
        <v>16</v>
      </c>
      <c r="F878" s="21" t="s">
        <v>17</v>
      </c>
      <c r="G878" s="22">
        <v>800</v>
      </c>
      <c r="H878" s="20">
        <v>1</v>
      </c>
      <c r="I878" s="32">
        <f>Town_Team[[#This Row],[Item quantity]]*Town_Team[[#This Row],[Selling price]]</f>
        <v>800</v>
      </c>
      <c r="J878" s="33">
        <f>IF(Town_Team[[#This Row],[Item name]]=" Jeans - Denim",Town_Team[[#This Row],[Item Amount]]*85%,Town_Team[[#This Row],[Item Amount]])</f>
        <v>800</v>
      </c>
      <c r="K878" s="39" t="str">
        <f>TEXT(Town_Team[[#This Row],[Date ]],"dddd")</f>
        <v>Sunday</v>
      </c>
    </row>
    <row r="879" spans="2:11" hidden="1" x14ac:dyDescent="0.3">
      <c r="B879" s="20">
        <v>875</v>
      </c>
      <c r="C879" s="19">
        <v>44340</v>
      </c>
      <c r="D879" s="21" t="s">
        <v>9</v>
      </c>
      <c r="E879" s="21" t="s">
        <v>21</v>
      </c>
      <c r="F879" s="21" t="s">
        <v>20</v>
      </c>
      <c r="G879" s="22">
        <v>1200</v>
      </c>
      <c r="H879" s="20">
        <v>1</v>
      </c>
      <c r="I879" s="32">
        <f>Town_Team[[#This Row],[Item quantity]]*Town_Team[[#This Row],[Selling price]]</f>
        <v>1200</v>
      </c>
      <c r="J879" s="33">
        <f>IF(Town_Team[[#This Row],[Item name]]=" Jeans - Denim",Town_Team[[#This Row],[Item Amount]]*85%,Town_Team[[#This Row],[Item Amount]])</f>
        <v>1200</v>
      </c>
      <c r="K879" s="39" t="str">
        <f>TEXT(Town_Team[[#This Row],[Date ]],"dddd")</f>
        <v>Monday</v>
      </c>
    </row>
    <row r="880" spans="2:11" hidden="1" x14ac:dyDescent="0.3">
      <c r="B880" s="20">
        <v>876</v>
      </c>
      <c r="C880" s="19">
        <v>44341</v>
      </c>
      <c r="D880" s="21" t="s">
        <v>9</v>
      </c>
      <c r="E880" s="21" t="s">
        <v>15</v>
      </c>
      <c r="F880" s="21" t="s">
        <v>11</v>
      </c>
      <c r="G880" s="22">
        <v>1000</v>
      </c>
      <c r="H880" s="20">
        <v>1</v>
      </c>
      <c r="I880" s="32">
        <f>Town_Team[[#This Row],[Item quantity]]*Town_Team[[#This Row],[Selling price]]</f>
        <v>1000</v>
      </c>
      <c r="J880" s="33">
        <f>IF(Town_Team[[#This Row],[Item name]]=" Jeans - Denim",Town_Team[[#This Row],[Item Amount]]*85%,Town_Team[[#This Row],[Item Amount]])</f>
        <v>1000</v>
      </c>
      <c r="K880" s="39" t="str">
        <f>TEXT(Town_Team[[#This Row],[Date ]],"dddd")</f>
        <v>Tuesday</v>
      </c>
    </row>
    <row r="881" spans="2:11" hidden="1" x14ac:dyDescent="0.3">
      <c r="B881" s="20">
        <v>877</v>
      </c>
      <c r="C881" s="19">
        <v>44342</v>
      </c>
      <c r="D881" s="21" t="s">
        <v>9</v>
      </c>
      <c r="E881" s="21" t="s">
        <v>24</v>
      </c>
      <c r="F881" s="21" t="s">
        <v>23</v>
      </c>
      <c r="G881" s="22">
        <v>600</v>
      </c>
      <c r="H881" s="20">
        <v>1</v>
      </c>
      <c r="I881" s="32">
        <f>Town_Team[[#This Row],[Item quantity]]*Town_Team[[#This Row],[Selling price]]</f>
        <v>600</v>
      </c>
      <c r="J881" s="33">
        <f>IF(Town_Team[[#This Row],[Item name]]=" Jeans - Denim",Town_Team[[#This Row],[Item Amount]]*85%,Town_Team[[#This Row],[Item Amount]])</f>
        <v>600</v>
      </c>
      <c r="K881" s="39" t="str">
        <f>TEXT(Town_Team[[#This Row],[Date ]],"dddd")</f>
        <v>Wednesday</v>
      </c>
    </row>
    <row r="882" spans="2:11" hidden="1" x14ac:dyDescent="0.3">
      <c r="B882" s="20">
        <v>878</v>
      </c>
      <c r="C882" s="19">
        <v>44343</v>
      </c>
      <c r="D882" s="21" t="s">
        <v>9</v>
      </c>
      <c r="E882" s="21" t="s">
        <v>14</v>
      </c>
      <c r="F882" s="21" t="s">
        <v>11</v>
      </c>
      <c r="G882" s="22">
        <v>900</v>
      </c>
      <c r="H882" s="20">
        <v>1</v>
      </c>
      <c r="I882" s="32">
        <f>Town_Team[[#This Row],[Item quantity]]*Town_Team[[#This Row],[Selling price]]</f>
        <v>900</v>
      </c>
      <c r="J882" s="33">
        <f>IF(Town_Team[[#This Row],[Item name]]=" Jeans - Denim",Town_Team[[#This Row],[Item Amount]]*85%,Town_Team[[#This Row],[Item Amount]])</f>
        <v>900</v>
      </c>
      <c r="K882" s="39" t="str">
        <f>TEXT(Town_Team[[#This Row],[Date ]],"dddd")</f>
        <v>Thursday</v>
      </c>
    </row>
    <row r="883" spans="2:11" hidden="1" x14ac:dyDescent="0.3">
      <c r="B883" s="20">
        <v>879</v>
      </c>
      <c r="C883" s="19">
        <v>44344</v>
      </c>
      <c r="D883" s="21" t="s">
        <v>9</v>
      </c>
      <c r="E883" s="21" t="s">
        <v>18</v>
      </c>
      <c r="F883" s="21" t="s">
        <v>17</v>
      </c>
      <c r="G883" s="22">
        <v>600</v>
      </c>
      <c r="H883" s="20">
        <v>1</v>
      </c>
      <c r="I883" s="32">
        <f>Town_Team[[#This Row],[Item quantity]]*Town_Team[[#This Row],[Selling price]]</f>
        <v>600</v>
      </c>
      <c r="J883" s="33">
        <f>IF(Town_Team[[#This Row],[Item name]]=" Jeans - Denim",Town_Team[[#This Row],[Item Amount]]*85%,Town_Team[[#This Row],[Item Amount]])</f>
        <v>600</v>
      </c>
      <c r="K883" s="39" t="str">
        <f>TEXT(Town_Team[[#This Row],[Date ]],"dddd")</f>
        <v>Friday</v>
      </c>
    </row>
    <row r="884" spans="2:11" hidden="1" x14ac:dyDescent="0.3">
      <c r="B884" s="20">
        <v>880</v>
      </c>
      <c r="C884" s="19">
        <v>44345</v>
      </c>
      <c r="D884" s="21" t="s">
        <v>9</v>
      </c>
      <c r="E884" s="21" t="s">
        <v>12</v>
      </c>
      <c r="F884" s="21" t="s">
        <v>11</v>
      </c>
      <c r="G884" s="22">
        <v>900</v>
      </c>
      <c r="H884" s="20">
        <v>1</v>
      </c>
      <c r="I884" s="32">
        <f>Town_Team[[#This Row],[Item quantity]]*Town_Team[[#This Row],[Selling price]]</f>
        <v>900</v>
      </c>
      <c r="J884" s="33">
        <f>IF(Town_Team[[#This Row],[Item name]]=" Jeans - Denim",Town_Team[[#This Row],[Item Amount]]*85%,Town_Team[[#This Row],[Item Amount]])</f>
        <v>765</v>
      </c>
      <c r="K884" s="39" t="str">
        <f>TEXT(Town_Team[[#This Row],[Date ]],"dddd")</f>
        <v>Saturday</v>
      </c>
    </row>
    <row r="885" spans="2:11" hidden="1" x14ac:dyDescent="0.3">
      <c r="B885" s="20">
        <v>881</v>
      </c>
      <c r="C885" s="19">
        <v>44346</v>
      </c>
      <c r="D885" s="21" t="s">
        <v>9</v>
      </c>
      <c r="E885" s="21" t="s">
        <v>24</v>
      </c>
      <c r="F885" s="21" t="s">
        <v>23</v>
      </c>
      <c r="G885" s="22">
        <v>600</v>
      </c>
      <c r="H885" s="20">
        <v>1</v>
      </c>
      <c r="I885" s="32">
        <f>Town_Team[[#This Row],[Item quantity]]*Town_Team[[#This Row],[Selling price]]</f>
        <v>600</v>
      </c>
      <c r="J885" s="33">
        <f>IF(Town_Team[[#This Row],[Item name]]=" Jeans - Denim",Town_Team[[#This Row],[Item Amount]]*85%,Town_Team[[#This Row],[Item Amount]])</f>
        <v>600</v>
      </c>
      <c r="K885" s="39" t="str">
        <f>TEXT(Town_Team[[#This Row],[Date ]],"dddd")</f>
        <v>Sunday</v>
      </c>
    </row>
    <row r="886" spans="2:11" hidden="1" x14ac:dyDescent="0.3">
      <c r="B886" s="20">
        <v>882</v>
      </c>
      <c r="C886" s="19">
        <v>44347</v>
      </c>
      <c r="D886" s="21" t="s">
        <v>9</v>
      </c>
      <c r="E886" s="21" t="s">
        <v>19</v>
      </c>
      <c r="F886" s="21" t="s">
        <v>20</v>
      </c>
      <c r="G886" s="22">
        <v>850</v>
      </c>
      <c r="H886" s="20">
        <v>1</v>
      </c>
      <c r="I886" s="32">
        <f>Town_Team[[#This Row],[Item quantity]]*Town_Team[[#This Row],[Selling price]]</f>
        <v>850</v>
      </c>
      <c r="J886" s="33">
        <f>IF(Town_Team[[#This Row],[Item name]]=" Jeans - Denim",Town_Team[[#This Row],[Item Amount]]*85%,Town_Team[[#This Row],[Item Amount]])</f>
        <v>850</v>
      </c>
      <c r="K886" s="39" t="str">
        <f>TEXT(Town_Team[[#This Row],[Date ]],"dddd")</f>
        <v>Monday</v>
      </c>
    </row>
    <row r="887" spans="2:11" hidden="1" x14ac:dyDescent="0.3">
      <c r="B887" s="20">
        <v>883</v>
      </c>
      <c r="C887" s="19">
        <v>44348</v>
      </c>
      <c r="D887" s="21" t="s">
        <v>9</v>
      </c>
      <c r="E887" s="21" t="s">
        <v>14</v>
      </c>
      <c r="F887" s="21" t="s">
        <v>11</v>
      </c>
      <c r="G887" s="22">
        <v>900</v>
      </c>
      <c r="H887" s="20">
        <v>1</v>
      </c>
      <c r="I887" s="32">
        <f>Town_Team[[#This Row],[Item quantity]]*Town_Team[[#This Row],[Selling price]]</f>
        <v>900</v>
      </c>
      <c r="J887" s="33">
        <f>IF(Town_Team[[#This Row],[Item name]]=" Jeans - Denim",Town_Team[[#This Row],[Item Amount]]*85%,Town_Team[[#This Row],[Item Amount]])</f>
        <v>900</v>
      </c>
      <c r="K887" s="39" t="str">
        <f>TEXT(Town_Team[[#This Row],[Date ]],"dddd")</f>
        <v>Tuesday</v>
      </c>
    </row>
    <row r="888" spans="2:11" hidden="1" x14ac:dyDescent="0.3">
      <c r="B888" s="20">
        <v>884</v>
      </c>
      <c r="C888" s="19">
        <v>44349</v>
      </c>
      <c r="D888" s="21" t="s">
        <v>9</v>
      </c>
      <c r="E888" s="21" t="s">
        <v>10</v>
      </c>
      <c r="F888" s="21" t="s">
        <v>11</v>
      </c>
      <c r="G888" s="22">
        <v>1100</v>
      </c>
      <c r="H888" s="20">
        <v>1</v>
      </c>
      <c r="I888" s="32">
        <f>Town_Team[[#This Row],[Item quantity]]*Town_Team[[#This Row],[Selling price]]</f>
        <v>1100</v>
      </c>
      <c r="J888" s="33">
        <f>IF(Town_Team[[#This Row],[Item name]]=" Jeans - Denim",Town_Team[[#This Row],[Item Amount]]*85%,Town_Team[[#This Row],[Item Amount]])</f>
        <v>1100</v>
      </c>
      <c r="K888" s="39" t="str">
        <f>TEXT(Town_Team[[#This Row],[Date ]],"dddd")</f>
        <v>Wednesday</v>
      </c>
    </row>
    <row r="889" spans="2:11" hidden="1" x14ac:dyDescent="0.3">
      <c r="B889" s="20">
        <v>885</v>
      </c>
      <c r="C889" s="19">
        <v>44350</v>
      </c>
      <c r="D889" s="21" t="s">
        <v>9</v>
      </c>
      <c r="E889" s="21" t="s">
        <v>14</v>
      </c>
      <c r="F889" s="21" t="s">
        <v>11</v>
      </c>
      <c r="G889" s="22">
        <v>900</v>
      </c>
      <c r="H889" s="20">
        <v>1</v>
      </c>
      <c r="I889" s="32">
        <f>Town_Team[[#This Row],[Item quantity]]*Town_Team[[#This Row],[Selling price]]</f>
        <v>900</v>
      </c>
      <c r="J889" s="33">
        <f>IF(Town_Team[[#This Row],[Item name]]=" Jeans - Denim",Town_Team[[#This Row],[Item Amount]]*85%,Town_Team[[#This Row],[Item Amount]])</f>
        <v>900</v>
      </c>
      <c r="K889" s="39" t="str">
        <f>TEXT(Town_Team[[#This Row],[Date ]],"dddd")</f>
        <v>Thursday</v>
      </c>
    </row>
    <row r="890" spans="2:11" hidden="1" x14ac:dyDescent="0.3">
      <c r="B890" s="20">
        <v>886</v>
      </c>
      <c r="C890" s="19">
        <v>44351</v>
      </c>
      <c r="D890" s="21" t="s">
        <v>9</v>
      </c>
      <c r="E890" s="21" t="s">
        <v>15</v>
      </c>
      <c r="F890" s="21" t="s">
        <v>11</v>
      </c>
      <c r="G890" s="22">
        <v>1000</v>
      </c>
      <c r="H890" s="20">
        <v>1</v>
      </c>
      <c r="I890" s="32">
        <f>Town_Team[[#This Row],[Item quantity]]*Town_Team[[#This Row],[Selling price]]</f>
        <v>1000</v>
      </c>
      <c r="J890" s="33">
        <f>IF(Town_Team[[#This Row],[Item name]]=" Jeans - Denim",Town_Team[[#This Row],[Item Amount]]*85%,Town_Team[[#This Row],[Item Amount]])</f>
        <v>1000</v>
      </c>
      <c r="K890" s="39" t="str">
        <f>TEXT(Town_Team[[#This Row],[Date ]],"dddd")</f>
        <v>Friday</v>
      </c>
    </row>
    <row r="891" spans="2:11" hidden="1" x14ac:dyDescent="0.3">
      <c r="B891" s="20">
        <v>887</v>
      </c>
      <c r="C891" s="19">
        <v>44352</v>
      </c>
      <c r="D891" s="21" t="s">
        <v>9</v>
      </c>
      <c r="E891" s="21" t="s">
        <v>10</v>
      </c>
      <c r="F891" s="21" t="s">
        <v>11</v>
      </c>
      <c r="G891" s="22">
        <v>1100</v>
      </c>
      <c r="H891" s="20">
        <v>1</v>
      </c>
      <c r="I891" s="32">
        <f>Town_Team[[#This Row],[Item quantity]]*Town_Team[[#This Row],[Selling price]]</f>
        <v>1100</v>
      </c>
      <c r="J891" s="33">
        <f>IF(Town_Team[[#This Row],[Item name]]=" Jeans - Denim",Town_Team[[#This Row],[Item Amount]]*85%,Town_Team[[#This Row],[Item Amount]])</f>
        <v>1100</v>
      </c>
      <c r="K891" s="39" t="str">
        <f>TEXT(Town_Team[[#This Row],[Date ]],"dddd")</f>
        <v>Saturday</v>
      </c>
    </row>
    <row r="892" spans="2:11" hidden="1" x14ac:dyDescent="0.3">
      <c r="B892" s="20">
        <v>888</v>
      </c>
      <c r="C892" s="19">
        <v>44353</v>
      </c>
      <c r="D892" s="21" t="s">
        <v>9</v>
      </c>
      <c r="E892" s="21" t="s">
        <v>15</v>
      </c>
      <c r="F892" s="21" t="s">
        <v>11</v>
      </c>
      <c r="G892" s="22">
        <v>1000</v>
      </c>
      <c r="H892" s="20">
        <v>1</v>
      </c>
      <c r="I892" s="32">
        <f>Town_Team[[#This Row],[Item quantity]]*Town_Team[[#This Row],[Selling price]]</f>
        <v>1000</v>
      </c>
      <c r="J892" s="33">
        <f>IF(Town_Team[[#This Row],[Item name]]=" Jeans - Denim",Town_Team[[#This Row],[Item Amount]]*85%,Town_Team[[#This Row],[Item Amount]])</f>
        <v>1000</v>
      </c>
      <c r="K892" s="39" t="str">
        <f>TEXT(Town_Team[[#This Row],[Date ]],"dddd")</f>
        <v>Sunday</v>
      </c>
    </row>
    <row r="893" spans="2:11" hidden="1" x14ac:dyDescent="0.3">
      <c r="B893" s="20">
        <v>889</v>
      </c>
      <c r="C893" s="19">
        <v>44354</v>
      </c>
      <c r="D893" s="21" t="s">
        <v>9</v>
      </c>
      <c r="E893" s="21" t="s">
        <v>10</v>
      </c>
      <c r="F893" s="21" t="s">
        <v>11</v>
      </c>
      <c r="G893" s="22">
        <v>1100</v>
      </c>
      <c r="H893" s="20">
        <v>1</v>
      </c>
      <c r="I893" s="32">
        <f>Town_Team[[#This Row],[Item quantity]]*Town_Team[[#This Row],[Selling price]]</f>
        <v>1100</v>
      </c>
      <c r="J893" s="33">
        <f>IF(Town_Team[[#This Row],[Item name]]=" Jeans - Denim",Town_Team[[#This Row],[Item Amount]]*85%,Town_Team[[#This Row],[Item Amount]])</f>
        <v>1100</v>
      </c>
      <c r="K893" s="39" t="str">
        <f>TEXT(Town_Team[[#This Row],[Date ]],"dddd")</f>
        <v>Monday</v>
      </c>
    </row>
    <row r="894" spans="2:11" hidden="1" x14ac:dyDescent="0.3">
      <c r="B894" s="20">
        <v>890</v>
      </c>
      <c r="C894" s="19">
        <v>44355</v>
      </c>
      <c r="D894" s="21" t="s">
        <v>9</v>
      </c>
      <c r="E894" s="21" t="s">
        <v>14</v>
      </c>
      <c r="F894" s="21" t="s">
        <v>11</v>
      </c>
      <c r="G894" s="22">
        <v>900</v>
      </c>
      <c r="H894" s="20">
        <v>1</v>
      </c>
      <c r="I894" s="32">
        <f>Town_Team[[#This Row],[Item quantity]]*Town_Team[[#This Row],[Selling price]]</f>
        <v>900</v>
      </c>
      <c r="J894" s="33">
        <f>IF(Town_Team[[#This Row],[Item name]]=" Jeans - Denim",Town_Team[[#This Row],[Item Amount]]*85%,Town_Team[[#This Row],[Item Amount]])</f>
        <v>900</v>
      </c>
      <c r="K894" s="39" t="str">
        <f>TEXT(Town_Team[[#This Row],[Date ]],"dddd")</f>
        <v>Tuesday</v>
      </c>
    </row>
    <row r="895" spans="2:11" hidden="1" x14ac:dyDescent="0.3">
      <c r="B895" s="20">
        <v>891</v>
      </c>
      <c r="C895" s="19">
        <v>44356</v>
      </c>
      <c r="D895" s="21" t="s">
        <v>9</v>
      </c>
      <c r="E895" s="21" t="s">
        <v>12</v>
      </c>
      <c r="F895" s="21" t="s">
        <v>11</v>
      </c>
      <c r="G895" s="22">
        <v>900</v>
      </c>
      <c r="H895" s="20">
        <v>1</v>
      </c>
      <c r="I895" s="32">
        <f>Town_Team[[#This Row],[Item quantity]]*Town_Team[[#This Row],[Selling price]]</f>
        <v>900</v>
      </c>
      <c r="J895" s="33">
        <f>IF(Town_Team[[#This Row],[Item name]]=" Jeans - Denim",Town_Team[[#This Row],[Item Amount]]*85%,Town_Team[[#This Row],[Item Amount]])</f>
        <v>765</v>
      </c>
      <c r="K895" s="39" t="str">
        <f>TEXT(Town_Team[[#This Row],[Date ]],"dddd")</f>
        <v>Wednesday</v>
      </c>
    </row>
    <row r="896" spans="2:11" hidden="1" x14ac:dyDescent="0.3">
      <c r="B896" s="20">
        <v>892</v>
      </c>
      <c r="C896" s="19">
        <v>44357</v>
      </c>
      <c r="D896" s="21" t="s">
        <v>9</v>
      </c>
      <c r="E896" s="21" t="s">
        <v>10</v>
      </c>
      <c r="F896" s="21" t="s">
        <v>11</v>
      </c>
      <c r="G896" s="22">
        <v>1100</v>
      </c>
      <c r="H896" s="20">
        <v>1</v>
      </c>
      <c r="I896" s="32">
        <f>Town_Team[[#This Row],[Item quantity]]*Town_Team[[#This Row],[Selling price]]</f>
        <v>1100</v>
      </c>
      <c r="J896" s="33">
        <f>IF(Town_Team[[#This Row],[Item name]]=" Jeans - Denim",Town_Team[[#This Row],[Item Amount]]*85%,Town_Team[[#This Row],[Item Amount]])</f>
        <v>1100</v>
      </c>
      <c r="K896" s="39" t="str">
        <f>TEXT(Town_Team[[#This Row],[Date ]],"dddd")</f>
        <v>Thursday</v>
      </c>
    </row>
    <row r="897" spans="2:11" hidden="1" x14ac:dyDescent="0.3">
      <c r="B897" s="20">
        <v>893</v>
      </c>
      <c r="C897" s="19">
        <v>44358</v>
      </c>
      <c r="D897" s="21" t="s">
        <v>9</v>
      </c>
      <c r="E897" s="21" t="s">
        <v>10</v>
      </c>
      <c r="F897" s="21" t="s">
        <v>11</v>
      </c>
      <c r="G897" s="22">
        <v>1100</v>
      </c>
      <c r="H897" s="20">
        <v>1</v>
      </c>
      <c r="I897" s="32">
        <f>Town_Team[[#This Row],[Item quantity]]*Town_Team[[#This Row],[Selling price]]</f>
        <v>1100</v>
      </c>
      <c r="J897" s="33">
        <f>IF(Town_Team[[#This Row],[Item name]]=" Jeans - Denim",Town_Team[[#This Row],[Item Amount]]*85%,Town_Team[[#This Row],[Item Amount]])</f>
        <v>1100</v>
      </c>
      <c r="K897" s="39" t="str">
        <f>TEXT(Town_Team[[#This Row],[Date ]],"dddd")</f>
        <v>Friday</v>
      </c>
    </row>
    <row r="898" spans="2:11" hidden="1" x14ac:dyDescent="0.3">
      <c r="B898" s="20">
        <v>894</v>
      </c>
      <c r="C898" s="19">
        <v>44359</v>
      </c>
      <c r="D898" s="21" t="s">
        <v>9</v>
      </c>
      <c r="E898" s="21" t="s">
        <v>15</v>
      </c>
      <c r="F898" s="21" t="s">
        <v>11</v>
      </c>
      <c r="G898" s="22">
        <v>1000</v>
      </c>
      <c r="H898" s="20">
        <v>1</v>
      </c>
      <c r="I898" s="32">
        <f>Town_Team[[#This Row],[Item quantity]]*Town_Team[[#This Row],[Selling price]]</f>
        <v>1000</v>
      </c>
      <c r="J898" s="33">
        <f>IF(Town_Team[[#This Row],[Item name]]=" Jeans - Denim",Town_Team[[#This Row],[Item Amount]]*85%,Town_Team[[#This Row],[Item Amount]])</f>
        <v>1000</v>
      </c>
      <c r="K898" s="39" t="str">
        <f>TEXT(Town_Team[[#This Row],[Date ]],"dddd")</f>
        <v>Saturday</v>
      </c>
    </row>
    <row r="899" spans="2:11" hidden="1" x14ac:dyDescent="0.3">
      <c r="B899" s="20">
        <v>895</v>
      </c>
      <c r="C899" s="19">
        <v>44360</v>
      </c>
      <c r="D899" s="21" t="s">
        <v>9</v>
      </c>
      <c r="E899" s="21" t="s">
        <v>12</v>
      </c>
      <c r="F899" s="21" t="s">
        <v>11</v>
      </c>
      <c r="G899" s="22">
        <v>900</v>
      </c>
      <c r="H899" s="20">
        <v>1</v>
      </c>
      <c r="I899" s="32">
        <f>Town_Team[[#This Row],[Item quantity]]*Town_Team[[#This Row],[Selling price]]</f>
        <v>900</v>
      </c>
      <c r="J899" s="33">
        <f>IF(Town_Team[[#This Row],[Item name]]=" Jeans - Denim",Town_Team[[#This Row],[Item Amount]]*85%,Town_Team[[#This Row],[Item Amount]])</f>
        <v>765</v>
      </c>
      <c r="K899" s="39" t="str">
        <f>TEXT(Town_Team[[#This Row],[Date ]],"dddd")</f>
        <v>Sunday</v>
      </c>
    </row>
    <row r="900" spans="2:11" hidden="1" x14ac:dyDescent="0.3">
      <c r="B900" s="20">
        <v>896</v>
      </c>
      <c r="C900" s="19">
        <v>44361</v>
      </c>
      <c r="D900" s="21" t="s">
        <v>9</v>
      </c>
      <c r="E900" s="21" t="s">
        <v>18</v>
      </c>
      <c r="F900" s="21" t="s">
        <v>17</v>
      </c>
      <c r="G900" s="22">
        <v>600</v>
      </c>
      <c r="H900" s="20">
        <v>1</v>
      </c>
      <c r="I900" s="32">
        <f>Town_Team[[#This Row],[Item quantity]]*Town_Team[[#This Row],[Selling price]]</f>
        <v>600</v>
      </c>
      <c r="J900" s="33">
        <f>IF(Town_Team[[#This Row],[Item name]]=" Jeans - Denim",Town_Team[[#This Row],[Item Amount]]*85%,Town_Team[[#This Row],[Item Amount]])</f>
        <v>600</v>
      </c>
      <c r="K900" s="39" t="str">
        <f>TEXT(Town_Team[[#This Row],[Date ]],"dddd")</f>
        <v>Monday</v>
      </c>
    </row>
    <row r="901" spans="2:11" hidden="1" x14ac:dyDescent="0.3">
      <c r="B901" s="20">
        <v>897</v>
      </c>
      <c r="C901" s="19">
        <v>44362</v>
      </c>
      <c r="D901" s="21" t="s">
        <v>9</v>
      </c>
      <c r="E901" s="21" t="s">
        <v>12</v>
      </c>
      <c r="F901" s="21" t="s">
        <v>11</v>
      </c>
      <c r="G901" s="22">
        <v>900</v>
      </c>
      <c r="H901" s="20">
        <v>1</v>
      </c>
      <c r="I901" s="32">
        <f>Town_Team[[#This Row],[Item quantity]]*Town_Team[[#This Row],[Selling price]]</f>
        <v>900</v>
      </c>
      <c r="J901" s="33">
        <f>IF(Town_Team[[#This Row],[Item name]]=" Jeans - Denim",Town_Team[[#This Row],[Item Amount]]*85%,Town_Team[[#This Row],[Item Amount]])</f>
        <v>765</v>
      </c>
      <c r="K901" s="39" t="str">
        <f>TEXT(Town_Team[[#This Row],[Date ]],"dddd")</f>
        <v>Tuesday</v>
      </c>
    </row>
    <row r="902" spans="2:11" hidden="1" x14ac:dyDescent="0.3">
      <c r="B902" s="20">
        <v>898</v>
      </c>
      <c r="C902" s="19">
        <v>44363</v>
      </c>
      <c r="D902" s="21" t="s">
        <v>9</v>
      </c>
      <c r="E902" s="21" t="s">
        <v>18</v>
      </c>
      <c r="F902" s="21" t="s">
        <v>17</v>
      </c>
      <c r="G902" s="22">
        <v>600</v>
      </c>
      <c r="H902" s="20">
        <v>1</v>
      </c>
      <c r="I902" s="32">
        <f>Town_Team[[#This Row],[Item quantity]]*Town_Team[[#This Row],[Selling price]]</f>
        <v>600</v>
      </c>
      <c r="J902" s="33">
        <f>IF(Town_Team[[#This Row],[Item name]]=" Jeans - Denim",Town_Team[[#This Row],[Item Amount]]*85%,Town_Team[[#This Row],[Item Amount]])</f>
        <v>600</v>
      </c>
      <c r="K902" s="39" t="str">
        <f>TEXT(Town_Team[[#This Row],[Date ]],"dddd")</f>
        <v>Wednesday</v>
      </c>
    </row>
    <row r="903" spans="2:11" hidden="1" x14ac:dyDescent="0.3">
      <c r="B903" s="20">
        <v>899</v>
      </c>
      <c r="C903" s="19">
        <v>44364</v>
      </c>
      <c r="D903" s="21" t="s">
        <v>9</v>
      </c>
      <c r="E903" s="21" t="s">
        <v>14</v>
      </c>
      <c r="F903" s="21" t="s">
        <v>11</v>
      </c>
      <c r="G903" s="22">
        <v>900</v>
      </c>
      <c r="H903" s="20">
        <v>1</v>
      </c>
      <c r="I903" s="32">
        <f>Town_Team[[#This Row],[Item quantity]]*Town_Team[[#This Row],[Selling price]]</f>
        <v>900</v>
      </c>
      <c r="J903" s="33">
        <f>IF(Town_Team[[#This Row],[Item name]]=" Jeans - Denim",Town_Team[[#This Row],[Item Amount]]*85%,Town_Team[[#This Row],[Item Amount]])</f>
        <v>900</v>
      </c>
      <c r="K903" s="39" t="str">
        <f>TEXT(Town_Team[[#This Row],[Date ]],"dddd")</f>
        <v>Thursday</v>
      </c>
    </row>
    <row r="904" spans="2:11" hidden="1" x14ac:dyDescent="0.3">
      <c r="B904" s="20">
        <v>900</v>
      </c>
      <c r="C904" s="19">
        <v>44365</v>
      </c>
      <c r="D904" s="21" t="s">
        <v>9</v>
      </c>
      <c r="E904" s="21" t="s">
        <v>10</v>
      </c>
      <c r="F904" s="21" t="s">
        <v>11</v>
      </c>
      <c r="G904" s="22">
        <v>1100</v>
      </c>
      <c r="H904" s="20">
        <v>2</v>
      </c>
      <c r="I904" s="32">
        <f>Town_Team[[#This Row],[Item quantity]]*Town_Team[[#This Row],[Selling price]]</f>
        <v>2200</v>
      </c>
      <c r="J904" s="33">
        <f>IF(Town_Team[[#This Row],[Item name]]=" Jeans - Denim",Town_Team[[#This Row],[Item Amount]]*85%,Town_Team[[#This Row],[Item Amount]])</f>
        <v>2200</v>
      </c>
      <c r="K904" s="39" t="str">
        <f>TEXT(Town_Team[[#This Row],[Date ]],"dddd")</f>
        <v>Friday</v>
      </c>
    </row>
    <row r="905" spans="2:11" hidden="1" x14ac:dyDescent="0.3">
      <c r="B905" s="20">
        <v>901</v>
      </c>
      <c r="C905" s="19">
        <v>44366</v>
      </c>
      <c r="D905" s="21" t="s">
        <v>9</v>
      </c>
      <c r="E905" s="21" t="s">
        <v>18</v>
      </c>
      <c r="F905" s="21" t="s">
        <v>17</v>
      </c>
      <c r="G905" s="22">
        <v>600</v>
      </c>
      <c r="H905" s="20">
        <v>1</v>
      </c>
      <c r="I905" s="32">
        <f>Town_Team[[#This Row],[Item quantity]]*Town_Team[[#This Row],[Selling price]]</f>
        <v>600</v>
      </c>
      <c r="J905" s="33">
        <f>IF(Town_Team[[#This Row],[Item name]]=" Jeans - Denim",Town_Team[[#This Row],[Item Amount]]*85%,Town_Team[[#This Row],[Item Amount]])</f>
        <v>600</v>
      </c>
      <c r="K905" s="39" t="str">
        <f>TEXT(Town_Team[[#This Row],[Date ]],"dddd")</f>
        <v>Saturday</v>
      </c>
    </row>
    <row r="906" spans="2:11" hidden="1" x14ac:dyDescent="0.3">
      <c r="B906" s="20">
        <v>902</v>
      </c>
      <c r="C906" s="19">
        <v>44367</v>
      </c>
      <c r="D906" s="21" t="s">
        <v>9</v>
      </c>
      <c r="E906" s="21" t="s">
        <v>18</v>
      </c>
      <c r="F906" s="21" t="s">
        <v>17</v>
      </c>
      <c r="G906" s="22">
        <v>600</v>
      </c>
      <c r="H906" s="20">
        <v>1</v>
      </c>
      <c r="I906" s="32">
        <f>Town_Team[[#This Row],[Item quantity]]*Town_Team[[#This Row],[Selling price]]</f>
        <v>600</v>
      </c>
      <c r="J906" s="33">
        <f>IF(Town_Team[[#This Row],[Item name]]=" Jeans - Denim",Town_Team[[#This Row],[Item Amount]]*85%,Town_Team[[#This Row],[Item Amount]])</f>
        <v>600</v>
      </c>
      <c r="K906" s="39" t="str">
        <f>TEXT(Town_Team[[#This Row],[Date ]],"dddd")</f>
        <v>Sunday</v>
      </c>
    </row>
    <row r="907" spans="2:11" hidden="1" x14ac:dyDescent="0.3">
      <c r="B907" s="20">
        <v>903</v>
      </c>
      <c r="C907" s="19">
        <v>44368</v>
      </c>
      <c r="D907" s="21" t="s">
        <v>9</v>
      </c>
      <c r="E907" s="21" t="s">
        <v>14</v>
      </c>
      <c r="F907" s="21" t="s">
        <v>11</v>
      </c>
      <c r="G907" s="22">
        <v>900</v>
      </c>
      <c r="H907" s="20">
        <v>1</v>
      </c>
      <c r="I907" s="32">
        <f>Town_Team[[#This Row],[Item quantity]]*Town_Team[[#This Row],[Selling price]]</f>
        <v>900</v>
      </c>
      <c r="J907" s="33">
        <f>IF(Town_Team[[#This Row],[Item name]]=" Jeans - Denim",Town_Team[[#This Row],[Item Amount]]*85%,Town_Team[[#This Row],[Item Amount]])</f>
        <v>900</v>
      </c>
      <c r="K907" s="39" t="str">
        <f>TEXT(Town_Team[[#This Row],[Date ]],"dddd")</f>
        <v>Monday</v>
      </c>
    </row>
    <row r="908" spans="2:11" hidden="1" x14ac:dyDescent="0.3">
      <c r="B908" s="20">
        <v>904</v>
      </c>
      <c r="C908" s="19">
        <v>44369</v>
      </c>
      <c r="D908" s="21" t="s">
        <v>9</v>
      </c>
      <c r="E908" s="21" t="s">
        <v>10</v>
      </c>
      <c r="F908" s="21" t="s">
        <v>11</v>
      </c>
      <c r="G908" s="22">
        <v>1100</v>
      </c>
      <c r="H908" s="20">
        <v>1</v>
      </c>
      <c r="I908" s="32">
        <f>Town_Team[[#This Row],[Item quantity]]*Town_Team[[#This Row],[Selling price]]</f>
        <v>1100</v>
      </c>
      <c r="J908" s="33">
        <f>IF(Town_Team[[#This Row],[Item name]]=" Jeans - Denim",Town_Team[[#This Row],[Item Amount]]*85%,Town_Team[[#This Row],[Item Amount]])</f>
        <v>1100</v>
      </c>
      <c r="K908" s="39" t="str">
        <f>TEXT(Town_Team[[#This Row],[Date ]],"dddd")</f>
        <v>Tuesday</v>
      </c>
    </row>
    <row r="909" spans="2:11" hidden="1" x14ac:dyDescent="0.3">
      <c r="B909" s="20">
        <v>905</v>
      </c>
      <c r="C909" s="19">
        <v>44370</v>
      </c>
      <c r="D909" s="21" t="s">
        <v>9</v>
      </c>
      <c r="E909" s="21" t="s">
        <v>18</v>
      </c>
      <c r="F909" s="21" t="s">
        <v>17</v>
      </c>
      <c r="G909" s="22">
        <v>600</v>
      </c>
      <c r="H909" s="20">
        <v>1</v>
      </c>
      <c r="I909" s="32">
        <f>Town_Team[[#This Row],[Item quantity]]*Town_Team[[#This Row],[Selling price]]</f>
        <v>600</v>
      </c>
      <c r="J909" s="33">
        <f>IF(Town_Team[[#This Row],[Item name]]=" Jeans - Denim",Town_Team[[#This Row],[Item Amount]]*85%,Town_Team[[#This Row],[Item Amount]])</f>
        <v>600</v>
      </c>
      <c r="K909" s="39" t="str">
        <f>TEXT(Town_Team[[#This Row],[Date ]],"dddd")</f>
        <v>Wednesday</v>
      </c>
    </row>
    <row r="910" spans="2:11" hidden="1" x14ac:dyDescent="0.3">
      <c r="B910" s="20">
        <v>906</v>
      </c>
      <c r="C910" s="19">
        <v>44371</v>
      </c>
      <c r="D910" s="21" t="s">
        <v>9</v>
      </c>
      <c r="E910" s="21" t="s">
        <v>24</v>
      </c>
      <c r="F910" s="21" t="s">
        <v>23</v>
      </c>
      <c r="G910" s="22">
        <v>600</v>
      </c>
      <c r="H910" s="20">
        <v>1</v>
      </c>
      <c r="I910" s="32">
        <f>Town_Team[[#This Row],[Item quantity]]*Town_Team[[#This Row],[Selling price]]</f>
        <v>600</v>
      </c>
      <c r="J910" s="33">
        <f>IF(Town_Team[[#This Row],[Item name]]=" Jeans - Denim",Town_Team[[#This Row],[Item Amount]]*85%,Town_Team[[#This Row],[Item Amount]])</f>
        <v>600</v>
      </c>
      <c r="K910" s="39" t="str">
        <f>TEXT(Town_Team[[#This Row],[Date ]],"dddd")</f>
        <v>Thursday</v>
      </c>
    </row>
    <row r="911" spans="2:11" hidden="1" x14ac:dyDescent="0.3">
      <c r="B911" s="20">
        <v>907</v>
      </c>
      <c r="C911" s="19">
        <v>44372</v>
      </c>
      <c r="D911" s="21" t="s">
        <v>9</v>
      </c>
      <c r="E911" s="21" t="s">
        <v>18</v>
      </c>
      <c r="F911" s="21" t="s">
        <v>17</v>
      </c>
      <c r="G911" s="22">
        <v>600</v>
      </c>
      <c r="H911" s="20">
        <v>1</v>
      </c>
      <c r="I911" s="32">
        <f>Town_Team[[#This Row],[Item quantity]]*Town_Team[[#This Row],[Selling price]]</f>
        <v>600</v>
      </c>
      <c r="J911" s="33">
        <f>IF(Town_Team[[#This Row],[Item name]]=" Jeans - Denim",Town_Team[[#This Row],[Item Amount]]*85%,Town_Team[[#This Row],[Item Amount]])</f>
        <v>600</v>
      </c>
      <c r="K911" s="39" t="str">
        <f>TEXT(Town_Team[[#This Row],[Date ]],"dddd")</f>
        <v>Friday</v>
      </c>
    </row>
    <row r="912" spans="2:11" hidden="1" x14ac:dyDescent="0.3">
      <c r="B912" s="20">
        <v>908</v>
      </c>
      <c r="C912" s="19">
        <v>44373</v>
      </c>
      <c r="D912" s="21" t="s">
        <v>9</v>
      </c>
      <c r="E912" s="21" t="s">
        <v>24</v>
      </c>
      <c r="F912" s="21" t="s">
        <v>23</v>
      </c>
      <c r="G912" s="22">
        <v>600</v>
      </c>
      <c r="H912" s="20">
        <v>1</v>
      </c>
      <c r="I912" s="32">
        <f>Town_Team[[#This Row],[Item quantity]]*Town_Team[[#This Row],[Selling price]]</f>
        <v>600</v>
      </c>
      <c r="J912" s="33">
        <f>IF(Town_Team[[#This Row],[Item name]]=" Jeans - Denim",Town_Team[[#This Row],[Item Amount]]*85%,Town_Team[[#This Row],[Item Amount]])</f>
        <v>600</v>
      </c>
      <c r="K912" s="39" t="str">
        <f>TEXT(Town_Team[[#This Row],[Date ]],"dddd")</f>
        <v>Saturday</v>
      </c>
    </row>
    <row r="913" spans="2:11" hidden="1" x14ac:dyDescent="0.3">
      <c r="B913" s="20">
        <v>909</v>
      </c>
      <c r="C913" s="19">
        <v>44374</v>
      </c>
      <c r="D913" s="21" t="s">
        <v>9</v>
      </c>
      <c r="E913" s="21" t="s">
        <v>24</v>
      </c>
      <c r="F913" s="21" t="s">
        <v>23</v>
      </c>
      <c r="G913" s="22">
        <v>600</v>
      </c>
      <c r="H913" s="20">
        <v>2</v>
      </c>
      <c r="I913" s="32">
        <f>Town_Team[[#This Row],[Item quantity]]*Town_Team[[#This Row],[Selling price]]</f>
        <v>1200</v>
      </c>
      <c r="J913" s="33">
        <f>IF(Town_Team[[#This Row],[Item name]]=" Jeans - Denim",Town_Team[[#This Row],[Item Amount]]*85%,Town_Team[[#This Row],[Item Amount]])</f>
        <v>1200</v>
      </c>
      <c r="K913" s="39" t="str">
        <f>TEXT(Town_Team[[#This Row],[Date ]],"dddd")</f>
        <v>Sunday</v>
      </c>
    </row>
    <row r="914" spans="2:11" hidden="1" x14ac:dyDescent="0.3">
      <c r="B914" s="20">
        <v>910</v>
      </c>
      <c r="C914" s="19">
        <v>44375</v>
      </c>
      <c r="D914" s="21" t="s">
        <v>9</v>
      </c>
      <c r="E914" s="21" t="s">
        <v>18</v>
      </c>
      <c r="F914" s="21" t="s">
        <v>17</v>
      </c>
      <c r="G914" s="22">
        <v>600</v>
      </c>
      <c r="H914" s="20">
        <v>1</v>
      </c>
      <c r="I914" s="32">
        <f>Town_Team[[#This Row],[Item quantity]]*Town_Team[[#This Row],[Selling price]]</f>
        <v>600</v>
      </c>
      <c r="J914" s="33">
        <f>IF(Town_Team[[#This Row],[Item name]]=" Jeans - Denim",Town_Team[[#This Row],[Item Amount]]*85%,Town_Team[[#This Row],[Item Amount]])</f>
        <v>600</v>
      </c>
      <c r="K914" s="39" t="str">
        <f>TEXT(Town_Team[[#This Row],[Date ]],"dddd")</f>
        <v>Monday</v>
      </c>
    </row>
    <row r="915" spans="2:11" hidden="1" x14ac:dyDescent="0.3">
      <c r="B915" s="20">
        <v>911</v>
      </c>
      <c r="C915" s="19">
        <v>44376</v>
      </c>
      <c r="D915" s="21" t="s">
        <v>9</v>
      </c>
      <c r="E915" s="21" t="s">
        <v>10</v>
      </c>
      <c r="F915" s="21" t="s">
        <v>11</v>
      </c>
      <c r="G915" s="22">
        <v>1100</v>
      </c>
      <c r="H915" s="20">
        <v>3</v>
      </c>
      <c r="I915" s="32">
        <f>Town_Team[[#This Row],[Item quantity]]*Town_Team[[#This Row],[Selling price]]</f>
        <v>3300</v>
      </c>
      <c r="J915" s="33">
        <f>IF(Town_Team[[#This Row],[Item name]]=" Jeans - Denim",Town_Team[[#This Row],[Item Amount]]*85%,Town_Team[[#This Row],[Item Amount]])</f>
        <v>3300</v>
      </c>
      <c r="K915" s="39" t="str">
        <f>TEXT(Town_Team[[#This Row],[Date ]],"dddd")</f>
        <v>Tuesday</v>
      </c>
    </row>
    <row r="916" spans="2:11" hidden="1" x14ac:dyDescent="0.3">
      <c r="B916" s="20">
        <v>912</v>
      </c>
      <c r="C916" s="19">
        <v>44377</v>
      </c>
      <c r="D916" s="21" t="s">
        <v>9</v>
      </c>
      <c r="E916" s="21" t="s">
        <v>10</v>
      </c>
      <c r="F916" s="21" t="s">
        <v>11</v>
      </c>
      <c r="G916" s="22">
        <v>1100</v>
      </c>
      <c r="H916" s="20">
        <v>1</v>
      </c>
      <c r="I916" s="32">
        <f>Town_Team[[#This Row],[Item quantity]]*Town_Team[[#This Row],[Selling price]]</f>
        <v>1100</v>
      </c>
      <c r="J916" s="33">
        <f>IF(Town_Team[[#This Row],[Item name]]=" Jeans - Denim",Town_Team[[#This Row],[Item Amount]]*85%,Town_Team[[#This Row],[Item Amount]])</f>
        <v>1100</v>
      </c>
      <c r="K916" s="39" t="str">
        <f>TEXT(Town_Team[[#This Row],[Date ]],"dddd")</f>
        <v>Wednesday</v>
      </c>
    </row>
    <row r="917" spans="2:11" hidden="1" x14ac:dyDescent="0.3">
      <c r="B917" s="20">
        <v>913</v>
      </c>
      <c r="C917" s="19">
        <v>44378</v>
      </c>
      <c r="D917" s="21" t="s">
        <v>9</v>
      </c>
      <c r="E917" s="21" t="s">
        <v>19</v>
      </c>
      <c r="F917" s="21" t="s">
        <v>20</v>
      </c>
      <c r="G917" s="22">
        <v>850</v>
      </c>
      <c r="H917" s="20">
        <v>1</v>
      </c>
      <c r="I917" s="32">
        <f>Town_Team[[#This Row],[Item quantity]]*Town_Team[[#This Row],[Selling price]]</f>
        <v>850</v>
      </c>
      <c r="J917" s="33">
        <f>IF(Town_Team[[#This Row],[Item name]]=" Jeans - Denim",Town_Team[[#This Row],[Item Amount]]*85%,Town_Team[[#This Row],[Item Amount]])</f>
        <v>850</v>
      </c>
      <c r="K917" s="39" t="str">
        <f>TEXT(Town_Team[[#This Row],[Date ]],"dddd")</f>
        <v>Thursday</v>
      </c>
    </row>
    <row r="918" spans="2:11" hidden="1" x14ac:dyDescent="0.3">
      <c r="B918" s="20">
        <v>914</v>
      </c>
      <c r="C918" s="19">
        <v>44379</v>
      </c>
      <c r="D918" s="21" t="s">
        <v>9</v>
      </c>
      <c r="E918" s="21" t="s">
        <v>21</v>
      </c>
      <c r="F918" s="21" t="s">
        <v>20</v>
      </c>
      <c r="G918" s="22">
        <v>1200</v>
      </c>
      <c r="H918" s="20">
        <v>1</v>
      </c>
      <c r="I918" s="32">
        <f>Town_Team[[#This Row],[Item quantity]]*Town_Team[[#This Row],[Selling price]]</f>
        <v>1200</v>
      </c>
      <c r="J918" s="33">
        <f>IF(Town_Team[[#This Row],[Item name]]=" Jeans - Denim",Town_Team[[#This Row],[Item Amount]]*85%,Town_Team[[#This Row],[Item Amount]])</f>
        <v>1200</v>
      </c>
      <c r="K918" s="39" t="str">
        <f>TEXT(Town_Team[[#This Row],[Date ]],"dddd")</f>
        <v>Friday</v>
      </c>
    </row>
    <row r="919" spans="2:11" hidden="1" x14ac:dyDescent="0.3">
      <c r="B919" s="20">
        <v>915</v>
      </c>
      <c r="C919" s="19">
        <v>44380</v>
      </c>
      <c r="D919" s="21" t="s">
        <v>9</v>
      </c>
      <c r="E919" s="21" t="s">
        <v>16</v>
      </c>
      <c r="F919" s="21" t="s">
        <v>17</v>
      </c>
      <c r="G919" s="22">
        <v>800</v>
      </c>
      <c r="H919" s="20">
        <v>1</v>
      </c>
      <c r="I919" s="32">
        <f>Town_Team[[#This Row],[Item quantity]]*Town_Team[[#This Row],[Selling price]]</f>
        <v>800</v>
      </c>
      <c r="J919" s="33">
        <f>IF(Town_Team[[#This Row],[Item name]]=" Jeans - Denim",Town_Team[[#This Row],[Item Amount]]*85%,Town_Team[[#This Row],[Item Amount]])</f>
        <v>800</v>
      </c>
      <c r="K919" s="39" t="str">
        <f>TEXT(Town_Team[[#This Row],[Date ]],"dddd")</f>
        <v>Saturday</v>
      </c>
    </row>
    <row r="920" spans="2:11" hidden="1" x14ac:dyDescent="0.3">
      <c r="B920" s="20">
        <v>916</v>
      </c>
      <c r="C920" s="19">
        <v>44381</v>
      </c>
      <c r="D920" s="21" t="s">
        <v>9</v>
      </c>
      <c r="E920" s="21" t="s">
        <v>14</v>
      </c>
      <c r="F920" s="21" t="s">
        <v>11</v>
      </c>
      <c r="G920" s="22">
        <v>900</v>
      </c>
      <c r="H920" s="20">
        <v>1</v>
      </c>
      <c r="I920" s="32">
        <f>Town_Team[[#This Row],[Item quantity]]*Town_Team[[#This Row],[Selling price]]</f>
        <v>900</v>
      </c>
      <c r="J920" s="33">
        <f>IF(Town_Team[[#This Row],[Item name]]=" Jeans - Denim",Town_Team[[#This Row],[Item Amount]]*85%,Town_Team[[#This Row],[Item Amount]])</f>
        <v>900</v>
      </c>
      <c r="K920" s="39" t="str">
        <f>TEXT(Town_Team[[#This Row],[Date ]],"dddd")</f>
        <v>Sunday</v>
      </c>
    </row>
    <row r="921" spans="2:11" hidden="1" x14ac:dyDescent="0.3">
      <c r="B921" s="20">
        <v>917</v>
      </c>
      <c r="C921" s="19">
        <v>44382</v>
      </c>
      <c r="D921" s="21" t="s">
        <v>9</v>
      </c>
      <c r="E921" s="21" t="s">
        <v>10</v>
      </c>
      <c r="F921" s="21" t="s">
        <v>11</v>
      </c>
      <c r="G921" s="22">
        <v>1100</v>
      </c>
      <c r="H921" s="20">
        <v>1</v>
      </c>
      <c r="I921" s="32">
        <f>Town_Team[[#This Row],[Item quantity]]*Town_Team[[#This Row],[Selling price]]</f>
        <v>1100</v>
      </c>
      <c r="J921" s="33">
        <f>IF(Town_Team[[#This Row],[Item name]]=" Jeans - Denim",Town_Team[[#This Row],[Item Amount]]*85%,Town_Team[[#This Row],[Item Amount]])</f>
        <v>1100</v>
      </c>
      <c r="K921" s="39" t="str">
        <f>TEXT(Town_Team[[#This Row],[Date ]],"dddd")</f>
        <v>Monday</v>
      </c>
    </row>
    <row r="922" spans="2:11" hidden="1" x14ac:dyDescent="0.3">
      <c r="B922" s="20">
        <v>918</v>
      </c>
      <c r="C922" s="19">
        <v>44383</v>
      </c>
      <c r="D922" s="21" t="s">
        <v>9</v>
      </c>
      <c r="E922" s="21" t="s">
        <v>12</v>
      </c>
      <c r="F922" s="21" t="s">
        <v>11</v>
      </c>
      <c r="G922" s="22">
        <v>900</v>
      </c>
      <c r="H922" s="20">
        <v>1</v>
      </c>
      <c r="I922" s="32">
        <f>Town_Team[[#This Row],[Item quantity]]*Town_Team[[#This Row],[Selling price]]</f>
        <v>900</v>
      </c>
      <c r="J922" s="33">
        <f>IF(Town_Team[[#This Row],[Item name]]=" Jeans - Denim",Town_Team[[#This Row],[Item Amount]]*85%,Town_Team[[#This Row],[Item Amount]])</f>
        <v>765</v>
      </c>
      <c r="K922" s="39" t="str">
        <f>TEXT(Town_Team[[#This Row],[Date ]],"dddd")</f>
        <v>Tuesday</v>
      </c>
    </row>
    <row r="923" spans="2:11" hidden="1" x14ac:dyDescent="0.3">
      <c r="B923" s="20">
        <v>919</v>
      </c>
      <c r="C923" s="19">
        <v>44384</v>
      </c>
      <c r="D923" s="21" t="s">
        <v>9</v>
      </c>
      <c r="E923" s="21" t="s">
        <v>10</v>
      </c>
      <c r="F923" s="21" t="s">
        <v>11</v>
      </c>
      <c r="G923" s="22">
        <v>1100</v>
      </c>
      <c r="H923" s="20">
        <v>1</v>
      </c>
      <c r="I923" s="32">
        <f>Town_Team[[#This Row],[Item quantity]]*Town_Team[[#This Row],[Selling price]]</f>
        <v>1100</v>
      </c>
      <c r="J923" s="33">
        <f>IF(Town_Team[[#This Row],[Item name]]=" Jeans - Denim",Town_Team[[#This Row],[Item Amount]]*85%,Town_Team[[#This Row],[Item Amount]])</f>
        <v>1100</v>
      </c>
      <c r="K923" s="39" t="str">
        <f>TEXT(Town_Team[[#This Row],[Date ]],"dddd")</f>
        <v>Wednesday</v>
      </c>
    </row>
    <row r="924" spans="2:11" hidden="1" x14ac:dyDescent="0.3">
      <c r="B924" s="20">
        <v>920</v>
      </c>
      <c r="C924" s="19">
        <v>44385</v>
      </c>
      <c r="D924" s="21" t="s">
        <v>9</v>
      </c>
      <c r="E924" s="21" t="s">
        <v>22</v>
      </c>
      <c r="F924" s="21" t="s">
        <v>23</v>
      </c>
      <c r="G924" s="22">
        <v>900</v>
      </c>
      <c r="H924" s="20">
        <v>1</v>
      </c>
      <c r="I924" s="32">
        <f>Town_Team[[#This Row],[Item quantity]]*Town_Team[[#This Row],[Selling price]]</f>
        <v>900</v>
      </c>
      <c r="J924" s="33">
        <f>IF(Town_Team[[#This Row],[Item name]]=" Jeans - Denim",Town_Team[[#This Row],[Item Amount]]*85%,Town_Team[[#This Row],[Item Amount]])</f>
        <v>900</v>
      </c>
      <c r="K924" s="39" t="str">
        <f>TEXT(Town_Team[[#This Row],[Date ]],"dddd")</f>
        <v>Thursday</v>
      </c>
    </row>
    <row r="925" spans="2:11" hidden="1" x14ac:dyDescent="0.3">
      <c r="B925" s="20">
        <v>921</v>
      </c>
      <c r="C925" s="19">
        <v>44386</v>
      </c>
      <c r="D925" s="21" t="s">
        <v>9</v>
      </c>
      <c r="E925" s="21" t="s">
        <v>22</v>
      </c>
      <c r="F925" s="21" t="s">
        <v>23</v>
      </c>
      <c r="G925" s="22">
        <v>500</v>
      </c>
      <c r="H925" s="20">
        <v>1</v>
      </c>
      <c r="I925" s="32">
        <f>Town_Team[[#This Row],[Item quantity]]*Town_Team[[#This Row],[Selling price]]</f>
        <v>500</v>
      </c>
      <c r="J925" s="33">
        <f>IF(Town_Team[[#This Row],[Item name]]=" Jeans - Denim",Town_Team[[#This Row],[Item Amount]]*85%,Town_Team[[#This Row],[Item Amount]])</f>
        <v>500</v>
      </c>
      <c r="K925" s="39" t="str">
        <f>TEXT(Town_Team[[#This Row],[Date ]],"dddd")</f>
        <v>Friday</v>
      </c>
    </row>
    <row r="926" spans="2:11" hidden="1" x14ac:dyDescent="0.3">
      <c r="B926" s="20">
        <v>922</v>
      </c>
      <c r="C926" s="19">
        <v>44387</v>
      </c>
      <c r="D926" s="21" t="s">
        <v>9</v>
      </c>
      <c r="E926" s="21" t="s">
        <v>15</v>
      </c>
      <c r="F926" s="21" t="s">
        <v>11</v>
      </c>
      <c r="G926" s="22">
        <v>1000</v>
      </c>
      <c r="H926" s="20">
        <v>1</v>
      </c>
      <c r="I926" s="32">
        <f>Town_Team[[#This Row],[Item quantity]]*Town_Team[[#This Row],[Selling price]]</f>
        <v>1000</v>
      </c>
      <c r="J926" s="33">
        <f>IF(Town_Team[[#This Row],[Item name]]=" Jeans - Denim",Town_Team[[#This Row],[Item Amount]]*85%,Town_Team[[#This Row],[Item Amount]])</f>
        <v>1000</v>
      </c>
      <c r="K926" s="39" t="str">
        <f>TEXT(Town_Team[[#This Row],[Date ]],"dddd")</f>
        <v>Saturday</v>
      </c>
    </row>
    <row r="927" spans="2:11" hidden="1" x14ac:dyDescent="0.3">
      <c r="B927" s="20">
        <v>923</v>
      </c>
      <c r="C927" s="19">
        <v>44388</v>
      </c>
      <c r="D927" s="21" t="s">
        <v>9</v>
      </c>
      <c r="E927" s="21" t="s">
        <v>24</v>
      </c>
      <c r="F927" s="21" t="s">
        <v>23</v>
      </c>
      <c r="G927" s="22">
        <v>600</v>
      </c>
      <c r="H927" s="20">
        <v>1</v>
      </c>
      <c r="I927" s="32">
        <f>Town_Team[[#This Row],[Item quantity]]*Town_Team[[#This Row],[Selling price]]</f>
        <v>600</v>
      </c>
      <c r="J927" s="33">
        <f>IF(Town_Team[[#This Row],[Item name]]=" Jeans - Denim",Town_Team[[#This Row],[Item Amount]]*85%,Town_Team[[#This Row],[Item Amount]])</f>
        <v>600</v>
      </c>
      <c r="K927" s="39" t="str">
        <f>TEXT(Town_Team[[#This Row],[Date ]],"dddd")</f>
        <v>Sunday</v>
      </c>
    </row>
    <row r="928" spans="2:11" hidden="1" x14ac:dyDescent="0.3">
      <c r="B928" s="20">
        <v>924</v>
      </c>
      <c r="C928" s="19">
        <v>44389</v>
      </c>
      <c r="D928" s="21" t="s">
        <v>9</v>
      </c>
      <c r="E928" s="21" t="s">
        <v>12</v>
      </c>
      <c r="F928" s="21" t="s">
        <v>11</v>
      </c>
      <c r="G928" s="22">
        <v>900</v>
      </c>
      <c r="H928" s="20">
        <v>2</v>
      </c>
      <c r="I928" s="32">
        <f>Town_Team[[#This Row],[Item quantity]]*Town_Team[[#This Row],[Selling price]]</f>
        <v>1800</v>
      </c>
      <c r="J928" s="33">
        <f>IF(Town_Team[[#This Row],[Item name]]=" Jeans - Denim",Town_Team[[#This Row],[Item Amount]]*85%,Town_Team[[#This Row],[Item Amount]])</f>
        <v>1530</v>
      </c>
      <c r="K928" s="39" t="str">
        <f>TEXT(Town_Team[[#This Row],[Date ]],"dddd")</f>
        <v>Monday</v>
      </c>
    </row>
    <row r="929" spans="2:11" hidden="1" x14ac:dyDescent="0.3">
      <c r="B929" s="20">
        <v>925</v>
      </c>
      <c r="C929" s="19">
        <v>44390</v>
      </c>
      <c r="D929" s="21" t="s">
        <v>9</v>
      </c>
      <c r="E929" s="21" t="s">
        <v>19</v>
      </c>
      <c r="F929" s="21" t="s">
        <v>20</v>
      </c>
      <c r="G929" s="22">
        <v>850</v>
      </c>
      <c r="H929" s="20">
        <v>1</v>
      </c>
      <c r="I929" s="32">
        <f>Town_Team[[#This Row],[Item quantity]]*Town_Team[[#This Row],[Selling price]]</f>
        <v>850</v>
      </c>
      <c r="J929" s="33">
        <f>IF(Town_Team[[#This Row],[Item name]]=" Jeans - Denim",Town_Team[[#This Row],[Item Amount]]*85%,Town_Team[[#This Row],[Item Amount]])</f>
        <v>850</v>
      </c>
      <c r="K929" s="39" t="str">
        <f>TEXT(Town_Team[[#This Row],[Date ]],"dddd")</f>
        <v>Tuesday</v>
      </c>
    </row>
    <row r="930" spans="2:11" hidden="1" x14ac:dyDescent="0.3">
      <c r="B930" s="20">
        <v>926</v>
      </c>
      <c r="C930" s="19">
        <v>44391</v>
      </c>
      <c r="D930" s="21" t="s">
        <v>9</v>
      </c>
      <c r="E930" s="21" t="s">
        <v>16</v>
      </c>
      <c r="F930" s="21" t="s">
        <v>17</v>
      </c>
      <c r="G930" s="22">
        <v>800</v>
      </c>
      <c r="H930" s="20">
        <v>1</v>
      </c>
      <c r="I930" s="32">
        <f>Town_Team[[#This Row],[Item quantity]]*Town_Team[[#This Row],[Selling price]]</f>
        <v>800</v>
      </c>
      <c r="J930" s="33">
        <f>IF(Town_Team[[#This Row],[Item name]]=" Jeans - Denim",Town_Team[[#This Row],[Item Amount]]*85%,Town_Team[[#This Row],[Item Amount]])</f>
        <v>800</v>
      </c>
      <c r="K930" s="39" t="str">
        <f>TEXT(Town_Team[[#This Row],[Date ]],"dddd")</f>
        <v>Wednesday</v>
      </c>
    </row>
    <row r="931" spans="2:11" hidden="1" x14ac:dyDescent="0.3">
      <c r="B931" s="20">
        <v>927</v>
      </c>
      <c r="C931" s="19">
        <v>44392</v>
      </c>
      <c r="D931" s="21" t="s">
        <v>9</v>
      </c>
      <c r="E931" s="21" t="s">
        <v>12</v>
      </c>
      <c r="F931" s="21" t="s">
        <v>11</v>
      </c>
      <c r="G931" s="22">
        <v>900</v>
      </c>
      <c r="H931" s="20">
        <v>1</v>
      </c>
      <c r="I931" s="32">
        <f>Town_Team[[#This Row],[Item quantity]]*Town_Team[[#This Row],[Selling price]]</f>
        <v>900</v>
      </c>
      <c r="J931" s="33">
        <f>IF(Town_Team[[#This Row],[Item name]]=" Jeans - Denim",Town_Team[[#This Row],[Item Amount]]*85%,Town_Team[[#This Row],[Item Amount]])</f>
        <v>765</v>
      </c>
      <c r="K931" s="39" t="str">
        <f>TEXT(Town_Team[[#This Row],[Date ]],"dddd")</f>
        <v>Thursday</v>
      </c>
    </row>
    <row r="932" spans="2:11" hidden="1" x14ac:dyDescent="0.3">
      <c r="B932" s="20">
        <v>928</v>
      </c>
      <c r="C932" s="19">
        <v>44393</v>
      </c>
      <c r="D932" s="21" t="s">
        <v>9</v>
      </c>
      <c r="E932" s="21" t="s">
        <v>12</v>
      </c>
      <c r="F932" s="21" t="s">
        <v>11</v>
      </c>
      <c r="G932" s="22">
        <v>900</v>
      </c>
      <c r="H932" s="20">
        <v>1</v>
      </c>
      <c r="I932" s="32">
        <f>Town_Team[[#This Row],[Item quantity]]*Town_Team[[#This Row],[Selling price]]</f>
        <v>900</v>
      </c>
      <c r="J932" s="33">
        <f>IF(Town_Team[[#This Row],[Item name]]=" Jeans - Denim",Town_Team[[#This Row],[Item Amount]]*85%,Town_Team[[#This Row],[Item Amount]])</f>
        <v>765</v>
      </c>
      <c r="K932" s="39" t="str">
        <f>TEXT(Town_Team[[#This Row],[Date ]],"dddd")</f>
        <v>Friday</v>
      </c>
    </row>
    <row r="933" spans="2:11" hidden="1" x14ac:dyDescent="0.3">
      <c r="B933" s="20">
        <v>929</v>
      </c>
      <c r="C933" s="19">
        <v>44394</v>
      </c>
      <c r="D933" s="21" t="s">
        <v>9</v>
      </c>
      <c r="E933" s="21" t="s">
        <v>10</v>
      </c>
      <c r="F933" s="21" t="s">
        <v>11</v>
      </c>
      <c r="G933" s="22">
        <v>1100</v>
      </c>
      <c r="H933" s="20">
        <v>1</v>
      </c>
      <c r="I933" s="32">
        <f>Town_Team[[#This Row],[Item quantity]]*Town_Team[[#This Row],[Selling price]]</f>
        <v>1100</v>
      </c>
      <c r="J933" s="33">
        <f>IF(Town_Team[[#This Row],[Item name]]=" Jeans - Denim",Town_Team[[#This Row],[Item Amount]]*85%,Town_Team[[#This Row],[Item Amount]])</f>
        <v>1100</v>
      </c>
      <c r="K933" s="39" t="str">
        <f>TEXT(Town_Team[[#This Row],[Date ]],"dddd")</f>
        <v>Saturday</v>
      </c>
    </row>
    <row r="934" spans="2:11" hidden="1" x14ac:dyDescent="0.3">
      <c r="B934" s="20">
        <v>930</v>
      </c>
      <c r="C934" s="19">
        <v>44395</v>
      </c>
      <c r="D934" s="21" t="s">
        <v>9</v>
      </c>
      <c r="E934" s="21" t="s">
        <v>14</v>
      </c>
      <c r="F934" s="21" t="s">
        <v>11</v>
      </c>
      <c r="G934" s="22">
        <v>900</v>
      </c>
      <c r="H934" s="20">
        <v>1</v>
      </c>
      <c r="I934" s="32">
        <f>Town_Team[[#This Row],[Item quantity]]*Town_Team[[#This Row],[Selling price]]</f>
        <v>900</v>
      </c>
      <c r="J934" s="33">
        <f>IF(Town_Team[[#This Row],[Item name]]=" Jeans - Denim",Town_Team[[#This Row],[Item Amount]]*85%,Town_Team[[#This Row],[Item Amount]])</f>
        <v>900</v>
      </c>
      <c r="K934" s="39" t="str">
        <f>TEXT(Town_Team[[#This Row],[Date ]],"dddd")</f>
        <v>Sunday</v>
      </c>
    </row>
    <row r="935" spans="2:11" hidden="1" x14ac:dyDescent="0.3">
      <c r="B935" s="20">
        <v>931</v>
      </c>
      <c r="C935" s="19">
        <v>44396</v>
      </c>
      <c r="D935" s="21" t="s">
        <v>9</v>
      </c>
      <c r="E935" s="21" t="s">
        <v>18</v>
      </c>
      <c r="F935" s="21" t="s">
        <v>17</v>
      </c>
      <c r="G935" s="22">
        <v>600</v>
      </c>
      <c r="H935" s="20">
        <v>1</v>
      </c>
      <c r="I935" s="32">
        <f>Town_Team[[#This Row],[Item quantity]]*Town_Team[[#This Row],[Selling price]]</f>
        <v>600</v>
      </c>
      <c r="J935" s="33">
        <f>IF(Town_Team[[#This Row],[Item name]]=" Jeans - Denim",Town_Team[[#This Row],[Item Amount]]*85%,Town_Team[[#This Row],[Item Amount]])</f>
        <v>600</v>
      </c>
      <c r="K935" s="39" t="str">
        <f>TEXT(Town_Team[[#This Row],[Date ]],"dddd")</f>
        <v>Monday</v>
      </c>
    </row>
    <row r="936" spans="2:11" hidden="1" x14ac:dyDescent="0.3">
      <c r="B936" s="20">
        <v>932</v>
      </c>
      <c r="C936" s="19">
        <v>44397</v>
      </c>
      <c r="D936" s="21" t="s">
        <v>9</v>
      </c>
      <c r="E936" s="21" t="s">
        <v>18</v>
      </c>
      <c r="F936" s="21" t="s">
        <v>17</v>
      </c>
      <c r="G936" s="22">
        <v>600</v>
      </c>
      <c r="H936" s="20">
        <v>1</v>
      </c>
      <c r="I936" s="32">
        <f>Town_Team[[#This Row],[Item quantity]]*Town_Team[[#This Row],[Selling price]]</f>
        <v>600</v>
      </c>
      <c r="J936" s="33">
        <f>IF(Town_Team[[#This Row],[Item name]]=" Jeans - Denim",Town_Team[[#This Row],[Item Amount]]*85%,Town_Team[[#This Row],[Item Amount]])</f>
        <v>600</v>
      </c>
      <c r="K936" s="39" t="str">
        <f>TEXT(Town_Team[[#This Row],[Date ]],"dddd")</f>
        <v>Tuesday</v>
      </c>
    </row>
    <row r="937" spans="2:11" hidden="1" x14ac:dyDescent="0.3">
      <c r="B937" s="20">
        <v>933</v>
      </c>
      <c r="C937" s="19">
        <v>44398</v>
      </c>
      <c r="D937" s="21" t="s">
        <v>9</v>
      </c>
      <c r="E937" s="21" t="s">
        <v>14</v>
      </c>
      <c r="F937" s="21" t="s">
        <v>11</v>
      </c>
      <c r="G937" s="22">
        <v>900</v>
      </c>
      <c r="H937" s="20">
        <v>1</v>
      </c>
      <c r="I937" s="32">
        <f>Town_Team[[#This Row],[Item quantity]]*Town_Team[[#This Row],[Selling price]]</f>
        <v>900</v>
      </c>
      <c r="J937" s="33">
        <f>IF(Town_Team[[#This Row],[Item name]]=" Jeans - Denim",Town_Team[[#This Row],[Item Amount]]*85%,Town_Team[[#This Row],[Item Amount]])</f>
        <v>900</v>
      </c>
      <c r="K937" s="39" t="str">
        <f>TEXT(Town_Team[[#This Row],[Date ]],"dddd")</f>
        <v>Wednesday</v>
      </c>
    </row>
    <row r="938" spans="2:11" hidden="1" x14ac:dyDescent="0.3">
      <c r="B938" s="20">
        <v>934</v>
      </c>
      <c r="C938" s="19">
        <v>44399</v>
      </c>
      <c r="D938" s="21" t="s">
        <v>9</v>
      </c>
      <c r="E938" s="21" t="s">
        <v>19</v>
      </c>
      <c r="F938" s="21" t="s">
        <v>20</v>
      </c>
      <c r="G938" s="22">
        <v>850</v>
      </c>
      <c r="H938" s="20">
        <v>1</v>
      </c>
      <c r="I938" s="32">
        <f>Town_Team[[#This Row],[Item quantity]]*Town_Team[[#This Row],[Selling price]]</f>
        <v>850</v>
      </c>
      <c r="J938" s="33">
        <f>IF(Town_Team[[#This Row],[Item name]]=" Jeans - Denim",Town_Team[[#This Row],[Item Amount]]*85%,Town_Team[[#This Row],[Item Amount]])</f>
        <v>850</v>
      </c>
      <c r="K938" s="39" t="str">
        <f>TEXT(Town_Team[[#This Row],[Date ]],"dddd")</f>
        <v>Thursday</v>
      </c>
    </row>
    <row r="939" spans="2:11" hidden="1" x14ac:dyDescent="0.3">
      <c r="B939" s="20">
        <v>935</v>
      </c>
      <c r="C939" s="19">
        <v>44400</v>
      </c>
      <c r="D939" s="21" t="s">
        <v>9</v>
      </c>
      <c r="E939" s="21" t="s">
        <v>14</v>
      </c>
      <c r="F939" s="21" t="s">
        <v>11</v>
      </c>
      <c r="G939" s="22">
        <v>900</v>
      </c>
      <c r="H939" s="20">
        <v>1</v>
      </c>
      <c r="I939" s="32">
        <f>Town_Team[[#This Row],[Item quantity]]*Town_Team[[#This Row],[Selling price]]</f>
        <v>900</v>
      </c>
      <c r="J939" s="33">
        <f>IF(Town_Team[[#This Row],[Item name]]=" Jeans - Denim",Town_Team[[#This Row],[Item Amount]]*85%,Town_Team[[#This Row],[Item Amount]])</f>
        <v>900</v>
      </c>
      <c r="K939" s="39" t="str">
        <f>TEXT(Town_Team[[#This Row],[Date ]],"dddd")</f>
        <v>Friday</v>
      </c>
    </row>
    <row r="940" spans="2:11" hidden="1" x14ac:dyDescent="0.3">
      <c r="B940" s="20">
        <v>936</v>
      </c>
      <c r="C940" s="19">
        <v>44401</v>
      </c>
      <c r="D940" s="21" t="s">
        <v>9</v>
      </c>
      <c r="E940" s="21" t="s">
        <v>18</v>
      </c>
      <c r="F940" s="21" t="s">
        <v>17</v>
      </c>
      <c r="G940" s="22">
        <v>600</v>
      </c>
      <c r="H940" s="20">
        <v>1</v>
      </c>
      <c r="I940" s="32">
        <f>Town_Team[[#This Row],[Item quantity]]*Town_Team[[#This Row],[Selling price]]</f>
        <v>600</v>
      </c>
      <c r="J940" s="33">
        <f>IF(Town_Team[[#This Row],[Item name]]=" Jeans - Denim",Town_Team[[#This Row],[Item Amount]]*85%,Town_Team[[#This Row],[Item Amount]])</f>
        <v>600</v>
      </c>
      <c r="K940" s="39" t="str">
        <f>TEXT(Town_Team[[#This Row],[Date ]],"dddd")</f>
        <v>Saturday</v>
      </c>
    </row>
    <row r="941" spans="2:11" hidden="1" x14ac:dyDescent="0.3">
      <c r="B941" s="20">
        <v>937</v>
      </c>
      <c r="C941" s="19">
        <v>44402</v>
      </c>
      <c r="D941" s="21" t="s">
        <v>9</v>
      </c>
      <c r="E941" s="21" t="s">
        <v>18</v>
      </c>
      <c r="F941" s="21" t="s">
        <v>17</v>
      </c>
      <c r="G941" s="22">
        <v>600</v>
      </c>
      <c r="H941" s="20">
        <v>1</v>
      </c>
      <c r="I941" s="32">
        <f>Town_Team[[#This Row],[Item quantity]]*Town_Team[[#This Row],[Selling price]]</f>
        <v>600</v>
      </c>
      <c r="J941" s="33">
        <f>IF(Town_Team[[#This Row],[Item name]]=" Jeans - Denim",Town_Team[[#This Row],[Item Amount]]*85%,Town_Team[[#This Row],[Item Amount]])</f>
        <v>600</v>
      </c>
      <c r="K941" s="39" t="str">
        <f>TEXT(Town_Team[[#This Row],[Date ]],"dddd")</f>
        <v>Sunday</v>
      </c>
    </row>
    <row r="942" spans="2:11" hidden="1" x14ac:dyDescent="0.3">
      <c r="B942" s="20">
        <v>938</v>
      </c>
      <c r="C942" s="19">
        <v>44403</v>
      </c>
      <c r="D942" s="21" t="s">
        <v>9</v>
      </c>
      <c r="E942" s="21" t="s">
        <v>10</v>
      </c>
      <c r="F942" s="21" t="s">
        <v>11</v>
      </c>
      <c r="G942" s="22">
        <v>1100</v>
      </c>
      <c r="H942" s="20">
        <v>1</v>
      </c>
      <c r="I942" s="32">
        <f>Town_Team[[#This Row],[Item quantity]]*Town_Team[[#This Row],[Selling price]]</f>
        <v>1100</v>
      </c>
      <c r="J942" s="33">
        <f>IF(Town_Team[[#This Row],[Item name]]=" Jeans - Denim",Town_Team[[#This Row],[Item Amount]]*85%,Town_Team[[#This Row],[Item Amount]])</f>
        <v>1100</v>
      </c>
      <c r="K942" s="39" t="str">
        <f>TEXT(Town_Team[[#This Row],[Date ]],"dddd")</f>
        <v>Monday</v>
      </c>
    </row>
    <row r="943" spans="2:11" hidden="1" x14ac:dyDescent="0.3">
      <c r="B943" s="20">
        <v>939</v>
      </c>
      <c r="C943" s="19">
        <v>44404</v>
      </c>
      <c r="D943" s="21" t="s">
        <v>9</v>
      </c>
      <c r="E943" s="21" t="s">
        <v>12</v>
      </c>
      <c r="F943" s="21" t="s">
        <v>11</v>
      </c>
      <c r="G943" s="22">
        <v>900</v>
      </c>
      <c r="H943" s="20">
        <v>1</v>
      </c>
      <c r="I943" s="32">
        <f>Town_Team[[#This Row],[Item quantity]]*Town_Team[[#This Row],[Selling price]]</f>
        <v>900</v>
      </c>
      <c r="J943" s="33">
        <f>IF(Town_Team[[#This Row],[Item name]]=" Jeans - Denim",Town_Team[[#This Row],[Item Amount]]*85%,Town_Team[[#This Row],[Item Amount]])</f>
        <v>765</v>
      </c>
      <c r="K943" s="39" t="str">
        <f>TEXT(Town_Team[[#This Row],[Date ]],"dddd")</f>
        <v>Tuesday</v>
      </c>
    </row>
    <row r="944" spans="2:11" hidden="1" x14ac:dyDescent="0.3">
      <c r="B944" s="20">
        <v>940</v>
      </c>
      <c r="C944" s="19">
        <v>44405</v>
      </c>
      <c r="D944" s="21" t="s">
        <v>9</v>
      </c>
      <c r="E944" s="21" t="s">
        <v>10</v>
      </c>
      <c r="F944" s="21" t="s">
        <v>11</v>
      </c>
      <c r="G944" s="22">
        <v>1100</v>
      </c>
      <c r="H944" s="20">
        <v>1</v>
      </c>
      <c r="I944" s="32">
        <f>Town_Team[[#This Row],[Item quantity]]*Town_Team[[#This Row],[Selling price]]</f>
        <v>1100</v>
      </c>
      <c r="J944" s="33">
        <f>IF(Town_Team[[#This Row],[Item name]]=" Jeans - Denim",Town_Team[[#This Row],[Item Amount]]*85%,Town_Team[[#This Row],[Item Amount]])</f>
        <v>1100</v>
      </c>
      <c r="K944" s="39" t="str">
        <f>TEXT(Town_Team[[#This Row],[Date ]],"dddd")</f>
        <v>Wednesday</v>
      </c>
    </row>
    <row r="945" spans="2:11" hidden="1" x14ac:dyDescent="0.3">
      <c r="B945" s="20">
        <v>941</v>
      </c>
      <c r="C945" s="19">
        <v>44406</v>
      </c>
      <c r="D945" s="21" t="s">
        <v>9</v>
      </c>
      <c r="E945" s="21" t="s">
        <v>18</v>
      </c>
      <c r="F945" s="21" t="s">
        <v>17</v>
      </c>
      <c r="G945" s="22">
        <v>600</v>
      </c>
      <c r="H945" s="20">
        <v>1</v>
      </c>
      <c r="I945" s="32">
        <f>Town_Team[[#This Row],[Item quantity]]*Town_Team[[#This Row],[Selling price]]</f>
        <v>600</v>
      </c>
      <c r="J945" s="33">
        <f>IF(Town_Team[[#This Row],[Item name]]=" Jeans - Denim",Town_Team[[#This Row],[Item Amount]]*85%,Town_Team[[#This Row],[Item Amount]])</f>
        <v>600</v>
      </c>
      <c r="K945" s="39" t="str">
        <f>TEXT(Town_Team[[#This Row],[Date ]],"dddd")</f>
        <v>Thursday</v>
      </c>
    </row>
    <row r="946" spans="2:11" hidden="1" x14ac:dyDescent="0.3">
      <c r="B946" s="20">
        <v>942</v>
      </c>
      <c r="C946" s="19">
        <v>44407</v>
      </c>
      <c r="D946" s="21" t="s">
        <v>9</v>
      </c>
      <c r="E946" s="21" t="s">
        <v>21</v>
      </c>
      <c r="F946" s="21" t="s">
        <v>20</v>
      </c>
      <c r="G946" s="22">
        <v>1200</v>
      </c>
      <c r="H946" s="20">
        <v>1</v>
      </c>
      <c r="I946" s="32">
        <f>Town_Team[[#This Row],[Item quantity]]*Town_Team[[#This Row],[Selling price]]</f>
        <v>1200</v>
      </c>
      <c r="J946" s="33">
        <f>IF(Town_Team[[#This Row],[Item name]]=" Jeans - Denim",Town_Team[[#This Row],[Item Amount]]*85%,Town_Team[[#This Row],[Item Amount]])</f>
        <v>1200</v>
      </c>
      <c r="K946" s="39" t="str">
        <f>TEXT(Town_Team[[#This Row],[Date ]],"dddd")</f>
        <v>Friday</v>
      </c>
    </row>
    <row r="947" spans="2:11" hidden="1" x14ac:dyDescent="0.3">
      <c r="B947" s="20">
        <v>943</v>
      </c>
      <c r="C947" s="19">
        <v>44408</v>
      </c>
      <c r="D947" s="21" t="s">
        <v>9</v>
      </c>
      <c r="E947" s="21" t="s">
        <v>24</v>
      </c>
      <c r="F947" s="21" t="s">
        <v>23</v>
      </c>
      <c r="G947" s="22">
        <v>600</v>
      </c>
      <c r="H947" s="20">
        <v>1</v>
      </c>
      <c r="I947" s="32">
        <f>Town_Team[[#This Row],[Item quantity]]*Town_Team[[#This Row],[Selling price]]</f>
        <v>600</v>
      </c>
      <c r="J947" s="33">
        <f>IF(Town_Team[[#This Row],[Item name]]=" Jeans - Denim",Town_Team[[#This Row],[Item Amount]]*85%,Town_Team[[#This Row],[Item Amount]])</f>
        <v>600</v>
      </c>
      <c r="K947" s="39" t="str">
        <f>TEXT(Town_Team[[#This Row],[Date ]],"dddd")</f>
        <v>Saturday</v>
      </c>
    </row>
    <row r="948" spans="2:11" hidden="1" x14ac:dyDescent="0.3">
      <c r="B948" s="20">
        <v>944</v>
      </c>
      <c r="C948" s="19">
        <v>44409</v>
      </c>
      <c r="D948" s="21" t="s">
        <v>9</v>
      </c>
      <c r="E948" s="21" t="s">
        <v>10</v>
      </c>
      <c r="F948" s="21" t="s">
        <v>11</v>
      </c>
      <c r="G948" s="22">
        <v>1100</v>
      </c>
      <c r="H948" s="20">
        <v>1</v>
      </c>
      <c r="I948" s="32">
        <f>Town_Team[[#This Row],[Item quantity]]*Town_Team[[#This Row],[Selling price]]</f>
        <v>1100</v>
      </c>
      <c r="J948" s="33">
        <f>IF(Town_Team[[#This Row],[Item name]]=" Jeans - Denim",Town_Team[[#This Row],[Item Amount]]*85%,Town_Team[[#This Row],[Item Amount]])</f>
        <v>1100</v>
      </c>
      <c r="K948" s="39" t="str">
        <f>TEXT(Town_Team[[#This Row],[Date ]],"dddd")</f>
        <v>Sunday</v>
      </c>
    </row>
    <row r="949" spans="2:11" hidden="1" x14ac:dyDescent="0.3">
      <c r="B949" s="20">
        <v>945</v>
      </c>
      <c r="C949" s="19">
        <v>44410</v>
      </c>
      <c r="D949" s="21" t="s">
        <v>9</v>
      </c>
      <c r="E949" s="21" t="s">
        <v>22</v>
      </c>
      <c r="F949" s="21" t="s">
        <v>23</v>
      </c>
      <c r="G949" s="22">
        <v>500</v>
      </c>
      <c r="H949" s="20">
        <v>1</v>
      </c>
      <c r="I949" s="32">
        <f>Town_Team[[#This Row],[Item quantity]]*Town_Team[[#This Row],[Selling price]]</f>
        <v>500</v>
      </c>
      <c r="J949" s="33">
        <f>IF(Town_Team[[#This Row],[Item name]]=" Jeans - Denim",Town_Team[[#This Row],[Item Amount]]*85%,Town_Team[[#This Row],[Item Amount]])</f>
        <v>500</v>
      </c>
      <c r="K949" s="39" t="str">
        <f>TEXT(Town_Team[[#This Row],[Date ]],"dddd")</f>
        <v>Monday</v>
      </c>
    </row>
    <row r="950" spans="2:11" hidden="1" x14ac:dyDescent="0.3">
      <c r="B950" s="20">
        <v>946</v>
      </c>
      <c r="C950" s="19">
        <v>44411</v>
      </c>
      <c r="D950" s="21" t="s">
        <v>9</v>
      </c>
      <c r="E950" s="21" t="s">
        <v>12</v>
      </c>
      <c r="F950" s="21" t="s">
        <v>11</v>
      </c>
      <c r="G950" s="22">
        <v>900</v>
      </c>
      <c r="H950" s="20">
        <v>1</v>
      </c>
      <c r="I950" s="32">
        <f>Town_Team[[#This Row],[Item quantity]]*Town_Team[[#This Row],[Selling price]]</f>
        <v>900</v>
      </c>
      <c r="J950" s="33">
        <f>IF(Town_Team[[#This Row],[Item name]]=" Jeans - Denim",Town_Team[[#This Row],[Item Amount]]*85%,Town_Team[[#This Row],[Item Amount]])</f>
        <v>765</v>
      </c>
      <c r="K950" s="39" t="str">
        <f>TEXT(Town_Team[[#This Row],[Date ]],"dddd")</f>
        <v>Tuesday</v>
      </c>
    </row>
    <row r="951" spans="2:11" hidden="1" x14ac:dyDescent="0.3">
      <c r="B951" s="20">
        <v>947</v>
      </c>
      <c r="C951" s="19">
        <v>44412</v>
      </c>
      <c r="D951" s="21" t="s">
        <v>9</v>
      </c>
      <c r="E951" s="21" t="s">
        <v>19</v>
      </c>
      <c r="F951" s="21" t="s">
        <v>20</v>
      </c>
      <c r="G951" s="22">
        <v>850</v>
      </c>
      <c r="H951" s="20">
        <v>1</v>
      </c>
      <c r="I951" s="32">
        <f>Town_Team[[#This Row],[Item quantity]]*Town_Team[[#This Row],[Selling price]]</f>
        <v>850</v>
      </c>
      <c r="J951" s="33">
        <f>IF(Town_Team[[#This Row],[Item name]]=" Jeans - Denim",Town_Team[[#This Row],[Item Amount]]*85%,Town_Team[[#This Row],[Item Amount]])</f>
        <v>850</v>
      </c>
      <c r="K951" s="39" t="str">
        <f>TEXT(Town_Team[[#This Row],[Date ]],"dddd")</f>
        <v>Wednesday</v>
      </c>
    </row>
    <row r="952" spans="2:11" hidden="1" x14ac:dyDescent="0.3">
      <c r="B952" s="20">
        <v>948</v>
      </c>
      <c r="C952" s="19">
        <v>44413</v>
      </c>
      <c r="D952" s="21" t="s">
        <v>9</v>
      </c>
      <c r="E952" s="21" t="s">
        <v>18</v>
      </c>
      <c r="F952" s="21" t="s">
        <v>17</v>
      </c>
      <c r="G952" s="22">
        <v>600</v>
      </c>
      <c r="H952" s="20">
        <v>1</v>
      </c>
      <c r="I952" s="32">
        <f>Town_Team[[#This Row],[Item quantity]]*Town_Team[[#This Row],[Selling price]]</f>
        <v>600</v>
      </c>
      <c r="J952" s="33">
        <f>IF(Town_Team[[#This Row],[Item name]]=" Jeans - Denim",Town_Team[[#This Row],[Item Amount]]*85%,Town_Team[[#This Row],[Item Amount]])</f>
        <v>600</v>
      </c>
      <c r="K952" s="39" t="str">
        <f>TEXT(Town_Team[[#This Row],[Date ]],"dddd")</f>
        <v>Thursday</v>
      </c>
    </row>
    <row r="953" spans="2:11" hidden="1" x14ac:dyDescent="0.3">
      <c r="B953" s="20">
        <v>949</v>
      </c>
      <c r="C953" s="19">
        <v>44414</v>
      </c>
      <c r="D953" s="21" t="s">
        <v>9</v>
      </c>
      <c r="E953" s="21" t="s">
        <v>10</v>
      </c>
      <c r="F953" s="21" t="s">
        <v>11</v>
      </c>
      <c r="G953" s="22">
        <v>1100</v>
      </c>
      <c r="H953" s="20">
        <v>1</v>
      </c>
      <c r="I953" s="32">
        <f>Town_Team[[#This Row],[Item quantity]]*Town_Team[[#This Row],[Selling price]]</f>
        <v>1100</v>
      </c>
      <c r="J953" s="33">
        <f>IF(Town_Team[[#This Row],[Item name]]=" Jeans - Denim",Town_Team[[#This Row],[Item Amount]]*85%,Town_Team[[#This Row],[Item Amount]])</f>
        <v>1100</v>
      </c>
      <c r="K953" s="39" t="str">
        <f>TEXT(Town_Team[[#This Row],[Date ]],"dddd")</f>
        <v>Friday</v>
      </c>
    </row>
    <row r="954" spans="2:11" hidden="1" x14ac:dyDescent="0.3">
      <c r="B954" s="20">
        <v>950</v>
      </c>
      <c r="C954" s="19">
        <v>44415</v>
      </c>
      <c r="D954" s="21" t="s">
        <v>9</v>
      </c>
      <c r="E954" s="21" t="s">
        <v>22</v>
      </c>
      <c r="F954" s="21" t="s">
        <v>23</v>
      </c>
      <c r="G954" s="22">
        <v>500</v>
      </c>
      <c r="H954" s="20">
        <v>1</v>
      </c>
      <c r="I954" s="32">
        <f>Town_Team[[#This Row],[Item quantity]]*Town_Team[[#This Row],[Selling price]]</f>
        <v>500</v>
      </c>
      <c r="J954" s="33">
        <f>IF(Town_Team[[#This Row],[Item name]]=" Jeans - Denim",Town_Team[[#This Row],[Item Amount]]*85%,Town_Team[[#This Row],[Item Amount]])</f>
        <v>500</v>
      </c>
      <c r="K954" s="39" t="str">
        <f>TEXT(Town_Team[[#This Row],[Date ]],"dddd")</f>
        <v>Saturday</v>
      </c>
    </row>
    <row r="955" spans="2:11" hidden="1" x14ac:dyDescent="0.3">
      <c r="B955" s="20">
        <v>951</v>
      </c>
      <c r="C955" s="19">
        <v>44416</v>
      </c>
      <c r="D955" s="21" t="s">
        <v>9</v>
      </c>
      <c r="E955" s="21" t="s">
        <v>18</v>
      </c>
      <c r="F955" s="21" t="s">
        <v>17</v>
      </c>
      <c r="G955" s="22">
        <v>600</v>
      </c>
      <c r="H955" s="20">
        <v>1</v>
      </c>
      <c r="I955" s="32">
        <f>Town_Team[[#This Row],[Item quantity]]*Town_Team[[#This Row],[Selling price]]</f>
        <v>600</v>
      </c>
      <c r="J955" s="33">
        <f>IF(Town_Team[[#This Row],[Item name]]=" Jeans - Denim",Town_Team[[#This Row],[Item Amount]]*85%,Town_Team[[#This Row],[Item Amount]])</f>
        <v>600</v>
      </c>
      <c r="K955" s="39" t="str">
        <f>TEXT(Town_Team[[#This Row],[Date ]],"dddd")</f>
        <v>Sunday</v>
      </c>
    </row>
    <row r="956" spans="2:11" hidden="1" x14ac:dyDescent="0.3">
      <c r="B956" s="20">
        <v>952</v>
      </c>
      <c r="C956" s="19">
        <v>44417</v>
      </c>
      <c r="D956" s="21" t="s">
        <v>9</v>
      </c>
      <c r="E956" s="21" t="s">
        <v>15</v>
      </c>
      <c r="F956" s="21" t="s">
        <v>11</v>
      </c>
      <c r="G956" s="22">
        <v>1000</v>
      </c>
      <c r="H956" s="20">
        <v>1</v>
      </c>
      <c r="I956" s="32">
        <f>Town_Team[[#This Row],[Item quantity]]*Town_Team[[#This Row],[Selling price]]</f>
        <v>1000</v>
      </c>
      <c r="J956" s="33">
        <f>IF(Town_Team[[#This Row],[Item name]]=" Jeans - Denim",Town_Team[[#This Row],[Item Amount]]*85%,Town_Team[[#This Row],[Item Amount]])</f>
        <v>1000</v>
      </c>
      <c r="K956" s="39" t="str">
        <f>TEXT(Town_Team[[#This Row],[Date ]],"dddd")</f>
        <v>Monday</v>
      </c>
    </row>
    <row r="957" spans="2:11" hidden="1" x14ac:dyDescent="0.3">
      <c r="B957" s="20">
        <v>953</v>
      </c>
      <c r="C957" s="19">
        <v>44418</v>
      </c>
      <c r="D957" s="21" t="s">
        <v>9</v>
      </c>
      <c r="E957" s="21" t="s">
        <v>18</v>
      </c>
      <c r="F957" s="21" t="s">
        <v>17</v>
      </c>
      <c r="G957" s="22">
        <v>600</v>
      </c>
      <c r="H957" s="20">
        <v>1</v>
      </c>
      <c r="I957" s="32">
        <f>Town_Team[[#This Row],[Item quantity]]*Town_Team[[#This Row],[Selling price]]</f>
        <v>600</v>
      </c>
      <c r="J957" s="33">
        <f>IF(Town_Team[[#This Row],[Item name]]=" Jeans - Denim",Town_Team[[#This Row],[Item Amount]]*85%,Town_Team[[#This Row],[Item Amount]])</f>
        <v>600</v>
      </c>
      <c r="K957" s="39" t="str">
        <f>TEXT(Town_Team[[#This Row],[Date ]],"dddd")</f>
        <v>Tuesday</v>
      </c>
    </row>
    <row r="958" spans="2:11" hidden="1" x14ac:dyDescent="0.3">
      <c r="B958" s="20">
        <v>954</v>
      </c>
      <c r="C958" s="19">
        <v>44419</v>
      </c>
      <c r="D958" s="21" t="s">
        <v>9</v>
      </c>
      <c r="E958" s="21" t="s">
        <v>10</v>
      </c>
      <c r="F958" s="21" t="s">
        <v>11</v>
      </c>
      <c r="G958" s="22">
        <v>1100</v>
      </c>
      <c r="H958" s="20">
        <v>1</v>
      </c>
      <c r="I958" s="32">
        <f>Town_Team[[#This Row],[Item quantity]]*Town_Team[[#This Row],[Selling price]]</f>
        <v>1100</v>
      </c>
      <c r="J958" s="33">
        <f>IF(Town_Team[[#This Row],[Item name]]=" Jeans - Denim",Town_Team[[#This Row],[Item Amount]]*85%,Town_Team[[#This Row],[Item Amount]])</f>
        <v>1100</v>
      </c>
      <c r="K958" s="39" t="str">
        <f>TEXT(Town_Team[[#This Row],[Date ]],"dddd")</f>
        <v>Wednesday</v>
      </c>
    </row>
    <row r="959" spans="2:11" hidden="1" x14ac:dyDescent="0.3">
      <c r="B959" s="20">
        <v>955</v>
      </c>
      <c r="C959" s="19">
        <v>44420</v>
      </c>
      <c r="D959" s="21" t="s">
        <v>9</v>
      </c>
      <c r="E959" s="21" t="s">
        <v>22</v>
      </c>
      <c r="F959" s="21" t="s">
        <v>23</v>
      </c>
      <c r="G959" s="22">
        <v>500</v>
      </c>
      <c r="H959" s="20">
        <v>1</v>
      </c>
      <c r="I959" s="32">
        <f>Town_Team[[#This Row],[Item quantity]]*Town_Team[[#This Row],[Selling price]]</f>
        <v>500</v>
      </c>
      <c r="J959" s="33">
        <f>IF(Town_Team[[#This Row],[Item name]]=" Jeans - Denim",Town_Team[[#This Row],[Item Amount]]*85%,Town_Team[[#This Row],[Item Amount]])</f>
        <v>500</v>
      </c>
      <c r="K959" s="39" t="str">
        <f>TEXT(Town_Team[[#This Row],[Date ]],"dddd")</f>
        <v>Thursday</v>
      </c>
    </row>
    <row r="960" spans="2:11" hidden="1" x14ac:dyDescent="0.3">
      <c r="B960" s="20">
        <v>956</v>
      </c>
      <c r="C960" s="19">
        <v>44421</v>
      </c>
      <c r="D960" s="21" t="s">
        <v>9</v>
      </c>
      <c r="E960" s="21" t="s">
        <v>10</v>
      </c>
      <c r="F960" s="21" t="s">
        <v>11</v>
      </c>
      <c r="G960" s="22">
        <v>1100</v>
      </c>
      <c r="H960" s="20">
        <v>2</v>
      </c>
      <c r="I960" s="32">
        <f>Town_Team[[#This Row],[Item quantity]]*Town_Team[[#This Row],[Selling price]]</f>
        <v>2200</v>
      </c>
      <c r="J960" s="33">
        <f>IF(Town_Team[[#This Row],[Item name]]=" Jeans - Denim",Town_Team[[#This Row],[Item Amount]]*85%,Town_Team[[#This Row],[Item Amount]])</f>
        <v>2200</v>
      </c>
      <c r="K960" s="39" t="str">
        <f>TEXT(Town_Team[[#This Row],[Date ]],"dddd")</f>
        <v>Friday</v>
      </c>
    </row>
    <row r="961" spans="2:11" hidden="1" x14ac:dyDescent="0.3">
      <c r="B961" s="20">
        <v>957</v>
      </c>
      <c r="C961" s="19">
        <v>44422</v>
      </c>
      <c r="D961" s="21" t="s">
        <v>9</v>
      </c>
      <c r="E961" s="21" t="s">
        <v>18</v>
      </c>
      <c r="F961" s="21" t="s">
        <v>17</v>
      </c>
      <c r="G961" s="22">
        <v>600</v>
      </c>
      <c r="H961" s="20">
        <v>1</v>
      </c>
      <c r="I961" s="32">
        <f>Town_Team[[#This Row],[Item quantity]]*Town_Team[[#This Row],[Selling price]]</f>
        <v>600</v>
      </c>
      <c r="J961" s="33">
        <f>IF(Town_Team[[#This Row],[Item name]]=" Jeans - Denim",Town_Team[[#This Row],[Item Amount]]*85%,Town_Team[[#This Row],[Item Amount]])</f>
        <v>600</v>
      </c>
      <c r="K961" s="39" t="str">
        <f>TEXT(Town_Team[[#This Row],[Date ]],"dddd")</f>
        <v>Saturday</v>
      </c>
    </row>
    <row r="962" spans="2:11" hidden="1" x14ac:dyDescent="0.3">
      <c r="B962" s="20">
        <v>958</v>
      </c>
      <c r="C962" s="19">
        <v>44423</v>
      </c>
      <c r="D962" s="21" t="s">
        <v>9</v>
      </c>
      <c r="E962" s="21" t="s">
        <v>16</v>
      </c>
      <c r="F962" s="21" t="s">
        <v>17</v>
      </c>
      <c r="G962" s="22">
        <v>800</v>
      </c>
      <c r="H962" s="20">
        <v>1</v>
      </c>
      <c r="I962" s="32">
        <f>Town_Team[[#This Row],[Item quantity]]*Town_Team[[#This Row],[Selling price]]</f>
        <v>800</v>
      </c>
      <c r="J962" s="33">
        <f>IF(Town_Team[[#This Row],[Item name]]=" Jeans - Denim",Town_Team[[#This Row],[Item Amount]]*85%,Town_Team[[#This Row],[Item Amount]])</f>
        <v>800</v>
      </c>
      <c r="K962" s="39" t="str">
        <f>TEXT(Town_Team[[#This Row],[Date ]],"dddd")</f>
        <v>Sunday</v>
      </c>
    </row>
    <row r="963" spans="2:11" hidden="1" x14ac:dyDescent="0.3">
      <c r="B963" s="20">
        <v>959</v>
      </c>
      <c r="C963" s="19">
        <v>44424</v>
      </c>
      <c r="D963" s="21" t="s">
        <v>9</v>
      </c>
      <c r="E963" s="21" t="s">
        <v>14</v>
      </c>
      <c r="F963" s="21" t="s">
        <v>11</v>
      </c>
      <c r="G963" s="22">
        <v>900</v>
      </c>
      <c r="H963" s="20">
        <v>1</v>
      </c>
      <c r="I963" s="32">
        <f>Town_Team[[#This Row],[Item quantity]]*Town_Team[[#This Row],[Selling price]]</f>
        <v>900</v>
      </c>
      <c r="J963" s="33">
        <f>IF(Town_Team[[#This Row],[Item name]]=" Jeans - Denim",Town_Team[[#This Row],[Item Amount]]*85%,Town_Team[[#This Row],[Item Amount]])</f>
        <v>900</v>
      </c>
      <c r="K963" s="39" t="str">
        <f>TEXT(Town_Team[[#This Row],[Date ]],"dddd")</f>
        <v>Monday</v>
      </c>
    </row>
    <row r="964" spans="2:11" hidden="1" x14ac:dyDescent="0.3">
      <c r="B964" s="20">
        <v>960</v>
      </c>
      <c r="C964" s="19">
        <v>44425</v>
      </c>
      <c r="D964" s="21" t="s">
        <v>9</v>
      </c>
      <c r="E964" s="21" t="s">
        <v>24</v>
      </c>
      <c r="F964" s="21" t="s">
        <v>23</v>
      </c>
      <c r="G964" s="22">
        <v>600</v>
      </c>
      <c r="H964" s="20">
        <v>1</v>
      </c>
      <c r="I964" s="32">
        <f>Town_Team[[#This Row],[Item quantity]]*Town_Team[[#This Row],[Selling price]]</f>
        <v>600</v>
      </c>
      <c r="J964" s="33">
        <f>IF(Town_Team[[#This Row],[Item name]]=" Jeans - Denim",Town_Team[[#This Row],[Item Amount]]*85%,Town_Team[[#This Row],[Item Amount]])</f>
        <v>600</v>
      </c>
      <c r="K964" s="39" t="str">
        <f>TEXT(Town_Team[[#This Row],[Date ]],"dddd")</f>
        <v>Tuesday</v>
      </c>
    </row>
    <row r="965" spans="2:11" hidden="1" x14ac:dyDescent="0.3">
      <c r="B965" s="20">
        <v>961</v>
      </c>
      <c r="C965" s="19">
        <v>44426</v>
      </c>
      <c r="D965" s="21" t="s">
        <v>9</v>
      </c>
      <c r="E965" s="21" t="s">
        <v>10</v>
      </c>
      <c r="F965" s="21" t="s">
        <v>11</v>
      </c>
      <c r="G965" s="22">
        <v>1100</v>
      </c>
      <c r="H965" s="20">
        <v>2</v>
      </c>
      <c r="I965" s="32">
        <f>Town_Team[[#This Row],[Item quantity]]*Town_Team[[#This Row],[Selling price]]</f>
        <v>2200</v>
      </c>
      <c r="J965" s="33">
        <f>IF(Town_Team[[#This Row],[Item name]]=" Jeans - Denim",Town_Team[[#This Row],[Item Amount]]*85%,Town_Team[[#This Row],[Item Amount]])</f>
        <v>2200</v>
      </c>
      <c r="K965" s="39" t="str">
        <f>TEXT(Town_Team[[#This Row],[Date ]],"dddd")</f>
        <v>Wednesday</v>
      </c>
    </row>
    <row r="966" spans="2:11" hidden="1" x14ac:dyDescent="0.3">
      <c r="B966" s="20">
        <v>962</v>
      </c>
      <c r="C966" s="19">
        <v>44427</v>
      </c>
      <c r="D966" s="21" t="s">
        <v>9</v>
      </c>
      <c r="E966" s="21" t="s">
        <v>24</v>
      </c>
      <c r="F966" s="21" t="s">
        <v>23</v>
      </c>
      <c r="G966" s="22">
        <v>600</v>
      </c>
      <c r="H966" s="20">
        <v>1</v>
      </c>
      <c r="I966" s="32">
        <f>Town_Team[[#This Row],[Item quantity]]*Town_Team[[#This Row],[Selling price]]</f>
        <v>600</v>
      </c>
      <c r="J966" s="33">
        <f>IF(Town_Team[[#This Row],[Item name]]=" Jeans - Denim",Town_Team[[#This Row],[Item Amount]]*85%,Town_Team[[#This Row],[Item Amount]])</f>
        <v>600</v>
      </c>
      <c r="K966" s="39" t="str">
        <f>TEXT(Town_Team[[#This Row],[Date ]],"dddd")</f>
        <v>Thursday</v>
      </c>
    </row>
    <row r="967" spans="2:11" hidden="1" x14ac:dyDescent="0.3">
      <c r="B967" s="20">
        <v>963</v>
      </c>
      <c r="C967" s="19">
        <v>44428</v>
      </c>
      <c r="D967" s="21" t="s">
        <v>9</v>
      </c>
      <c r="E967" s="21" t="s">
        <v>14</v>
      </c>
      <c r="F967" s="21" t="s">
        <v>11</v>
      </c>
      <c r="G967" s="22">
        <v>900</v>
      </c>
      <c r="H967" s="20">
        <v>1</v>
      </c>
      <c r="I967" s="32">
        <f>Town_Team[[#This Row],[Item quantity]]*Town_Team[[#This Row],[Selling price]]</f>
        <v>900</v>
      </c>
      <c r="J967" s="33">
        <f>IF(Town_Team[[#This Row],[Item name]]=" Jeans - Denim",Town_Team[[#This Row],[Item Amount]]*85%,Town_Team[[#This Row],[Item Amount]])</f>
        <v>900</v>
      </c>
      <c r="K967" s="39" t="str">
        <f>TEXT(Town_Team[[#This Row],[Date ]],"dddd")</f>
        <v>Friday</v>
      </c>
    </row>
    <row r="968" spans="2:11" hidden="1" x14ac:dyDescent="0.3">
      <c r="B968" s="20">
        <v>964</v>
      </c>
      <c r="C968" s="19">
        <v>44429</v>
      </c>
      <c r="D968" s="21" t="s">
        <v>9</v>
      </c>
      <c r="E968" s="21" t="s">
        <v>18</v>
      </c>
      <c r="F968" s="21" t="s">
        <v>17</v>
      </c>
      <c r="G968" s="22">
        <v>600</v>
      </c>
      <c r="H968" s="20">
        <v>1</v>
      </c>
      <c r="I968" s="32">
        <f>Town_Team[[#This Row],[Item quantity]]*Town_Team[[#This Row],[Selling price]]</f>
        <v>600</v>
      </c>
      <c r="J968" s="33">
        <f>IF(Town_Team[[#This Row],[Item name]]=" Jeans - Denim",Town_Team[[#This Row],[Item Amount]]*85%,Town_Team[[#This Row],[Item Amount]])</f>
        <v>600</v>
      </c>
      <c r="K968" s="39" t="str">
        <f>TEXT(Town_Team[[#This Row],[Date ]],"dddd")</f>
        <v>Saturday</v>
      </c>
    </row>
    <row r="969" spans="2:11" hidden="1" x14ac:dyDescent="0.3">
      <c r="B969" s="20">
        <v>965</v>
      </c>
      <c r="C969" s="19">
        <v>44430</v>
      </c>
      <c r="D969" s="21" t="s">
        <v>9</v>
      </c>
      <c r="E969" s="21" t="s">
        <v>12</v>
      </c>
      <c r="F969" s="21" t="s">
        <v>11</v>
      </c>
      <c r="G969" s="22">
        <v>900</v>
      </c>
      <c r="H969" s="20">
        <v>1</v>
      </c>
      <c r="I969" s="32">
        <f>Town_Team[[#This Row],[Item quantity]]*Town_Team[[#This Row],[Selling price]]</f>
        <v>900</v>
      </c>
      <c r="J969" s="33">
        <f>IF(Town_Team[[#This Row],[Item name]]=" Jeans - Denim",Town_Team[[#This Row],[Item Amount]]*85%,Town_Team[[#This Row],[Item Amount]])</f>
        <v>765</v>
      </c>
      <c r="K969" s="39" t="str">
        <f>TEXT(Town_Team[[#This Row],[Date ]],"dddd")</f>
        <v>Sunday</v>
      </c>
    </row>
    <row r="970" spans="2:11" hidden="1" x14ac:dyDescent="0.3">
      <c r="B970" s="20">
        <v>966</v>
      </c>
      <c r="C970" s="19">
        <v>44431</v>
      </c>
      <c r="D970" s="21" t="s">
        <v>9</v>
      </c>
      <c r="E970" s="21" t="s">
        <v>24</v>
      </c>
      <c r="F970" s="21" t="s">
        <v>23</v>
      </c>
      <c r="G970" s="22">
        <v>600</v>
      </c>
      <c r="H970" s="20">
        <v>1</v>
      </c>
      <c r="I970" s="32">
        <f>Town_Team[[#This Row],[Item quantity]]*Town_Team[[#This Row],[Selling price]]</f>
        <v>600</v>
      </c>
      <c r="J970" s="33">
        <f>IF(Town_Team[[#This Row],[Item name]]=" Jeans - Denim",Town_Team[[#This Row],[Item Amount]]*85%,Town_Team[[#This Row],[Item Amount]])</f>
        <v>600</v>
      </c>
      <c r="K970" s="39" t="str">
        <f>TEXT(Town_Team[[#This Row],[Date ]],"dddd")</f>
        <v>Monday</v>
      </c>
    </row>
    <row r="971" spans="2:11" hidden="1" x14ac:dyDescent="0.3">
      <c r="B971" s="20">
        <v>967</v>
      </c>
      <c r="C971" s="19">
        <v>44432</v>
      </c>
      <c r="D971" s="21" t="s">
        <v>9</v>
      </c>
      <c r="E971" s="21" t="s">
        <v>19</v>
      </c>
      <c r="F971" s="21" t="s">
        <v>20</v>
      </c>
      <c r="G971" s="22">
        <v>850</v>
      </c>
      <c r="H971" s="20">
        <v>1</v>
      </c>
      <c r="I971" s="32">
        <f>Town_Team[[#This Row],[Item quantity]]*Town_Team[[#This Row],[Selling price]]</f>
        <v>850</v>
      </c>
      <c r="J971" s="33">
        <f>IF(Town_Team[[#This Row],[Item name]]=" Jeans - Denim",Town_Team[[#This Row],[Item Amount]]*85%,Town_Team[[#This Row],[Item Amount]])</f>
        <v>850</v>
      </c>
      <c r="K971" s="39" t="str">
        <f>TEXT(Town_Team[[#This Row],[Date ]],"dddd")</f>
        <v>Tuesday</v>
      </c>
    </row>
    <row r="972" spans="2:11" hidden="1" x14ac:dyDescent="0.3">
      <c r="B972" s="20">
        <v>968</v>
      </c>
      <c r="C972" s="19">
        <v>44433</v>
      </c>
      <c r="D972" s="21" t="s">
        <v>9</v>
      </c>
      <c r="E972" s="21" t="s">
        <v>14</v>
      </c>
      <c r="F972" s="21" t="s">
        <v>11</v>
      </c>
      <c r="G972" s="22">
        <v>900</v>
      </c>
      <c r="H972" s="20">
        <v>1</v>
      </c>
      <c r="I972" s="32">
        <f>Town_Team[[#This Row],[Item quantity]]*Town_Team[[#This Row],[Selling price]]</f>
        <v>900</v>
      </c>
      <c r="J972" s="33">
        <f>IF(Town_Team[[#This Row],[Item name]]=" Jeans - Denim",Town_Team[[#This Row],[Item Amount]]*85%,Town_Team[[#This Row],[Item Amount]])</f>
        <v>900</v>
      </c>
      <c r="K972" s="39" t="str">
        <f>TEXT(Town_Team[[#This Row],[Date ]],"dddd")</f>
        <v>Wednesday</v>
      </c>
    </row>
    <row r="973" spans="2:11" hidden="1" x14ac:dyDescent="0.3">
      <c r="B973" s="20">
        <v>969</v>
      </c>
      <c r="C973" s="19">
        <v>44434</v>
      </c>
      <c r="D973" s="21" t="s">
        <v>9</v>
      </c>
      <c r="E973" s="21" t="s">
        <v>10</v>
      </c>
      <c r="F973" s="21" t="s">
        <v>11</v>
      </c>
      <c r="G973" s="22">
        <v>1100</v>
      </c>
      <c r="H973" s="20">
        <v>1</v>
      </c>
      <c r="I973" s="32">
        <f>Town_Team[[#This Row],[Item quantity]]*Town_Team[[#This Row],[Selling price]]</f>
        <v>1100</v>
      </c>
      <c r="J973" s="33">
        <f>IF(Town_Team[[#This Row],[Item name]]=" Jeans - Denim",Town_Team[[#This Row],[Item Amount]]*85%,Town_Team[[#This Row],[Item Amount]])</f>
        <v>1100</v>
      </c>
      <c r="K973" s="39" t="str">
        <f>TEXT(Town_Team[[#This Row],[Date ]],"dddd")</f>
        <v>Thursday</v>
      </c>
    </row>
    <row r="974" spans="2:11" hidden="1" x14ac:dyDescent="0.3">
      <c r="B974" s="20">
        <v>970</v>
      </c>
      <c r="C974" s="19">
        <v>44435</v>
      </c>
      <c r="D974" s="21" t="s">
        <v>9</v>
      </c>
      <c r="E974" s="21" t="s">
        <v>14</v>
      </c>
      <c r="F974" s="21" t="s">
        <v>11</v>
      </c>
      <c r="G974" s="22">
        <v>900</v>
      </c>
      <c r="H974" s="20">
        <v>1</v>
      </c>
      <c r="I974" s="32">
        <f>Town_Team[[#This Row],[Item quantity]]*Town_Team[[#This Row],[Selling price]]</f>
        <v>900</v>
      </c>
      <c r="J974" s="33">
        <f>IF(Town_Team[[#This Row],[Item name]]=" Jeans - Denim",Town_Team[[#This Row],[Item Amount]]*85%,Town_Team[[#This Row],[Item Amount]])</f>
        <v>900</v>
      </c>
      <c r="K974" s="39" t="str">
        <f>TEXT(Town_Team[[#This Row],[Date ]],"dddd")</f>
        <v>Friday</v>
      </c>
    </row>
    <row r="975" spans="2:11" hidden="1" x14ac:dyDescent="0.3">
      <c r="B975" s="20">
        <v>971</v>
      </c>
      <c r="C975" s="19">
        <v>44436</v>
      </c>
      <c r="D975" s="21" t="s">
        <v>9</v>
      </c>
      <c r="E975" s="21" t="s">
        <v>15</v>
      </c>
      <c r="F975" s="21" t="s">
        <v>11</v>
      </c>
      <c r="G975" s="22">
        <v>1000</v>
      </c>
      <c r="H975" s="20">
        <v>1</v>
      </c>
      <c r="I975" s="32">
        <f>Town_Team[[#This Row],[Item quantity]]*Town_Team[[#This Row],[Selling price]]</f>
        <v>1000</v>
      </c>
      <c r="J975" s="33">
        <f>IF(Town_Team[[#This Row],[Item name]]=" Jeans - Denim",Town_Team[[#This Row],[Item Amount]]*85%,Town_Team[[#This Row],[Item Amount]])</f>
        <v>1000</v>
      </c>
      <c r="K975" s="39" t="str">
        <f>TEXT(Town_Team[[#This Row],[Date ]],"dddd")</f>
        <v>Saturday</v>
      </c>
    </row>
    <row r="976" spans="2:11" hidden="1" x14ac:dyDescent="0.3">
      <c r="B976" s="20">
        <v>972</v>
      </c>
      <c r="C976" s="19">
        <v>44437</v>
      </c>
      <c r="D976" s="21" t="s">
        <v>9</v>
      </c>
      <c r="E976" s="21" t="s">
        <v>10</v>
      </c>
      <c r="F976" s="21" t="s">
        <v>11</v>
      </c>
      <c r="G976" s="22">
        <v>1100</v>
      </c>
      <c r="H976" s="20">
        <v>1</v>
      </c>
      <c r="I976" s="32">
        <f>Town_Team[[#This Row],[Item quantity]]*Town_Team[[#This Row],[Selling price]]</f>
        <v>1100</v>
      </c>
      <c r="J976" s="33">
        <f>IF(Town_Team[[#This Row],[Item name]]=" Jeans - Denim",Town_Team[[#This Row],[Item Amount]]*85%,Town_Team[[#This Row],[Item Amount]])</f>
        <v>1100</v>
      </c>
      <c r="K976" s="39" t="str">
        <f>TEXT(Town_Team[[#This Row],[Date ]],"dddd")</f>
        <v>Sunday</v>
      </c>
    </row>
    <row r="977" spans="2:11" hidden="1" x14ac:dyDescent="0.3">
      <c r="B977" s="20">
        <v>973</v>
      </c>
      <c r="C977" s="19">
        <v>44438</v>
      </c>
      <c r="D977" s="21" t="s">
        <v>9</v>
      </c>
      <c r="E977" s="21" t="s">
        <v>15</v>
      </c>
      <c r="F977" s="21" t="s">
        <v>11</v>
      </c>
      <c r="G977" s="22">
        <v>1000</v>
      </c>
      <c r="H977" s="20">
        <v>1</v>
      </c>
      <c r="I977" s="32">
        <f>Town_Team[[#This Row],[Item quantity]]*Town_Team[[#This Row],[Selling price]]</f>
        <v>1000</v>
      </c>
      <c r="J977" s="33">
        <f>IF(Town_Team[[#This Row],[Item name]]=" Jeans - Denim",Town_Team[[#This Row],[Item Amount]]*85%,Town_Team[[#This Row],[Item Amount]])</f>
        <v>1000</v>
      </c>
      <c r="K977" s="39" t="str">
        <f>TEXT(Town_Team[[#This Row],[Date ]],"dddd")</f>
        <v>Monday</v>
      </c>
    </row>
    <row r="978" spans="2:11" hidden="1" x14ac:dyDescent="0.3">
      <c r="B978" s="20">
        <v>974</v>
      </c>
      <c r="C978" s="19">
        <v>44439</v>
      </c>
      <c r="D978" s="21" t="s">
        <v>9</v>
      </c>
      <c r="E978" s="21" t="s">
        <v>10</v>
      </c>
      <c r="F978" s="21" t="s">
        <v>11</v>
      </c>
      <c r="G978" s="22">
        <v>1100</v>
      </c>
      <c r="H978" s="20">
        <v>1</v>
      </c>
      <c r="I978" s="32">
        <f>Town_Team[[#This Row],[Item quantity]]*Town_Team[[#This Row],[Selling price]]</f>
        <v>1100</v>
      </c>
      <c r="J978" s="33">
        <f>IF(Town_Team[[#This Row],[Item name]]=" Jeans - Denim",Town_Team[[#This Row],[Item Amount]]*85%,Town_Team[[#This Row],[Item Amount]])</f>
        <v>1100</v>
      </c>
      <c r="K978" s="39" t="str">
        <f>TEXT(Town_Team[[#This Row],[Date ]],"dddd")</f>
        <v>Tuesday</v>
      </c>
    </row>
    <row r="979" spans="2:11" hidden="1" x14ac:dyDescent="0.3">
      <c r="B979" s="20">
        <v>975</v>
      </c>
      <c r="C979" s="19">
        <v>44440</v>
      </c>
      <c r="D979" s="21" t="s">
        <v>9</v>
      </c>
      <c r="E979" s="21" t="s">
        <v>14</v>
      </c>
      <c r="F979" s="21" t="s">
        <v>11</v>
      </c>
      <c r="G979" s="22">
        <v>900</v>
      </c>
      <c r="H979" s="20">
        <v>1</v>
      </c>
      <c r="I979" s="32">
        <f>Town_Team[[#This Row],[Item quantity]]*Town_Team[[#This Row],[Selling price]]</f>
        <v>900</v>
      </c>
      <c r="J979" s="33">
        <f>IF(Town_Team[[#This Row],[Item name]]=" Jeans - Denim",Town_Team[[#This Row],[Item Amount]]*85%,Town_Team[[#This Row],[Item Amount]])</f>
        <v>900</v>
      </c>
      <c r="K979" s="39" t="str">
        <f>TEXT(Town_Team[[#This Row],[Date ]],"dddd")</f>
        <v>Wednesday</v>
      </c>
    </row>
    <row r="980" spans="2:11" hidden="1" x14ac:dyDescent="0.3">
      <c r="B980" s="20">
        <v>976</v>
      </c>
      <c r="C980" s="19">
        <v>44441</v>
      </c>
      <c r="D980" s="21" t="s">
        <v>9</v>
      </c>
      <c r="E980" s="21" t="s">
        <v>12</v>
      </c>
      <c r="F980" s="21" t="s">
        <v>11</v>
      </c>
      <c r="G980" s="22">
        <v>900</v>
      </c>
      <c r="H980" s="20">
        <v>1</v>
      </c>
      <c r="I980" s="32">
        <f>Town_Team[[#This Row],[Item quantity]]*Town_Team[[#This Row],[Selling price]]</f>
        <v>900</v>
      </c>
      <c r="J980" s="33">
        <f>IF(Town_Team[[#This Row],[Item name]]=" Jeans - Denim",Town_Team[[#This Row],[Item Amount]]*85%,Town_Team[[#This Row],[Item Amount]])</f>
        <v>765</v>
      </c>
      <c r="K980" s="39" t="str">
        <f>TEXT(Town_Team[[#This Row],[Date ]],"dddd")</f>
        <v>Thursday</v>
      </c>
    </row>
    <row r="981" spans="2:11" hidden="1" x14ac:dyDescent="0.3">
      <c r="B981" s="20">
        <v>977</v>
      </c>
      <c r="C981" s="19">
        <v>44442</v>
      </c>
      <c r="D981" s="21" t="s">
        <v>9</v>
      </c>
      <c r="E981" s="21" t="s">
        <v>10</v>
      </c>
      <c r="F981" s="21" t="s">
        <v>11</v>
      </c>
      <c r="G981" s="22">
        <v>1100</v>
      </c>
      <c r="H981" s="20">
        <v>1</v>
      </c>
      <c r="I981" s="32">
        <f>Town_Team[[#This Row],[Item quantity]]*Town_Team[[#This Row],[Selling price]]</f>
        <v>1100</v>
      </c>
      <c r="J981" s="33">
        <f>IF(Town_Team[[#This Row],[Item name]]=" Jeans - Denim",Town_Team[[#This Row],[Item Amount]]*85%,Town_Team[[#This Row],[Item Amount]])</f>
        <v>1100</v>
      </c>
      <c r="K981" s="39" t="str">
        <f>TEXT(Town_Team[[#This Row],[Date ]],"dddd")</f>
        <v>Friday</v>
      </c>
    </row>
    <row r="982" spans="2:11" hidden="1" x14ac:dyDescent="0.3">
      <c r="B982" s="20">
        <v>978</v>
      </c>
      <c r="C982" s="19">
        <v>44443</v>
      </c>
      <c r="D982" s="21" t="s">
        <v>9</v>
      </c>
      <c r="E982" s="21" t="s">
        <v>10</v>
      </c>
      <c r="F982" s="21" t="s">
        <v>11</v>
      </c>
      <c r="G982" s="22">
        <v>1100</v>
      </c>
      <c r="H982" s="20">
        <v>1</v>
      </c>
      <c r="I982" s="32">
        <f>Town_Team[[#This Row],[Item quantity]]*Town_Team[[#This Row],[Selling price]]</f>
        <v>1100</v>
      </c>
      <c r="J982" s="33">
        <f>IF(Town_Team[[#This Row],[Item name]]=" Jeans - Denim",Town_Team[[#This Row],[Item Amount]]*85%,Town_Team[[#This Row],[Item Amount]])</f>
        <v>1100</v>
      </c>
      <c r="K982" s="39" t="str">
        <f>TEXT(Town_Team[[#This Row],[Date ]],"dddd")</f>
        <v>Saturday</v>
      </c>
    </row>
    <row r="983" spans="2:11" hidden="1" x14ac:dyDescent="0.3">
      <c r="B983" s="20">
        <v>979</v>
      </c>
      <c r="C983" s="19">
        <v>44444</v>
      </c>
      <c r="D983" s="21" t="s">
        <v>9</v>
      </c>
      <c r="E983" s="21" t="s">
        <v>15</v>
      </c>
      <c r="F983" s="21" t="s">
        <v>11</v>
      </c>
      <c r="G983" s="22">
        <v>1000</v>
      </c>
      <c r="H983" s="20">
        <v>1</v>
      </c>
      <c r="I983" s="32">
        <f>Town_Team[[#This Row],[Item quantity]]*Town_Team[[#This Row],[Selling price]]</f>
        <v>1000</v>
      </c>
      <c r="J983" s="33">
        <f>IF(Town_Team[[#This Row],[Item name]]=" Jeans - Denim",Town_Team[[#This Row],[Item Amount]]*85%,Town_Team[[#This Row],[Item Amount]])</f>
        <v>1000</v>
      </c>
      <c r="K983" s="39" t="str">
        <f>TEXT(Town_Team[[#This Row],[Date ]],"dddd")</f>
        <v>Sunday</v>
      </c>
    </row>
    <row r="984" spans="2:11" hidden="1" x14ac:dyDescent="0.3">
      <c r="B984" s="20">
        <v>980</v>
      </c>
      <c r="C984" s="19">
        <v>44445</v>
      </c>
      <c r="D984" s="21" t="s">
        <v>9</v>
      </c>
      <c r="E984" s="21" t="s">
        <v>12</v>
      </c>
      <c r="F984" s="21" t="s">
        <v>11</v>
      </c>
      <c r="G984" s="22">
        <v>900</v>
      </c>
      <c r="H984" s="20">
        <v>1</v>
      </c>
      <c r="I984" s="32">
        <f>Town_Team[[#This Row],[Item quantity]]*Town_Team[[#This Row],[Selling price]]</f>
        <v>900</v>
      </c>
      <c r="J984" s="33">
        <f>IF(Town_Team[[#This Row],[Item name]]=" Jeans - Denim",Town_Team[[#This Row],[Item Amount]]*85%,Town_Team[[#This Row],[Item Amount]])</f>
        <v>765</v>
      </c>
      <c r="K984" s="39" t="str">
        <f>TEXT(Town_Team[[#This Row],[Date ]],"dddd")</f>
        <v>Monday</v>
      </c>
    </row>
    <row r="985" spans="2:11" hidden="1" x14ac:dyDescent="0.3">
      <c r="B985" s="20">
        <v>981</v>
      </c>
      <c r="C985" s="19">
        <v>44446</v>
      </c>
      <c r="D985" s="21" t="s">
        <v>9</v>
      </c>
      <c r="E985" s="21" t="s">
        <v>18</v>
      </c>
      <c r="F985" s="21" t="s">
        <v>17</v>
      </c>
      <c r="G985" s="22">
        <v>600</v>
      </c>
      <c r="H985" s="20">
        <v>1</v>
      </c>
      <c r="I985" s="32">
        <f>Town_Team[[#This Row],[Item quantity]]*Town_Team[[#This Row],[Selling price]]</f>
        <v>600</v>
      </c>
      <c r="J985" s="33">
        <f>IF(Town_Team[[#This Row],[Item name]]=" Jeans - Denim",Town_Team[[#This Row],[Item Amount]]*85%,Town_Team[[#This Row],[Item Amount]])</f>
        <v>600</v>
      </c>
      <c r="K985" s="39" t="str">
        <f>TEXT(Town_Team[[#This Row],[Date ]],"dddd")</f>
        <v>Tuesday</v>
      </c>
    </row>
    <row r="986" spans="2:11" hidden="1" x14ac:dyDescent="0.3">
      <c r="B986" s="20">
        <v>982</v>
      </c>
      <c r="C986" s="19">
        <v>44447</v>
      </c>
      <c r="D986" s="21" t="s">
        <v>9</v>
      </c>
      <c r="E986" s="21" t="s">
        <v>12</v>
      </c>
      <c r="F986" s="21" t="s">
        <v>11</v>
      </c>
      <c r="G986" s="22">
        <v>900</v>
      </c>
      <c r="H986" s="20">
        <v>1</v>
      </c>
      <c r="I986" s="32">
        <f>Town_Team[[#This Row],[Item quantity]]*Town_Team[[#This Row],[Selling price]]</f>
        <v>900</v>
      </c>
      <c r="J986" s="33">
        <f>IF(Town_Team[[#This Row],[Item name]]=" Jeans - Denim",Town_Team[[#This Row],[Item Amount]]*85%,Town_Team[[#This Row],[Item Amount]])</f>
        <v>765</v>
      </c>
      <c r="K986" s="39" t="str">
        <f>TEXT(Town_Team[[#This Row],[Date ]],"dddd")</f>
        <v>Wednesday</v>
      </c>
    </row>
    <row r="987" spans="2:11" hidden="1" x14ac:dyDescent="0.3">
      <c r="B987" s="20">
        <v>983</v>
      </c>
      <c r="C987" s="19">
        <v>44448</v>
      </c>
      <c r="D987" s="21" t="s">
        <v>9</v>
      </c>
      <c r="E987" s="21" t="s">
        <v>18</v>
      </c>
      <c r="F987" s="21" t="s">
        <v>17</v>
      </c>
      <c r="G987" s="22">
        <v>600</v>
      </c>
      <c r="H987" s="20">
        <v>1</v>
      </c>
      <c r="I987" s="32">
        <f>Town_Team[[#This Row],[Item quantity]]*Town_Team[[#This Row],[Selling price]]</f>
        <v>600</v>
      </c>
      <c r="J987" s="33">
        <f>IF(Town_Team[[#This Row],[Item name]]=" Jeans - Denim",Town_Team[[#This Row],[Item Amount]]*85%,Town_Team[[#This Row],[Item Amount]])</f>
        <v>600</v>
      </c>
      <c r="K987" s="39" t="str">
        <f>TEXT(Town_Team[[#This Row],[Date ]],"dddd")</f>
        <v>Thursday</v>
      </c>
    </row>
    <row r="988" spans="2:11" hidden="1" x14ac:dyDescent="0.3">
      <c r="B988" s="20">
        <v>984</v>
      </c>
      <c r="C988" s="19">
        <v>44449</v>
      </c>
      <c r="D988" s="21" t="s">
        <v>9</v>
      </c>
      <c r="E988" s="21" t="s">
        <v>14</v>
      </c>
      <c r="F988" s="21" t="s">
        <v>11</v>
      </c>
      <c r="G988" s="22">
        <v>900</v>
      </c>
      <c r="H988" s="20">
        <v>1</v>
      </c>
      <c r="I988" s="32">
        <f>Town_Team[[#This Row],[Item quantity]]*Town_Team[[#This Row],[Selling price]]</f>
        <v>900</v>
      </c>
      <c r="J988" s="33">
        <f>IF(Town_Team[[#This Row],[Item name]]=" Jeans - Denim",Town_Team[[#This Row],[Item Amount]]*85%,Town_Team[[#This Row],[Item Amount]])</f>
        <v>900</v>
      </c>
      <c r="K988" s="39" t="str">
        <f>TEXT(Town_Team[[#This Row],[Date ]],"dddd")</f>
        <v>Friday</v>
      </c>
    </row>
    <row r="989" spans="2:11" hidden="1" x14ac:dyDescent="0.3">
      <c r="B989" s="20">
        <v>985</v>
      </c>
      <c r="C989" s="19">
        <v>44450</v>
      </c>
      <c r="D989" s="21" t="s">
        <v>9</v>
      </c>
      <c r="E989" s="21" t="s">
        <v>10</v>
      </c>
      <c r="F989" s="21" t="s">
        <v>11</v>
      </c>
      <c r="G989" s="22">
        <v>1100</v>
      </c>
      <c r="H989" s="20">
        <v>2</v>
      </c>
      <c r="I989" s="32">
        <f>Town_Team[[#This Row],[Item quantity]]*Town_Team[[#This Row],[Selling price]]</f>
        <v>2200</v>
      </c>
      <c r="J989" s="33">
        <f>IF(Town_Team[[#This Row],[Item name]]=" Jeans - Denim",Town_Team[[#This Row],[Item Amount]]*85%,Town_Team[[#This Row],[Item Amount]])</f>
        <v>2200</v>
      </c>
      <c r="K989" s="39" t="str">
        <f>TEXT(Town_Team[[#This Row],[Date ]],"dddd")</f>
        <v>Saturday</v>
      </c>
    </row>
    <row r="990" spans="2:11" hidden="1" x14ac:dyDescent="0.3">
      <c r="B990" s="20">
        <v>986</v>
      </c>
      <c r="C990" s="19">
        <v>44451</v>
      </c>
      <c r="D990" s="21" t="s">
        <v>9</v>
      </c>
      <c r="E990" s="21" t="s">
        <v>18</v>
      </c>
      <c r="F990" s="21" t="s">
        <v>17</v>
      </c>
      <c r="G990" s="22">
        <v>600</v>
      </c>
      <c r="H990" s="20">
        <v>1</v>
      </c>
      <c r="I990" s="32">
        <f>Town_Team[[#This Row],[Item quantity]]*Town_Team[[#This Row],[Selling price]]</f>
        <v>600</v>
      </c>
      <c r="J990" s="33">
        <f>IF(Town_Team[[#This Row],[Item name]]=" Jeans - Denim",Town_Team[[#This Row],[Item Amount]]*85%,Town_Team[[#This Row],[Item Amount]])</f>
        <v>600</v>
      </c>
      <c r="K990" s="39" t="str">
        <f>TEXT(Town_Team[[#This Row],[Date ]],"dddd")</f>
        <v>Sunday</v>
      </c>
    </row>
    <row r="991" spans="2:11" hidden="1" x14ac:dyDescent="0.3">
      <c r="B991" s="20">
        <v>987</v>
      </c>
      <c r="C991" s="19">
        <v>44452</v>
      </c>
      <c r="D991" s="21" t="s">
        <v>9</v>
      </c>
      <c r="E991" s="21" t="s">
        <v>18</v>
      </c>
      <c r="F991" s="21" t="s">
        <v>17</v>
      </c>
      <c r="G991" s="22">
        <v>600</v>
      </c>
      <c r="H991" s="20">
        <v>1</v>
      </c>
      <c r="I991" s="32">
        <f>Town_Team[[#This Row],[Item quantity]]*Town_Team[[#This Row],[Selling price]]</f>
        <v>600</v>
      </c>
      <c r="J991" s="33">
        <f>IF(Town_Team[[#This Row],[Item name]]=" Jeans - Denim",Town_Team[[#This Row],[Item Amount]]*85%,Town_Team[[#This Row],[Item Amount]])</f>
        <v>600</v>
      </c>
      <c r="K991" s="39" t="str">
        <f>TEXT(Town_Team[[#This Row],[Date ]],"dddd")</f>
        <v>Monday</v>
      </c>
    </row>
    <row r="992" spans="2:11" hidden="1" x14ac:dyDescent="0.3">
      <c r="B992" s="20">
        <v>988</v>
      </c>
      <c r="C992" s="19">
        <v>44453</v>
      </c>
      <c r="D992" s="21" t="s">
        <v>9</v>
      </c>
      <c r="E992" s="21" t="s">
        <v>14</v>
      </c>
      <c r="F992" s="21" t="s">
        <v>11</v>
      </c>
      <c r="G992" s="22">
        <v>900</v>
      </c>
      <c r="H992" s="20">
        <v>1</v>
      </c>
      <c r="I992" s="32">
        <f>Town_Team[[#This Row],[Item quantity]]*Town_Team[[#This Row],[Selling price]]</f>
        <v>900</v>
      </c>
      <c r="J992" s="33">
        <f>IF(Town_Team[[#This Row],[Item name]]=" Jeans - Denim",Town_Team[[#This Row],[Item Amount]]*85%,Town_Team[[#This Row],[Item Amount]])</f>
        <v>900</v>
      </c>
      <c r="K992" s="39" t="str">
        <f>TEXT(Town_Team[[#This Row],[Date ]],"dddd")</f>
        <v>Tuesday</v>
      </c>
    </row>
    <row r="993" spans="2:11" hidden="1" x14ac:dyDescent="0.3">
      <c r="B993" s="20">
        <v>989</v>
      </c>
      <c r="C993" s="19">
        <v>44454</v>
      </c>
      <c r="D993" s="21" t="s">
        <v>9</v>
      </c>
      <c r="E993" s="21" t="s">
        <v>10</v>
      </c>
      <c r="F993" s="21" t="s">
        <v>11</v>
      </c>
      <c r="G993" s="22">
        <v>1100</v>
      </c>
      <c r="H993" s="20">
        <v>1</v>
      </c>
      <c r="I993" s="32">
        <f>Town_Team[[#This Row],[Item quantity]]*Town_Team[[#This Row],[Selling price]]</f>
        <v>1100</v>
      </c>
      <c r="J993" s="33">
        <f>IF(Town_Team[[#This Row],[Item name]]=" Jeans - Denim",Town_Team[[#This Row],[Item Amount]]*85%,Town_Team[[#This Row],[Item Amount]])</f>
        <v>1100</v>
      </c>
      <c r="K993" s="39" t="str">
        <f>TEXT(Town_Team[[#This Row],[Date ]],"dddd")</f>
        <v>Wednesday</v>
      </c>
    </row>
    <row r="994" spans="2:11" hidden="1" x14ac:dyDescent="0.3">
      <c r="B994" s="20">
        <v>990</v>
      </c>
      <c r="C994" s="19">
        <v>44455</v>
      </c>
      <c r="D994" s="21" t="s">
        <v>9</v>
      </c>
      <c r="E994" s="21" t="s">
        <v>18</v>
      </c>
      <c r="F994" s="21" t="s">
        <v>17</v>
      </c>
      <c r="G994" s="22">
        <v>600</v>
      </c>
      <c r="H994" s="20">
        <v>1</v>
      </c>
      <c r="I994" s="32">
        <f>Town_Team[[#This Row],[Item quantity]]*Town_Team[[#This Row],[Selling price]]</f>
        <v>600</v>
      </c>
      <c r="J994" s="33">
        <f>IF(Town_Team[[#This Row],[Item name]]=" Jeans - Denim",Town_Team[[#This Row],[Item Amount]]*85%,Town_Team[[#This Row],[Item Amount]])</f>
        <v>600</v>
      </c>
      <c r="K994" s="39" t="str">
        <f>TEXT(Town_Team[[#This Row],[Date ]],"dddd")</f>
        <v>Thursday</v>
      </c>
    </row>
    <row r="995" spans="2:11" hidden="1" x14ac:dyDescent="0.3">
      <c r="B995" s="20">
        <v>991</v>
      </c>
      <c r="C995" s="19">
        <v>44456</v>
      </c>
      <c r="D995" s="21" t="s">
        <v>9</v>
      </c>
      <c r="E995" s="21" t="s">
        <v>24</v>
      </c>
      <c r="F995" s="21" t="s">
        <v>23</v>
      </c>
      <c r="G995" s="22">
        <v>600</v>
      </c>
      <c r="H995" s="20">
        <v>1</v>
      </c>
      <c r="I995" s="32">
        <f>Town_Team[[#This Row],[Item quantity]]*Town_Team[[#This Row],[Selling price]]</f>
        <v>600</v>
      </c>
      <c r="J995" s="33">
        <f>IF(Town_Team[[#This Row],[Item name]]=" Jeans - Denim",Town_Team[[#This Row],[Item Amount]]*85%,Town_Team[[#This Row],[Item Amount]])</f>
        <v>600</v>
      </c>
      <c r="K995" s="39" t="str">
        <f>TEXT(Town_Team[[#This Row],[Date ]],"dddd")</f>
        <v>Friday</v>
      </c>
    </row>
    <row r="996" spans="2:11" hidden="1" x14ac:dyDescent="0.3">
      <c r="B996" s="20">
        <v>992</v>
      </c>
      <c r="C996" s="19">
        <v>44457</v>
      </c>
      <c r="D996" s="21" t="s">
        <v>9</v>
      </c>
      <c r="E996" s="21" t="s">
        <v>18</v>
      </c>
      <c r="F996" s="21" t="s">
        <v>17</v>
      </c>
      <c r="G996" s="22">
        <v>600</v>
      </c>
      <c r="H996" s="20">
        <v>1</v>
      </c>
      <c r="I996" s="32">
        <f>Town_Team[[#This Row],[Item quantity]]*Town_Team[[#This Row],[Selling price]]</f>
        <v>600</v>
      </c>
      <c r="J996" s="33">
        <f>IF(Town_Team[[#This Row],[Item name]]=" Jeans - Denim",Town_Team[[#This Row],[Item Amount]]*85%,Town_Team[[#This Row],[Item Amount]])</f>
        <v>600</v>
      </c>
      <c r="K996" s="39" t="str">
        <f>TEXT(Town_Team[[#This Row],[Date ]],"dddd")</f>
        <v>Saturday</v>
      </c>
    </row>
    <row r="997" spans="2:11" hidden="1" x14ac:dyDescent="0.3">
      <c r="B997" s="20">
        <v>993</v>
      </c>
      <c r="C997" s="19">
        <v>44458</v>
      </c>
      <c r="D997" s="21" t="s">
        <v>9</v>
      </c>
      <c r="E997" s="21" t="s">
        <v>24</v>
      </c>
      <c r="F997" s="21" t="s">
        <v>23</v>
      </c>
      <c r="G997" s="22">
        <v>600</v>
      </c>
      <c r="H997" s="20">
        <v>1</v>
      </c>
      <c r="I997" s="32">
        <f>Town_Team[[#This Row],[Item quantity]]*Town_Team[[#This Row],[Selling price]]</f>
        <v>600</v>
      </c>
      <c r="J997" s="33">
        <f>IF(Town_Team[[#This Row],[Item name]]=" Jeans - Denim",Town_Team[[#This Row],[Item Amount]]*85%,Town_Team[[#This Row],[Item Amount]])</f>
        <v>600</v>
      </c>
      <c r="K997" s="39" t="str">
        <f>TEXT(Town_Team[[#This Row],[Date ]],"dddd")</f>
        <v>Sunday</v>
      </c>
    </row>
    <row r="998" spans="2:11" hidden="1" x14ac:dyDescent="0.3">
      <c r="B998" s="20">
        <v>994</v>
      </c>
      <c r="C998" s="19">
        <v>44459</v>
      </c>
      <c r="D998" s="21" t="s">
        <v>9</v>
      </c>
      <c r="E998" s="21" t="s">
        <v>24</v>
      </c>
      <c r="F998" s="21" t="s">
        <v>23</v>
      </c>
      <c r="G998" s="22">
        <v>600</v>
      </c>
      <c r="H998" s="20">
        <v>2</v>
      </c>
      <c r="I998" s="32">
        <f>Town_Team[[#This Row],[Item quantity]]*Town_Team[[#This Row],[Selling price]]</f>
        <v>1200</v>
      </c>
      <c r="J998" s="33">
        <f>IF(Town_Team[[#This Row],[Item name]]=" Jeans - Denim",Town_Team[[#This Row],[Item Amount]]*85%,Town_Team[[#This Row],[Item Amount]])</f>
        <v>1200</v>
      </c>
      <c r="K998" s="39" t="str">
        <f>TEXT(Town_Team[[#This Row],[Date ]],"dddd")</f>
        <v>Monday</v>
      </c>
    </row>
    <row r="999" spans="2:11" hidden="1" x14ac:dyDescent="0.3">
      <c r="B999" s="20">
        <v>995</v>
      </c>
      <c r="C999" s="19">
        <v>44460</v>
      </c>
      <c r="D999" s="21" t="s">
        <v>9</v>
      </c>
      <c r="E999" s="21" t="s">
        <v>18</v>
      </c>
      <c r="F999" s="21" t="s">
        <v>17</v>
      </c>
      <c r="G999" s="22">
        <v>600</v>
      </c>
      <c r="H999" s="20">
        <v>1</v>
      </c>
      <c r="I999" s="32">
        <f>Town_Team[[#This Row],[Item quantity]]*Town_Team[[#This Row],[Selling price]]</f>
        <v>600</v>
      </c>
      <c r="J999" s="33">
        <f>IF(Town_Team[[#This Row],[Item name]]=" Jeans - Denim",Town_Team[[#This Row],[Item Amount]]*85%,Town_Team[[#This Row],[Item Amount]])</f>
        <v>600</v>
      </c>
      <c r="K999" s="39" t="str">
        <f>TEXT(Town_Team[[#This Row],[Date ]],"dddd")</f>
        <v>Tuesday</v>
      </c>
    </row>
    <row r="1000" spans="2:11" hidden="1" x14ac:dyDescent="0.3">
      <c r="B1000" s="20">
        <v>996</v>
      </c>
      <c r="C1000" s="19">
        <v>44461</v>
      </c>
      <c r="D1000" s="21" t="s">
        <v>9</v>
      </c>
      <c r="E1000" s="21" t="s">
        <v>10</v>
      </c>
      <c r="F1000" s="21" t="s">
        <v>11</v>
      </c>
      <c r="G1000" s="22">
        <v>1100</v>
      </c>
      <c r="H1000" s="20">
        <v>3</v>
      </c>
      <c r="I1000" s="32">
        <f>Town_Team[[#This Row],[Item quantity]]*Town_Team[[#This Row],[Selling price]]</f>
        <v>3300</v>
      </c>
      <c r="J1000" s="33">
        <f>IF(Town_Team[[#This Row],[Item name]]=" Jeans - Denim",Town_Team[[#This Row],[Item Amount]]*85%,Town_Team[[#This Row],[Item Amount]])</f>
        <v>3300</v>
      </c>
      <c r="K1000" s="39" t="str">
        <f>TEXT(Town_Team[[#This Row],[Date ]],"dddd")</f>
        <v>Wednesday</v>
      </c>
    </row>
    <row r="1001" spans="2:11" hidden="1" x14ac:dyDescent="0.3">
      <c r="B1001" s="20">
        <v>997</v>
      </c>
      <c r="C1001" s="19">
        <v>44462</v>
      </c>
      <c r="D1001" s="21" t="s">
        <v>9</v>
      </c>
      <c r="E1001" s="21" t="s">
        <v>10</v>
      </c>
      <c r="F1001" s="21" t="s">
        <v>11</v>
      </c>
      <c r="G1001" s="22">
        <v>1100</v>
      </c>
      <c r="H1001" s="20">
        <v>1</v>
      </c>
      <c r="I1001" s="32">
        <f>Town_Team[[#This Row],[Item quantity]]*Town_Team[[#This Row],[Selling price]]</f>
        <v>1100</v>
      </c>
      <c r="J1001" s="33">
        <f>IF(Town_Team[[#This Row],[Item name]]=" Jeans - Denim",Town_Team[[#This Row],[Item Amount]]*85%,Town_Team[[#This Row],[Item Amount]])</f>
        <v>1100</v>
      </c>
      <c r="K1001" s="39" t="str">
        <f>TEXT(Town_Team[[#This Row],[Date ]],"dddd")</f>
        <v>Thursday</v>
      </c>
    </row>
    <row r="1002" spans="2:11" hidden="1" x14ac:dyDescent="0.3">
      <c r="B1002" s="20">
        <v>998</v>
      </c>
      <c r="C1002" s="19">
        <v>44463</v>
      </c>
      <c r="D1002" s="21" t="s">
        <v>9</v>
      </c>
      <c r="E1002" s="21" t="s">
        <v>19</v>
      </c>
      <c r="F1002" s="21" t="s">
        <v>20</v>
      </c>
      <c r="G1002" s="22">
        <v>850</v>
      </c>
      <c r="H1002" s="20">
        <v>1</v>
      </c>
      <c r="I1002" s="32">
        <f>Town_Team[[#This Row],[Item quantity]]*Town_Team[[#This Row],[Selling price]]</f>
        <v>850</v>
      </c>
      <c r="J1002" s="33">
        <f>IF(Town_Team[[#This Row],[Item name]]=" Jeans - Denim",Town_Team[[#This Row],[Item Amount]]*85%,Town_Team[[#This Row],[Item Amount]])</f>
        <v>850</v>
      </c>
      <c r="K1002" s="39" t="str">
        <f>TEXT(Town_Team[[#This Row],[Date ]],"dddd")</f>
        <v>Friday</v>
      </c>
    </row>
    <row r="1003" spans="2:11" hidden="1" x14ac:dyDescent="0.3">
      <c r="B1003" s="20">
        <v>999</v>
      </c>
      <c r="C1003" s="19">
        <v>44464</v>
      </c>
      <c r="D1003" s="21" t="s">
        <v>9</v>
      </c>
      <c r="E1003" s="21" t="s">
        <v>21</v>
      </c>
      <c r="F1003" s="21" t="s">
        <v>20</v>
      </c>
      <c r="G1003" s="22">
        <v>1200</v>
      </c>
      <c r="H1003" s="20">
        <v>1</v>
      </c>
      <c r="I1003" s="32">
        <f>Town_Team[[#This Row],[Item quantity]]*Town_Team[[#This Row],[Selling price]]</f>
        <v>1200</v>
      </c>
      <c r="J1003" s="33">
        <f>IF(Town_Team[[#This Row],[Item name]]=" Jeans - Denim",Town_Team[[#This Row],[Item Amount]]*85%,Town_Team[[#This Row],[Item Amount]])</f>
        <v>1200</v>
      </c>
      <c r="K1003" s="39" t="str">
        <f>TEXT(Town_Team[[#This Row],[Date ]],"dddd")</f>
        <v>Saturday</v>
      </c>
    </row>
    <row r="1004" spans="2:11" hidden="1" x14ac:dyDescent="0.3">
      <c r="B1004" s="20">
        <v>1000</v>
      </c>
      <c r="C1004" s="19">
        <v>44465</v>
      </c>
      <c r="D1004" s="21" t="s">
        <v>9</v>
      </c>
      <c r="E1004" s="21" t="s">
        <v>16</v>
      </c>
      <c r="F1004" s="21" t="s">
        <v>17</v>
      </c>
      <c r="G1004" s="22">
        <v>800</v>
      </c>
      <c r="H1004" s="20">
        <v>1</v>
      </c>
      <c r="I1004" s="32">
        <f>Town_Team[[#This Row],[Item quantity]]*Town_Team[[#This Row],[Selling price]]</f>
        <v>800</v>
      </c>
      <c r="J1004" s="33">
        <f>IF(Town_Team[[#This Row],[Item name]]=" Jeans - Denim",Town_Team[[#This Row],[Item Amount]]*85%,Town_Team[[#This Row],[Item Amount]])</f>
        <v>800</v>
      </c>
      <c r="K1004" s="39" t="str">
        <f>TEXT(Town_Team[[#This Row],[Date ]],"dddd")</f>
        <v>Sunday</v>
      </c>
    </row>
    <row r="1005" spans="2:11" hidden="1" x14ac:dyDescent="0.3">
      <c r="B1005" s="20">
        <v>1001</v>
      </c>
      <c r="C1005" s="19">
        <v>44466</v>
      </c>
      <c r="D1005" s="21" t="s">
        <v>9</v>
      </c>
      <c r="E1005" s="21" t="s">
        <v>14</v>
      </c>
      <c r="F1005" s="21" t="s">
        <v>11</v>
      </c>
      <c r="G1005" s="22">
        <v>900</v>
      </c>
      <c r="H1005" s="20">
        <v>1</v>
      </c>
      <c r="I1005" s="32">
        <f>Town_Team[[#This Row],[Item quantity]]*Town_Team[[#This Row],[Selling price]]</f>
        <v>900</v>
      </c>
      <c r="J1005" s="33">
        <f>IF(Town_Team[[#This Row],[Item name]]=" Jeans - Denim",Town_Team[[#This Row],[Item Amount]]*85%,Town_Team[[#This Row],[Item Amount]])</f>
        <v>900</v>
      </c>
      <c r="K1005" s="39" t="str">
        <f>TEXT(Town_Team[[#This Row],[Date ]],"dddd")</f>
        <v>Monday</v>
      </c>
    </row>
    <row r="1006" spans="2:11" hidden="1" x14ac:dyDescent="0.3">
      <c r="B1006" s="20">
        <v>1002</v>
      </c>
      <c r="C1006" s="19">
        <v>44467</v>
      </c>
      <c r="D1006" s="21" t="s">
        <v>9</v>
      </c>
      <c r="E1006" s="21" t="s">
        <v>10</v>
      </c>
      <c r="F1006" s="21" t="s">
        <v>11</v>
      </c>
      <c r="G1006" s="22">
        <v>1100</v>
      </c>
      <c r="H1006" s="20">
        <v>1</v>
      </c>
      <c r="I1006" s="32">
        <f>Town_Team[[#This Row],[Item quantity]]*Town_Team[[#This Row],[Selling price]]</f>
        <v>1100</v>
      </c>
      <c r="J1006" s="33">
        <f>IF(Town_Team[[#This Row],[Item name]]=" Jeans - Denim",Town_Team[[#This Row],[Item Amount]]*85%,Town_Team[[#This Row],[Item Amount]])</f>
        <v>1100</v>
      </c>
      <c r="K1006" s="39" t="str">
        <f>TEXT(Town_Team[[#This Row],[Date ]],"dddd")</f>
        <v>Tuesday</v>
      </c>
    </row>
    <row r="1007" spans="2:11" hidden="1" x14ac:dyDescent="0.3">
      <c r="B1007" s="20">
        <v>1003</v>
      </c>
      <c r="C1007" s="19">
        <v>44468</v>
      </c>
      <c r="D1007" s="21" t="s">
        <v>9</v>
      </c>
      <c r="E1007" s="21" t="s">
        <v>12</v>
      </c>
      <c r="F1007" s="21" t="s">
        <v>11</v>
      </c>
      <c r="G1007" s="22">
        <v>900</v>
      </c>
      <c r="H1007" s="20">
        <v>1</v>
      </c>
      <c r="I1007" s="32">
        <f>Town_Team[[#This Row],[Item quantity]]*Town_Team[[#This Row],[Selling price]]</f>
        <v>900</v>
      </c>
      <c r="J1007" s="33">
        <f>IF(Town_Team[[#This Row],[Item name]]=" Jeans - Denim",Town_Team[[#This Row],[Item Amount]]*85%,Town_Team[[#This Row],[Item Amount]])</f>
        <v>765</v>
      </c>
      <c r="K1007" s="39" t="str">
        <f>TEXT(Town_Team[[#This Row],[Date ]],"dddd")</f>
        <v>Wednesday</v>
      </c>
    </row>
    <row r="1008" spans="2:11" hidden="1" x14ac:dyDescent="0.3">
      <c r="B1008" s="20">
        <v>1004</v>
      </c>
      <c r="C1008" s="19">
        <v>44469</v>
      </c>
      <c r="D1008" s="21" t="s">
        <v>9</v>
      </c>
      <c r="E1008" s="21" t="s">
        <v>10</v>
      </c>
      <c r="F1008" s="21" t="s">
        <v>11</v>
      </c>
      <c r="G1008" s="22">
        <v>1100</v>
      </c>
      <c r="H1008" s="20">
        <v>1</v>
      </c>
      <c r="I1008" s="32">
        <f>Town_Team[[#This Row],[Item quantity]]*Town_Team[[#This Row],[Selling price]]</f>
        <v>1100</v>
      </c>
      <c r="J1008" s="33">
        <f>IF(Town_Team[[#This Row],[Item name]]=" Jeans - Denim",Town_Team[[#This Row],[Item Amount]]*85%,Town_Team[[#This Row],[Item Amount]])</f>
        <v>1100</v>
      </c>
      <c r="K1008" s="39" t="str">
        <f>TEXT(Town_Team[[#This Row],[Date ]],"dddd")</f>
        <v>Thursday</v>
      </c>
    </row>
    <row r="1009" spans="2:11" hidden="1" x14ac:dyDescent="0.3">
      <c r="B1009" s="20">
        <v>1005</v>
      </c>
      <c r="C1009" s="19">
        <v>44470</v>
      </c>
      <c r="D1009" s="21" t="s">
        <v>9</v>
      </c>
      <c r="E1009" s="21" t="s">
        <v>22</v>
      </c>
      <c r="F1009" s="21" t="s">
        <v>23</v>
      </c>
      <c r="G1009" s="22">
        <v>900</v>
      </c>
      <c r="H1009" s="20">
        <v>1</v>
      </c>
      <c r="I1009" s="32">
        <f>Town_Team[[#This Row],[Item quantity]]*Town_Team[[#This Row],[Selling price]]</f>
        <v>900</v>
      </c>
      <c r="J1009" s="33">
        <f>IF(Town_Team[[#This Row],[Item name]]=" Jeans - Denim",Town_Team[[#This Row],[Item Amount]]*85%,Town_Team[[#This Row],[Item Amount]])</f>
        <v>900</v>
      </c>
      <c r="K1009" s="39" t="str">
        <f>TEXT(Town_Team[[#This Row],[Date ]],"dddd")</f>
        <v>Friday</v>
      </c>
    </row>
    <row r="1010" spans="2:11" hidden="1" x14ac:dyDescent="0.3">
      <c r="B1010" s="20">
        <v>1006</v>
      </c>
      <c r="C1010" s="19">
        <v>44471</v>
      </c>
      <c r="D1010" s="21" t="s">
        <v>9</v>
      </c>
      <c r="E1010" s="21" t="s">
        <v>22</v>
      </c>
      <c r="F1010" s="21" t="s">
        <v>23</v>
      </c>
      <c r="G1010" s="22">
        <v>500</v>
      </c>
      <c r="H1010" s="20">
        <v>1</v>
      </c>
      <c r="I1010" s="32">
        <f>Town_Team[[#This Row],[Item quantity]]*Town_Team[[#This Row],[Selling price]]</f>
        <v>500</v>
      </c>
      <c r="J1010" s="33">
        <f>IF(Town_Team[[#This Row],[Item name]]=" Jeans - Denim",Town_Team[[#This Row],[Item Amount]]*85%,Town_Team[[#This Row],[Item Amount]])</f>
        <v>500</v>
      </c>
      <c r="K1010" s="39" t="str">
        <f>TEXT(Town_Team[[#This Row],[Date ]],"dddd")</f>
        <v>Saturday</v>
      </c>
    </row>
    <row r="1011" spans="2:11" hidden="1" x14ac:dyDescent="0.3">
      <c r="B1011" s="20">
        <v>1007</v>
      </c>
      <c r="C1011" s="19">
        <v>44472</v>
      </c>
      <c r="D1011" s="21" t="s">
        <v>9</v>
      </c>
      <c r="E1011" s="21" t="s">
        <v>15</v>
      </c>
      <c r="F1011" s="21" t="s">
        <v>11</v>
      </c>
      <c r="G1011" s="22">
        <v>1000</v>
      </c>
      <c r="H1011" s="20">
        <v>1</v>
      </c>
      <c r="I1011" s="32">
        <f>Town_Team[[#This Row],[Item quantity]]*Town_Team[[#This Row],[Selling price]]</f>
        <v>1000</v>
      </c>
      <c r="J1011" s="33">
        <f>IF(Town_Team[[#This Row],[Item name]]=" Jeans - Denim",Town_Team[[#This Row],[Item Amount]]*85%,Town_Team[[#This Row],[Item Amount]])</f>
        <v>1000</v>
      </c>
      <c r="K1011" s="39" t="str">
        <f>TEXT(Town_Team[[#This Row],[Date ]],"dddd")</f>
        <v>Sunday</v>
      </c>
    </row>
    <row r="1012" spans="2:11" hidden="1" x14ac:dyDescent="0.3">
      <c r="B1012" s="20">
        <v>1008</v>
      </c>
      <c r="C1012" s="19">
        <v>44473</v>
      </c>
      <c r="D1012" s="21" t="s">
        <v>9</v>
      </c>
      <c r="E1012" s="21" t="s">
        <v>24</v>
      </c>
      <c r="F1012" s="21" t="s">
        <v>23</v>
      </c>
      <c r="G1012" s="22">
        <v>600</v>
      </c>
      <c r="H1012" s="20">
        <v>1</v>
      </c>
      <c r="I1012" s="32">
        <f>Town_Team[[#This Row],[Item quantity]]*Town_Team[[#This Row],[Selling price]]</f>
        <v>600</v>
      </c>
      <c r="J1012" s="33">
        <f>IF(Town_Team[[#This Row],[Item name]]=" Jeans - Denim",Town_Team[[#This Row],[Item Amount]]*85%,Town_Team[[#This Row],[Item Amount]])</f>
        <v>600</v>
      </c>
      <c r="K1012" s="39" t="str">
        <f>TEXT(Town_Team[[#This Row],[Date ]],"dddd")</f>
        <v>Monday</v>
      </c>
    </row>
    <row r="1013" spans="2:11" hidden="1" x14ac:dyDescent="0.3">
      <c r="B1013" s="20">
        <v>1009</v>
      </c>
      <c r="C1013" s="19">
        <v>44474</v>
      </c>
      <c r="D1013" s="21" t="s">
        <v>9</v>
      </c>
      <c r="E1013" s="21" t="s">
        <v>12</v>
      </c>
      <c r="F1013" s="21" t="s">
        <v>11</v>
      </c>
      <c r="G1013" s="22">
        <v>900</v>
      </c>
      <c r="H1013" s="20">
        <v>2</v>
      </c>
      <c r="I1013" s="32">
        <f>Town_Team[[#This Row],[Item quantity]]*Town_Team[[#This Row],[Selling price]]</f>
        <v>1800</v>
      </c>
      <c r="J1013" s="33">
        <f>IF(Town_Team[[#This Row],[Item name]]=" Jeans - Denim",Town_Team[[#This Row],[Item Amount]]*85%,Town_Team[[#This Row],[Item Amount]])</f>
        <v>1530</v>
      </c>
      <c r="K1013" s="39" t="str">
        <f>TEXT(Town_Team[[#This Row],[Date ]],"dddd")</f>
        <v>Tuesday</v>
      </c>
    </row>
    <row r="1014" spans="2:11" hidden="1" x14ac:dyDescent="0.3">
      <c r="B1014" s="20">
        <v>1010</v>
      </c>
      <c r="C1014" s="19">
        <v>44475</v>
      </c>
      <c r="D1014" s="21" t="s">
        <v>9</v>
      </c>
      <c r="E1014" s="21" t="s">
        <v>19</v>
      </c>
      <c r="F1014" s="21" t="s">
        <v>20</v>
      </c>
      <c r="G1014" s="22">
        <v>850</v>
      </c>
      <c r="H1014" s="20">
        <v>1</v>
      </c>
      <c r="I1014" s="32">
        <f>Town_Team[[#This Row],[Item quantity]]*Town_Team[[#This Row],[Selling price]]</f>
        <v>850</v>
      </c>
      <c r="J1014" s="33">
        <f>IF(Town_Team[[#This Row],[Item name]]=" Jeans - Denim",Town_Team[[#This Row],[Item Amount]]*85%,Town_Team[[#This Row],[Item Amount]])</f>
        <v>850</v>
      </c>
      <c r="K1014" s="39" t="str">
        <f>TEXT(Town_Team[[#This Row],[Date ]],"dddd")</f>
        <v>Wednesday</v>
      </c>
    </row>
    <row r="1015" spans="2:11" hidden="1" x14ac:dyDescent="0.3">
      <c r="B1015" s="20">
        <v>1011</v>
      </c>
      <c r="C1015" s="19">
        <v>44476</v>
      </c>
      <c r="D1015" s="21" t="s">
        <v>9</v>
      </c>
      <c r="E1015" s="21" t="s">
        <v>16</v>
      </c>
      <c r="F1015" s="21" t="s">
        <v>17</v>
      </c>
      <c r="G1015" s="22">
        <v>800</v>
      </c>
      <c r="H1015" s="20">
        <v>1</v>
      </c>
      <c r="I1015" s="32">
        <f>Town_Team[[#This Row],[Item quantity]]*Town_Team[[#This Row],[Selling price]]</f>
        <v>800</v>
      </c>
      <c r="J1015" s="33">
        <f>IF(Town_Team[[#This Row],[Item name]]=" Jeans - Denim",Town_Team[[#This Row],[Item Amount]]*85%,Town_Team[[#This Row],[Item Amount]])</f>
        <v>800</v>
      </c>
      <c r="K1015" s="39" t="str">
        <f>TEXT(Town_Team[[#This Row],[Date ]],"dddd")</f>
        <v>Thursday</v>
      </c>
    </row>
    <row r="1016" spans="2:11" hidden="1" x14ac:dyDescent="0.3">
      <c r="B1016" s="20">
        <v>1012</v>
      </c>
      <c r="C1016" s="19">
        <v>44477</v>
      </c>
      <c r="D1016" s="21" t="s">
        <v>9</v>
      </c>
      <c r="E1016" s="21" t="s">
        <v>12</v>
      </c>
      <c r="F1016" s="21" t="s">
        <v>11</v>
      </c>
      <c r="G1016" s="22">
        <v>900</v>
      </c>
      <c r="H1016" s="20">
        <v>1</v>
      </c>
      <c r="I1016" s="32">
        <f>Town_Team[[#This Row],[Item quantity]]*Town_Team[[#This Row],[Selling price]]</f>
        <v>900</v>
      </c>
      <c r="J1016" s="33">
        <f>IF(Town_Team[[#This Row],[Item name]]=" Jeans - Denim",Town_Team[[#This Row],[Item Amount]]*85%,Town_Team[[#This Row],[Item Amount]])</f>
        <v>765</v>
      </c>
      <c r="K1016" s="39" t="str">
        <f>TEXT(Town_Team[[#This Row],[Date ]],"dddd")</f>
        <v>Friday</v>
      </c>
    </row>
    <row r="1017" spans="2:11" hidden="1" x14ac:dyDescent="0.3">
      <c r="B1017" s="20">
        <v>1013</v>
      </c>
      <c r="C1017" s="19">
        <v>44478</v>
      </c>
      <c r="D1017" s="21" t="s">
        <v>9</v>
      </c>
      <c r="E1017" s="21" t="s">
        <v>12</v>
      </c>
      <c r="F1017" s="21" t="s">
        <v>11</v>
      </c>
      <c r="G1017" s="22">
        <v>900</v>
      </c>
      <c r="H1017" s="20">
        <v>1</v>
      </c>
      <c r="I1017" s="32">
        <f>Town_Team[[#This Row],[Item quantity]]*Town_Team[[#This Row],[Selling price]]</f>
        <v>900</v>
      </c>
      <c r="J1017" s="33">
        <f>IF(Town_Team[[#This Row],[Item name]]=" Jeans - Denim",Town_Team[[#This Row],[Item Amount]]*85%,Town_Team[[#This Row],[Item Amount]])</f>
        <v>765</v>
      </c>
      <c r="K1017" s="39" t="str">
        <f>TEXT(Town_Team[[#This Row],[Date ]],"dddd")</f>
        <v>Saturday</v>
      </c>
    </row>
    <row r="1018" spans="2:11" hidden="1" x14ac:dyDescent="0.3">
      <c r="B1018" s="20">
        <v>1014</v>
      </c>
      <c r="C1018" s="19">
        <v>44479</v>
      </c>
      <c r="D1018" s="21" t="s">
        <v>9</v>
      </c>
      <c r="E1018" s="21" t="s">
        <v>10</v>
      </c>
      <c r="F1018" s="21" t="s">
        <v>11</v>
      </c>
      <c r="G1018" s="22">
        <v>1100</v>
      </c>
      <c r="H1018" s="20">
        <v>1</v>
      </c>
      <c r="I1018" s="32">
        <f>Town_Team[[#This Row],[Item quantity]]*Town_Team[[#This Row],[Selling price]]</f>
        <v>1100</v>
      </c>
      <c r="J1018" s="33">
        <f>IF(Town_Team[[#This Row],[Item name]]=" Jeans - Denim",Town_Team[[#This Row],[Item Amount]]*85%,Town_Team[[#This Row],[Item Amount]])</f>
        <v>1100</v>
      </c>
      <c r="K1018" s="39" t="str">
        <f>TEXT(Town_Team[[#This Row],[Date ]],"dddd")</f>
        <v>Sunday</v>
      </c>
    </row>
    <row r="1019" spans="2:11" hidden="1" x14ac:dyDescent="0.3">
      <c r="B1019" s="20">
        <v>1015</v>
      </c>
      <c r="C1019" s="19">
        <v>44480</v>
      </c>
      <c r="D1019" s="21" t="s">
        <v>9</v>
      </c>
      <c r="E1019" s="21" t="s">
        <v>14</v>
      </c>
      <c r="F1019" s="21" t="s">
        <v>11</v>
      </c>
      <c r="G1019" s="22">
        <v>900</v>
      </c>
      <c r="H1019" s="20">
        <v>1</v>
      </c>
      <c r="I1019" s="32">
        <f>Town_Team[[#This Row],[Item quantity]]*Town_Team[[#This Row],[Selling price]]</f>
        <v>900</v>
      </c>
      <c r="J1019" s="33">
        <f>IF(Town_Team[[#This Row],[Item name]]=" Jeans - Denim",Town_Team[[#This Row],[Item Amount]]*85%,Town_Team[[#This Row],[Item Amount]])</f>
        <v>900</v>
      </c>
      <c r="K1019" s="39" t="str">
        <f>TEXT(Town_Team[[#This Row],[Date ]],"dddd")</f>
        <v>Monday</v>
      </c>
    </row>
    <row r="1020" spans="2:11" hidden="1" x14ac:dyDescent="0.3">
      <c r="B1020" s="20">
        <v>1016</v>
      </c>
      <c r="C1020" s="19">
        <v>44481</v>
      </c>
      <c r="D1020" s="21" t="s">
        <v>9</v>
      </c>
      <c r="E1020" s="21" t="s">
        <v>18</v>
      </c>
      <c r="F1020" s="21" t="s">
        <v>17</v>
      </c>
      <c r="G1020" s="22">
        <v>600</v>
      </c>
      <c r="H1020" s="20">
        <v>1</v>
      </c>
      <c r="I1020" s="32">
        <f>Town_Team[[#This Row],[Item quantity]]*Town_Team[[#This Row],[Selling price]]</f>
        <v>600</v>
      </c>
      <c r="J1020" s="33">
        <f>IF(Town_Team[[#This Row],[Item name]]=" Jeans - Denim",Town_Team[[#This Row],[Item Amount]]*85%,Town_Team[[#This Row],[Item Amount]])</f>
        <v>600</v>
      </c>
      <c r="K1020" s="39" t="str">
        <f>TEXT(Town_Team[[#This Row],[Date ]],"dddd")</f>
        <v>Tuesday</v>
      </c>
    </row>
    <row r="1021" spans="2:11" hidden="1" x14ac:dyDescent="0.3">
      <c r="B1021" s="20">
        <v>1017</v>
      </c>
      <c r="C1021" s="19">
        <v>44482</v>
      </c>
      <c r="D1021" s="21" t="s">
        <v>9</v>
      </c>
      <c r="E1021" s="21" t="s">
        <v>18</v>
      </c>
      <c r="F1021" s="21" t="s">
        <v>17</v>
      </c>
      <c r="G1021" s="22">
        <v>600</v>
      </c>
      <c r="H1021" s="20">
        <v>1</v>
      </c>
      <c r="I1021" s="32">
        <f>Town_Team[[#This Row],[Item quantity]]*Town_Team[[#This Row],[Selling price]]</f>
        <v>600</v>
      </c>
      <c r="J1021" s="33">
        <f>IF(Town_Team[[#This Row],[Item name]]=" Jeans - Denim",Town_Team[[#This Row],[Item Amount]]*85%,Town_Team[[#This Row],[Item Amount]])</f>
        <v>600</v>
      </c>
      <c r="K1021" s="39" t="str">
        <f>TEXT(Town_Team[[#This Row],[Date ]],"dddd")</f>
        <v>Wednesday</v>
      </c>
    </row>
    <row r="1022" spans="2:11" hidden="1" x14ac:dyDescent="0.3">
      <c r="B1022" s="20">
        <v>1018</v>
      </c>
      <c r="C1022" s="19">
        <v>44483</v>
      </c>
      <c r="D1022" s="21" t="s">
        <v>9</v>
      </c>
      <c r="E1022" s="21" t="s">
        <v>14</v>
      </c>
      <c r="F1022" s="21" t="s">
        <v>11</v>
      </c>
      <c r="G1022" s="22">
        <v>900</v>
      </c>
      <c r="H1022" s="20">
        <v>1</v>
      </c>
      <c r="I1022" s="32">
        <f>Town_Team[[#This Row],[Item quantity]]*Town_Team[[#This Row],[Selling price]]</f>
        <v>900</v>
      </c>
      <c r="J1022" s="33">
        <f>IF(Town_Team[[#This Row],[Item name]]=" Jeans - Denim",Town_Team[[#This Row],[Item Amount]]*85%,Town_Team[[#This Row],[Item Amount]])</f>
        <v>900</v>
      </c>
      <c r="K1022" s="39" t="str">
        <f>TEXT(Town_Team[[#This Row],[Date ]],"dddd")</f>
        <v>Thursday</v>
      </c>
    </row>
    <row r="1023" spans="2:11" hidden="1" x14ac:dyDescent="0.3">
      <c r="B1023" s="20">
        <v>1019</v>
      </c>
      <c r="C1023" s="19">
        <v>44484</v>
      </c>
      <c r="D1023" s="21" t="s">
        <v>9</v>
      </c>
      <c r="E1023" s="21" t="s">
        <v>19</v>
      </c>
      <c r="F1023" s="21" t="s">
        <v>20</v>
      </c>
      <c r="G1023" s="22">
        <v>850</v>
      </c>
      <c r="H1023" s="20">
        <v>1</v>
      </c>
      <c r="I1023" s="32">
        <f>Town_Team[[#This Row],[Item quantity]]*Town_Team[[#This Row],[Selling price]]</f>
        <v>850</v>
      </c>
      <c r="J1023" s="33">
        <f>IF(Town_Team[[#This Row],[Item name]]=" Jeans - Denim",Town_Team[[#This Row],[Item Amount]]*85%,Town_Team[[#This Row],[Item Amount]])</f>
        <v>850</v>
      </c>
      <c r="K1023" s="39" t="str">
        <f>TEXT(Town_Team[[#This Row],[Date ]],"dddd")</f>
        <v>Friday</v>
      </c>
    </row>
    <row r="1024" spans="2:11" hidden="1" x14ac:dyDescent="0.3">
      <c r="B1024" s="20">
        <v>1020</v>
      </c>
      <c r="C1024" s="19">
        <v>44485</v>
      </c>
      <c r="D1024" s="21" t="s">
        <v>9</v>
      </c>
      <c r="E1024" s="21" t="s">
        <v>14</v>
      </c>
      <c r="F1024" s="21" t="s">
        <v>11</v>
      </c>
      <c r="G1024" s="22">
        <v>900</v>
      </c>
      <c r="H1024" s="20">
        <v>1</v>
      </c>
      <c r="I1024" s="32">
        <f>Town_Team[[#This Row],[Item quantity]]*Town_Team[[#This Row],[Selling price]]</f>
        <v>900</v>
      </c>
      <c r="J1024" s="33">
        <f>IF(Town_Team[[#This Row],[Item name]]=" Jeans - Denim",Town_Team[[#This Row],[Item Amount]]*85%,Town_Team[[#This Row],[Item Amount]])</f>
        <v>900</v>
      </c>
      <c r="K1024" s="39" t="str">
        <f>TEXT(Town_Team[[#This Row],[Date ]],"dddd")</f>
        <v>Saturday</v>
      </c>
    </row>
    <row r="1025" spans="2:11" hidden="1" x14ac:dyDescent="0.3">
      <c r="B1025" s="20">
        <v>1021</v>
      </c>
      <c r="C1025" s="19">
        <v>44486</v>
      </c>
      <c r="D1025" s="21" t="s">
        <v>9</v>
      </c>
      <c r="E1025" s="21" t="s">
        <v>18</v>
      </c>
      <c r="F1025" s="21" t="s">
        <v>17</v>
      </c>
      <c r="G1025" s="22">
        <v>600</v>
      </c>
      <c r="H1025" s="20">
        <v>1</v>
      </c>
      <c r="I1025" s="32">
        <f>Town_Team[[#This Row],[Item quantity]]*Town_Team[[#This Row],[Selling price]]</f>
        <v>600</v>
      </c>
      <c r="J1025" s="33">
        <f>IF(Town_Team[[#This Row],[Item name]]=" Jeans - Denim",Town_Team[[#This Row],[Item Amount]]*85%,Town_Team[[#This Row],[Item Amount]])</f>
        <v>600</v>
      </c>
      <c r="K1025" s="39" t="str">
        <f>TEXT(Town_Team[[#This Row],[Date ]],"dddd")</f>
        <v>Sunday</v>
      </c>
    </row>
    <row r="1026" spans="2:11" x14ac:dyDescent="0.3">
      <c r="B1026" s="20">
        <v>1022</v>
      </c>
      <c r="C1026" s="19">
        <v>44487</v>
      </c>
      <c r="D1026" s="21" t="s">
        <v>13</v>
      </c>
      <c r="E1026" s="21" t="s">
        <v>18</v>
      </c>
      <c r="F1026" s="21" t="s">
        <v>17</v>
      </c>
      <c r="G1026" s="22">
        <v>600</v>
      </c>
      <c r="H1026" s="20">
        <v>1</v>
      </c>
      <c r="I1026" s="32">
        <f>Town_Team[[#This Row],[Item quantity]]*Town_Team[[#This Row],[Selling price]]</f>
        <v>600</v>
      </c>
      <c r="J1026" s="33">
        <f>IF(Town_Team[[#This Row],[Item name]]=" Jeans - Denim",Town_Team[[#This Row],[Item Amount]]*85%,Town_Team[[#This Row],[Item Amount]])</f>
        <v>600</v>
      </c>
      <c r="K1026" s="39" t="str">
        <f>TEXT(Town_Team[[#This Row],[Date ]],"dddd")</f>
        <v>Monday</v>
      </c>
    </row>
    <row r="1027" spans="2:11" x14ac:dyDescent="0.3">
      <c r="B1027" s="20">
        <v>1023</v>
      </c>
      <c r="C1027" s="19">
        <v>44488</v>
      </c>
      <c r="D1027" s="21" t="s">
        <v>13</v>
      </c>
      <c r="E1027" s="21" t="s">
        <v>10</v>
      </c>
      <c r="F1027" s="21" t="s">
        <v>11</v>
      </c>
      <c r="G1027" s="22">
        <v>1100</v>
      </c>
      <c r="H1027" s="20">
        <v>1</v>
      </c>
      <c r="I1027" s="32">
        <f>Town_Team[[#This Row],[Item quantity]]*Town_Team[[#This Row],[Selling price]]</f>
        <v>1100</v>
      </c>
      <c r="J1027" s="33">
        <f>IF(Town_Team[[#This Row],[Item name]]=" Jeans - Denim",Town_Team[[#This Row],[Item Amount]]*85%,Town_Team[[#This Row],[Item Amount]])</f>
        <v>1100</v>
      </c>
      <c r="K1027" s="39" t="str">
        <f>TEXT(Town_Team[[#This Row],[Date ]],"dddd")</f>
        <v>Tuesday</v>
      </c>
    </row>
    <row r="1028" spans="2:11" x14ac:dyDescent="0.3">
      <c r="B1028" s="20">
        <v>1024</v>
      </c>
      <c r="C1028" s="19">
        <v>44489</v>
      </c>
      <c r="D1028" s="21" t="s">
        <v>13</v>
      </c>
      <c r="E1028" s="21" t="s">
        <v>12</v>
      </c>
      <c r="F1028" s="21" t="s">
        <v>11</v>
      </c>
      <c r="G1028" s="22">
        <v>900</v>
      </c>
      <c r="H1028" s="20">
        <v>1</v>
      </c>
      <c r="I1028" s="32">
        <f>Town_Team[[#This Row],[Item quantity]]*Town_Team[[#This Row],[Selling price]]</f>
        <v>900</v>
      </c>
      <c r="J1028" s="33">
        <f>IF(Town_Team[[#This Row],[Item name]]=" Jeans - Denim",Town_Team[[#This Row],[Item Amount]]*85%,Town_Team[[#This Row],[Item Amount]])</f>
        <v>765</v>
      </c>
      <c r="K1028" s="39" t="str">
        <f>TEXT(Town_Team[[#This Row],[Date ]],"dddd")</f>
        <v>Wednesday</v>
      </c>
    </row>
    <row r="1029" spans="2:11" x14ac:dyDescent="0.3">
      <c r="B1029" s="20">
        <v>1025</v>
      </c>
      <c r="C1029" s="19">
        <v>44490</v>
      </c>
      <c r="D1029" s="21" t="s">
        <v>13</v>
      </c>
      <c r="E1029" s="21" t="s">
        <v>10</v>
      </c>
      <c r="F1029" s="21" t="s">
        <v>11</v>
      </c>
      <c r="G1029" s="22">
        <v>1100</v>
      </c>
      <c r="H1029" s="20">
        <v>1</v>
      </c>
      <c r="I1029" s="32">
        <f>Town_Team[[#This Row],[Item quantity]]*Town_Team[[#This Row],[Selling price]]</f>
        <v>1100</v>
      </c>
      <c r="J1029" s="33">
        <f>IF(Town_Team[[#This Row],[Item name]]=" Jeans - Denim",Town_Team[[#This Row],[Item Amount]]*85%,Town_Team[[#This Row],[Item Amount]])</f>
        <v>1100</v>
      </c>
      <c r="K1029" s="39" t="str">
        <f>TEXT(Town_Team[[#This Row],[Date ]],"dddd")</f>
        <v>Thursday</v>
      </c>
    </row>
    <row r="1030" spans="2:11" x14ac:dyDescent="0.3">
      <c r="B1030" s="20">
        <v>1026</v>
      </c>
      <c r="C1030" s="19">
        <v>44491</v>
      </c>
      <c r="D1030" s="21" t="s">
        <v>13</v>
      </c>
      <c r="E1030" s="21" t="s">
        <v>18</v>
      </c>
      <c r="F1030" s="21" t="s">
        <v>17</v>
      </c>
      <c r="G1030" s="22">
        <v>600</v>
      </c>
      <c r="H1030" s="20">
        <v>1</v>
      </c>
      <c r="I1030" s="32">
        <f>Town_Team[[#This Row],[Item quantity]]*Town_Team[[#This Row],[Selling price]]</f>
        <v>600</v>
      </c>
      <c r="J1030" s="33">
        <f>IF(Town_Team[[#This Row],[Item name]]=" Jeans - Denim",Town_Team[[#This Row],[Item Amount]]*85%,Town_Team[[#This Row],[Item Amount]])</f>
        <v>600</v>
      </c>
      <c r="K1030" s="39" t="str">
        <f>TEXT(Town_Team[[#This Row],[Date ]],"dddd")</f>
        <v>Friday</v>
      </c>
    </row>
    <row r="1031" spans="2:11" x14ac:dyDescent="0.3">
      <c r="B1031" s="20">
        <v>1027</v>
      </c>
      <c r="C1031" s="19">
        <v>44492</v>
      </c>
      <c r="D1031" s="21" t="s">
        <v>13</v>
      </c>
      <c r="E1031" s="21" t="s">
        <v>21</v>
      </c>
      <c r="F1031" s="21" t="s">
        <v>20</v>
      </c>
      <c r="G1031" s="22">
        <v>1200</v>
      </c>
      <c r="H1031" s="20">
        <v>1</v>
      </c>
      <c r="I1031" s="32">
        <f>Town_Team[[#This Row],[Item quantity]]*Town_Team[[#This Row],[Selling price]]</f>
        <v>1200</v>
      </c>
      <c r="J1031" s="33">
        <f>IF(Town_Team[[#This Row],[Item name]]=" Jeans - Denim",Town_Team[[#This Row],[Item Amount]]*85%,Town_Team[[#This Row],[Item Amount]])</f>
        <v>1200</v>
      </c>
      <c r="K1031" s="39" t="str">
        <f>TEXT(Town_Team[[#This Row],[Date ]],"dddd")</f>
        <v>Saturday</v>
      </c>
    </row>
    <row r="1032" spans="2:11" x14ac:dyDescent="0.3">
      <c r="B1032" s="20">
        <v>1028</v>
      </c>
      <c r="C1032" s="19">
        <v>44493</v>
      </c>
      <c r="D1032" s="21" t="s">
        <v>13</v>
      </c>
      <c r="E1032" s="21" t="s">
        <v>24</v>
      </c>
      <c r="F1032" s="21" t="s">
        <v>23</v>
      </c>
      <c r="G1032" s="22">
        <v>600</v>
      </c>
      <c r="H1032" s="20">
        <v>1</v>
      </c>
      <c r="I1032" s="32">
        <f>Town_Team[[#This Row],[Item quantity]]*Town_Team[[#This Row],[Selling price]]</f>
        <v>600</v>
      </c>
      <c r="J1032" s="33">
        <f>IF(Town_Team[[#This Row],[Item name]]=" Jeans - Denim",Town_Team[[#This Row],[Item Amount]]*85%,Town_Team[[#This Row],[Item Amount]])</f>
        <v>600</v>
      </c>
      <c r="K1032" s="39" t="str">
        <f>TEXT(Town_Team[[#This Row],[Date ]],"dddd")</f>
        <v>Sunday</v>
      </c>
    </row>
    <row r="1033" spans="2:11" x14ac:dyDescent="0.3">
      <c r="B1033" s="20">
        <v>1029</v>
      </c>
      <c r="C1033" s="19">
        <v>44494</v>
      </c>
      <c r="D1033" s="21" t="s">
        <v>13</v>
      </c>
      <c r="E1033" s="21" t="s">
        <v>10</v>
      </c>
      <c r="F1033" s="21" t="s">
        <v>11</v>
      </c>
      <c r="G1033" s="22">
        <v>1100</v>
      </c>
      <c r="H1033" s="20">
        <v>1</v>
      </c>
      <c r="I1033" s="32">
        <f>Town_Team[[#This Row],[Item quantity]]*Town_Team[[#This Row],[Selling price]]</f>
        <v>1100</v>
      </c>
      <c r="J1033" s="33">
        <f>IF(Town_Team[[#This Row],[Item name]]=" Jeans - Denim",Town_Team[[#This Row],[Item Amount]]*85%,Town_Team[[#This Row],[Item Amount]])</f>
        <v>1100</v>
      </c>
      <c r="K1033" s="39" t="str">
        <f>TEXT(Town_Team[[#This Row],[Date ]],"dddd")</f>
        <v>Monday</v>
      </c>
    </row>
    <row r="1034" spans="2:11" x14ac:dyDescent="0.3">
      <c r="B1034" s="20">
        <v>1030</v>
      </c>
      <c r="C1034" s="19">
        <v>44495</v>
      </c>
      <c r="D1034" s="21" t="s">
        <v>13</v>
      </c>
      <c r="E1034" s="21" t="s">
        <v>22</v>
      </c>
      <c r="F1034" s="21" t="s">
        <v>23</v>
      </c>
      <c r="G1034" s="22">
        <v>500</v>
      </c>
      <c r="H1034" s="20">
        <v>1</v>
      </c>
      <c r="I1034" s="32">
        <f>Town_Team[[#This Row],[Item quantity]]*Town_Team[[#This Row],[Selling price]]</f>
        <v>500</v>
      </c>
      <c r="J1034" s="33">
        <f>IF(Town_Team[[#This Row],[Item name]]=" Jeans - Denim",Town_Team[[#This Row],[Item Amount]]*85%,Town_Team[[#This Row],[Item Amount]])</f>
        <v>500</v>
      </c>
      <c r="K1034" s="39" t="str">
        <f>TEXT(Town_Team[[#This Row],[Date ]],"dddd")</f>
        <v>Tuesday</v>
      </c>
    </row>
    <row r="1035" spans="2:11" hidden="1" x14ac:dyDescent="0.3">
      <c r="B1035" s="20">
        <v>1031</v>
      </c>
      <c r="C1035" s="19">
        <v>44496</v>
      </c>
      <c r="D1035" s="21" t="s">
        <v>9</v>
      </c>
      <c r="E1035" s="21" t="s">
        <v>12</v>
      </c>
      <c r="F1035" s="21" t="s">
        <v>11</v>
      </c>
      <c r="G1035" s="22">
        <v>900</v>
      </c>
      <c r="H1035" s="20">
        <v>1</v>
      </c>
      <c r="I1035" s="32">
        <f>Town_Team[[#This Row],[Item quantity]]*Town_Team[[#This Row],[Selling price]]</f>
        <v>900</v>
      </c>
      <c r="J1035" s="33">
        <f>IF(Town_Team[[#This Row],[Item name]]=" Jeans - Denim",Town_Team[[#This Row],[Item Amount]]*85%,Town_Team[[#This Row],[Item Amount]])</f>
        <v>765</v>
      </c>
      <c r="K1035" s="39" t="str">
        <f>TEXT(Town_Team[[#This Row],[Date ]],"dddd")</f>
        <v>Wednesday</v>
      </c>
    </row>
    <row r="1036" spans="2:11" hidden="1" x14ac:dyDescent="0.3">
      <c r="B1036" s="20">
        <v>1032</v>
      </c>
      <c r="C1036" s="19">
        <v>44497</v>
      </c>
      <c r="D1036" s="21" t="s">
        <v>9</v>
      </c>
      <c r="E1036" s="21" t="s">
        <v>19</v>
      </c>
      <c r="F1036" s="21" t="s">
        <v>20</v>
      </c>
      <c r="G1036" s="22">
        <v>850</v>
      </c>
      <c r="H1036" s="20">
        <v>1</v>
      </c>
      <c r="I1036" s="32">
        <f>Town_Team[[#This Row],[Item quantity]]*Town_Team[[#This Row],[Selling price]]</f>
        <v>850</v>
      </c>
      <c r="J1036" s="33">
        <f>IF(Town_Team[[#This Row],[Item name]]=" Jeans - Denim",Town_Team[[#This Row],[Item Amount]]*85%,Town_Team[[#This Row],[Item Amount]])</f>
        <v>850</v>
      </c>
      <c r="K1036" s="39" t="str">
        <f>TEXT(Town_Team[[#This Row],[Date ]],"dddd")</f>
        <v>Thursday</v>
      </c>
    </row>
    <row r="1037" spans="2:11" hidden="1" x14ac:dyDescent="0.3">
      <c r="B1037" s="20">
        <v>1033</v>
      </c>
      <c r="C1037" s="19">
        <v>44498</v>
      </c>
      <c r="D1037" s="21" t="s">
        <v>9</v>
      </c>
      <c r="E1037" s="21" t="s">
        <v>18</v>
      </c>
      <c r="F1037" s="21" t="s">
        <v>17</v>
      </c>
      <c r="G1037" s="22">
        <v>600</v>
      </c>
      <c r="H1037" s="20">
        <v>1</v>
      </c>
      <c r="I1037" s="32">
        <f>Town_Team[[#This Row],[Item quantity]]*Town_Team[[#This Row],[Selling price]]</f>
        <v>600</v>
      </c>
      <c r="J1037" s="33">
        <f>IF(Town_Team[[#This Row],[Item name]]=" Jeans - Denim",Town_Team[[#This Row],[Item Amount]]*85%,Town_Team[[#This Row],[Item Amount]])</f>
        <v>600</v>
      </c>
      <c r="K1037" s="39" t="str">
        <f>TEXT(Town_Team[[#This Row],[Date ]],"dddd")</f>
        <v>Friday</v>
      </c>
    </row>
    <row r="1038" spans="2:11" hidden="1" x14ac:dyDescent="0.3">
      <c r="B1038" s="20">
        <v>1034</v>
      </c>
      <c r="C1038" s="19">
        <v>44499</v>
      </c>
      <c r="D1038" s="21" t="s">
        <v>9</v>
      </c>
      <c r="E1038" s="21" t="s">
        <v>10</v>
      </c>
      <c r="F1038" s="21" t="s">
        <v>11</v>
      </c>
      <c r="G1038" s="22">
        <v>1100</v>
      </c>
      <c r="H1038" s="20">
        <v>1</v>
      </c>
      <c r="I1038" s="32">
        <f>Town_Team[[#This Row],[Item quantity]]*Town_Team[[#This Row],[Selling price]]</f>
        <v>1100</v>
      </c>
      <c r="J1038" s="33">
        <f>IF(Town_Team[[#This Row],[Item name]]=" Jeans - Denim",Town_Team[[#This Row],[Item Amount]]*85%,Town_Team[[#This Row],[Item Amount]])</f>
        <v>1100</v>
      </c>
      <c r="K1038" s="39" t="str">
        <f>TEXT(Town_Team[[#This Row],[Date ]],"dddd")</f>
        <v>Saturday</v>
      </c>
    </row>
    <row r="1039" spans="2:11" hidden="1" x14ac:dyDescent="0.3">
      <c r="B1039" s="20">
        <v>1035</v>
      </c>
      <c r="C1039" s="19">
        <v>44500</v>
      </c>
      <c r="D1039" s="21" t="s">
        <v>9</v>
      </c>
      <c r="E1039" s="21" t="s">
        <v>22</v>
      </c>
      <c r="F1039" s="21" t="s">
        <v>23</v>
      </c>
      <c r="G1039" s="22">
        <v>500</v>
      </c>
      <c r="H1039" s="20">
        <v>1</v>
      </c>
      <c r="I1039" s="32">
        <f>Town_Team[[#This Row],[Item quantity]]*Town_Team[[#This Row],[Selling price]]</f>
        <v>500</v>
      </c>
      <c r="J1039" s="33">
        <f>IF(Town_Team[[#This Row],[Item name]]=" Jeans - Denim",Town_Team[[#This Row],[Item Amount]]*85%,Town_Team[[#This Row],[Item Amount]])</f>
        <v>500</v>
      </c>
      <c r="K1039" s="39" t="str">
        <f>TEXT(Town_Team[[#This Row],[Date ]],"dddd")</f>
        <v>Sunday</v>
      </c>
    </row>
    <row r="1040" spans="2:11" hidden="1" x14ac:dyDescent="0.3">
      <c r="B1040" s="20">
        <v>1036</v>
      </c>
      <c r="C1040" s="19">
        <v>44501</v>
      </c>
      <c r="D1040" s="21" t="s">
        <v>9</v>
      </c>
      <c r="E1040" s="21" t="s">
        <v>18</v>
      </c>
      <c r="F1040" s="21" t="s">
        <v>17</v>
      </c>
      <c r="G1040" s="22">
        <v>600</v>
      </c>
      <c r="H1040" s="20">
        <v>1</v>
      </c>
      <c r="I1040" s="32">
        <f>Town_Team[[#This Row],[Item quantity]]*Town_Team[[#This Row],[Selling price]]</f>
        <v>600</v>
      </c>
      <c r="J1040" s="33">
        <f>IF(Town_Team[[#This Row],[Item name]]=" Jeans - Denim",Town_Team[[#This Row],[Item Amount]]*85%,Town_Team[[#This Row],[Item Amount]])</f>
        <v>600</v>
      </c>
      <c r="K1040" s="39" t="str">
        <f>TEXT(Town_Team[[#This Row],[Date ]],"dddd")</f>
        <v>Monday</v>
      </c>
    </row>
    <row r="1041" spans="2:8" x14ac:dyDescent="0.3">
      <c r="B1041"/>
      <c r="C1041"/>
      <c r="D1041"/>
      <c r="E1041"/>
      <c r="F1041"/>
      <c r="G1041"/>
      <c r="H1041"/>
    </row>
    <row r="1042" spans="2:8" x14ac:dyDescent="0.3">
      <c r="B1042"/>
      <c r="C1042"/>
      <c r="D1042"/>
      <c r="E1042"/>
      <c r="F1042"/>
      <c r="G1042"/>
      <c r="H1042"/>
    </row>
  </sheetData>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121" workbookViewId="0">
      <selection activeCell="M15" sqref="M15"/>
    </sheetView>
  </sheetViews>
  <sheetFormatPr defaultRowHeight="14.4" x14ac:dyDescent="0.3"/>
  <cols>
    <col min="4" max="4" width="8.88671875" customWidth="1"/>
  </cols>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G103"/>
  <sheetViews>
    <sheetView workbookViewId="0">
      <selection activeCell="C36" sqref="C36"/>
    </sheetView>
  </sheetViews>
  <sheetFormatPr defaultRowHeight="14.4" x14ac:dyDescent="0.3"/>
  <cols>
    <col min="1" max="1" width="12.5546875" bestFit="1" customWidth="1"/>
    <col min="2" max="2" width="18.6640625" bestFit="1" customWidth="1"/>
    <col min="3" max="3" width="19.6640625" bestFit="1" customWidth="1"/>
    <col min="4" max="4" width="15.5546875" bestFit="1" customWidth="1"/>
    <col min="5" max="5" width="12.6640625" bestFit="1" customWidth="1"/>
    <col min="6" max="6" width="21.88671875" bestFit="1" customWidth="1"/>
    <col min="7" max="10" width="15.5546875" bestFit="1" customWidth="1"/>
    <col min="11" max="11" width="10.77734375" bestFit="1" customWidth="1"/>
    <col min="12" max="15" width="15.5546875" bestFit="1" customWidth="1"/>
    <col min="16" max="16" width="10.77734375" bestFit="1" customWidth="1"/>
  </cols>
  <sheetData>
    <row r="2" spans="1:3" x14ac:dyDescent="0.3">
      <c r="A2">
        <v>1</v>
      </c>
    </row>
    <row r="3" spans="1:3" x14ac:dyDescent="0.3">
      <c r="A3" t="s">
        <v>38</v>
      </c>
    </row>
    <row r="4" spans="1:3" x14ac:dyDescent="0.3">
      <c r="A4" s="10">
        <v>350850</v>
      </c>
    </row>
    <row r="9" spans="1:3" x14ac:dyDescent="0.3">
      <c r="A9">
        <v>2</v>
      </c>
    </row>
    <row r="10" spans="1:3" x14ac:dyDescent="0.3">
      <c r="A10" s="8" t="s">
        <v>39</v>
      </c>
      <c r="B10" t="s">
        <v>38</v>
      </c>
      <c r="C10" t="s">
        <v>41</v>
      </c>
    </row>
    <row r="11" spans="1:3" x14ac:dyDescent="0.3">
      <c r="A11" s="9" t="s">
        <v>10</v>
      </c>
      <c r="B11" s="10">
        <v>106700</v>
      </c>
      <c r="C11" s="40">
        <v>97</v>
      </c>
    </row>
    <row r="12" spans="1:3" x14ac:dyDescent="0.3">
      <c r="A12" s="9" t="s">
        <v>12</v>
      </c>
      <c r="B12" s="10">
        <v>43200</v>
      </c>
      <c r="C12" s="40">
        <v>48</v>
      </c>
    </row>
    <row r="13" spans="1:3" x14ac:dyDescent="0.3">
      <c r="A13" s="9" t="s">
        <v>14</v>
      </c>
      <c r="B13" s="10">
        <v>42300</v>
      </c>
      <c r="C13" s="40">
        <v>47</v>
      </c>
    </row>
    <row r="14" spans="1:3" x14ac:dyDescent="0.3">
      <c r="A14" s="9" t="s">
        <v>18</v>
      </c>
      <c r="B14" s="10">
        <v>42000</v>
      </c>
      <c r="C14" s="40">
        <v>70</v>
      </c>
    </row>
    <row r="15" spans="1:3" x14ac:dyDescent="0.3">
      <c r="A15" s="9" t="s">
        <v>15</v>
      </c>
      <c r="B15" s="10">
        <v>29000</v>
      </c>
      <c r="C15" s="40">
        <v>29</v>
      </c>
    </row>
    <row r="16" spans="1:3" x14ac:dyDescent="0.3">
      <c r="A16" s="9" t="s">
        <v>21</v>
      </c>
      <c r="B16" s="10">
        <v>24000</v>
      </c>
      <c r="C16" s="40">
        <v>20</v>
      </c>
    </row>
    <row r="17" spans="1:3" x14ac:dyDescent="0.3">
      <c r="A17" s="9" t="s">
        <v>16</v>
      </c>
      <c r="B17" s="10">
        <v>20800</v>
      </c>
      <c r="C17" s="40">
        <v>26</v>
      </c>
    </row>
    <row r="18" spans="1:3" x14ac:dyDescent="0.3">
      <c r="A18" s="9" t="s">
        <v>19</v>
      </c>
      <c r="B18" s="10">
        <v>17850</v>
      </c>
      <c r="C18" s="40">
        <v>21</v>
      </c>
    </row>
    <row r="19" spans="1:3" x14ac:dyDescent="0.3">
      <c r="A19" s="9" t="s">
        <v>22</v>
      </c>
      <c r="B19" s="10">
        <v>13600</v>
      </c>
      <c r="C19" s="40">
        <v>21</v>
      </c>
    </row>
    <row r="20" spans="1:3" x14ac:dyDescent="0.3">
      <c r="A20" s="9" t="s">
        <v>24</v>
      </c>
      <c r="B20" s="10">
        <v>11400</v>
      </c>
      <c r="C20" s="40">
        <v>19</v>
      </c>
    </row>
    <row r="21" spans="1:3" x14ac:dyDescent="0.3">
      <c r="A21" s="9" t="s">
        <v>40</v>
      </c>
      <c r="B21" s="10">
        <v>350850</v>
      </c>
      <c r="C21" s="40">
        <v>398</v>
      </c>
    </row>
    <row r="25" spans="1:3" x14ac:dyDescent="0.3">
      <c r="A25">
        <v>3</v>
      </c>
    </row>
    <row r="26" spans="1:3" x14ac:dyDescent="0.3">
      <c r="A26" s="8" t="s">
        <v>39</v>
      </c>
      <c r="B26" t="s">
        <v>38</v>
      </c>
      <c r="C26" t="s">
        <v>42</v>
      </c>
    </row>
    <row r="27" spans="1:3" x14ac:dyDescent="0.3">
      <c r="A27" s="9" t="s">
        <v>11</v>
      </c>
      <c r="B27" s="10">
        <v>221200</v>
      </c>
      <c r="C27" s="11">
        <v>0.63046886133675362</v>
      </c>
    </row>
    <row r="28" spans="1:3" x14ac:dyDescent="0.3">
      <c r="A28" s="9" t="s">
        <v>17</v>
      </c>
      <c r="B28" s="10">
        <v>62800</v>
      </c>
      <c r="C28" s="11">
        <v>0.17899387202508193</v>
      </c>
    </row>
    <row r="29" spans="1:3" x14ac:dyDescent="0.3">
      <c r="A29" s="9" t="s">
        <v>20</v>
      </c>
      <c r="B29" s="10">
        <v>41850</v>
      </c>
      <c r="C29" s="11">
        <v>0.11928174433518597</v>
      </c>
    </row>
    <row r="30" spans="1:3" x14ac:dyDescent="0.3">
      <c r="A30" s="9" t="s">
        <v>23</v>
      </c>
      <c r="B30" s="10">
        <v>25000</v>
      </c>
      <c r="C30" s="11">
        <v>7.1255522302978477E-2</v>
      </c>
    </row>
    <row r="31" spans="1:3" x14ac:dyDescent="0.3">
      <c r="A31" s="9" t="s">
        <v>40</v>
      </c>
      <c r="B31" s="10">
        <v>350850</v>
      </c>
      <c r="C31" s="11">
        <v>1</v>
      </c>
    </row>
    <row r="36" spans="1:2" x14ac:dyDescent="0.3">
      <c r="A36">
        <v>4</v>
      </c>
    </row>
    <row r="37" spans="1:2" x14ac:dyDescent="0.3">
      <c r="A37" s="8" t="s">
        <v>39</v>
      </c>
      <c r="B37" t="s">
        <v>38</v>
      </c>
    </row>
    <row r="38" spans="1:2" x14ac:dyDescent="0.3">
      <c r="A38" s="9" t="s">
        <v>9</v>
      </c>
      <c r="B38" s="10">
        <v>323500</v>
      </c>
    </row>
    <row r="39" spans="1:2" x14ac:dyDescent="0.3">
      <c r="A39" s="9" t="s">
        <v>13</v>
      </c>
      <c r="B39" s="10">
        <v>27350</v>
      </c>
    </row>
    <row r="40" spans="1:2" x14ac:dyDescent="0.3">
      <c r="A40" s="9" t="s">
        <v>40</v>
      </c>
      <c r="B40" s="10">
        <v>350850</v>
      </c>
    </row>
    <row r="44" spans="1:2" x14ac:dyDescent="0.3">
      <c r="A44">
        <v>5</v>
      </c>
    </row>
    <row r="45" spans="1:2" x14ac:dyDescent="0.3">
      <c r="A45" s="8" t="s">
        <v>39</v>
      </c>
      <c r="B45" t="s">
        <v>38</v>
      </c>
    </row>
    <row r="46" spans="1:2" x14ac:dyDescent="0.3">
      <c r="A46" s="9">
        <v>1</v>
      </c>
      <c r="B46" s="10">
        <v>34200</v>
      </c>
    </row>
    <row r="47" spans="1:2" x14ac:dyDescent="0.3">
      <c r="A47" s="9">
        <v>2</v>
      </c>
      <c r="B47" s="10">
        <v>28100</v>
      </c>
    </row>
    <row r="48" spans="1:2" x14ac:dyDescent="0.3">
      <c r="A48" s="9">
        <v>3</v>
      </c>
      <c r="B48" s="10">
        <v>31750</v>
      </c>
    </row>
    <row r="49" spans="1:3" x14ac:dyDescent="0.3">
      <c r="A49" s="9">
        <v>4</v>
      </c>
      <c r="B49" s="10">
        <v>25150</v>
      </c>
    </row>
    <row r="50" spans="1:3" x14ac:dyDescent="0.3">
      <c r="A50" s="9">
        <v>5</v>
      </c>
      <c r="B50" s="10">
        <v>30050</v>
      </c>
    </row>
    <row r="51" spans="1:3" x14ac:dyDescent="0.3">
      <c r="A51" s="9">
        <v>6</v>
      </c>
      <c r="B51" s="10">
        <v>30800</v>
      </c>
    </row>
    <row r="52" spans="1:3" x14ac:dyDescent="0.3">
      <c r="A52" s="9">
        <v>7</v>
      </c>
      <c r="B52" s="10">
        <v>27150</v>
      </c>
    </row>
    <row r="53" spans="1:3" x14ac:dyDescent="0.3">
      <c r="A53" s="9">
        <v>8</v>
      </c>
      <c r="B53" s="10">
        <v>24150</v>
      </c>
    </row>
    <row r="54" spans="1:3" x14ac:dyDescent="0.3">
      <c r="A54" s="9">
        <v>9</v>
      </c>
      <c r="B54" s="10">
        <v>27050</v>
      </c>
    </row>
    <row r="55" spans="1:3" x14ac:dyDescent="0.3">
      <c r="A55" s="9">
        <v>10</v>
      </c>
      <c r="B55" s="10">
        <v>30250</v>
      </c>
    </row>
    <row r="56" spans="1:3" x14ac:dyDescent="0.3">
      <c r="A56" s="9">
        <v>11</v>
      </c>
      <c r="B56" s="10">
        <v>29150</v>
      </c>
    </row>
    <row r="57" spans="1:3" x14ac:dyDescent="0.3">
      <c r="A57" s="9">
        <v>12</v>
      </c>
      <c r="B57" s="10">
        <v>33050</v>
      </c>
    </row>
    <row r="58" spans="1:3" x14ac:dyDescent="0.3">
      <c r="A58" s="9" t="s">
        <v>40</v>
      </c>
      <c r="B58" s="10">
        <v>350850</v>
      </c>
    </row>
    <row r="63" spans="1:3" x14ac:dyDescent="0.3">
      <c r="A63">
        <v>6</v>
      </c>
    </row>
    <row r="64" spans="1:3" x14ac:dyDescent="0.3">
      <c r="A64" s="8" t="s">
        <v>39</v>
      </c>
      <c r="B64" t="s">
        <v>38</v>
      </c>
      <c r="C64" t="s">
        <v>41</v>
      </c>
    </row>
    <row r="65" spans="1:5" x14ac:dyDescent="0.3">
      <c r="A65" s="9" t="s">
        <v>10</v>
      </c>
      <c r="B65" s="10">
        <v>106700</v>
      </c>
      <c r="C65" s="40">
        <v>97</v>
      </c>
    </row>
    <row r="66" spans="1:5" x14ac:dyDescent="0.3">
      <c r="A66" s="9" t="s">
        <v>12</v>
      </c>
      <c r="B66" s="10">
        <v>43200</v>
      </c>
      <c r="C66" s="40">
        <v>48</v>
      </c>
    </row>
    <row r="67" spans="1:5" x14ac:dyDescent="0.3">
      <c r="A67" s="9" t="s">
        <v>14</v>
      </c>
      <c r="B67" s="10">
        <v>42300</v>
      </c>
      <c r="C67" s="40">
        <v>47</v>
      </c>
    </row>
    <row r="68" spans="1:5" x14ac:dyDescent="0.3">
      <c r="A68" s="9" t="s">
        <v>18</v>
      </c>
      <c r="B68" s="10">
        <v>42000</v>
      </c>
      <c r="C68" s="40">
        <v>70</v>
      </c>
    </row>
    <row r="69" spans="1:5" x14ac:dyDescent="0.3">
      <c r="A69" s="9" t="s">
        <v>15</v>
      </c>
      <c r="B69" s="10">
        <v>29000</v>
      </c>
      <c r="C69" s="40">
        <v>29</v>
      </c>
    </row>
    <row r="70" spans="1:5" x14ac:dyDescent="0.3">
      <c r="A70" s="9" t="s">
        <v>40</v>
      </c>
      <c r="B70" s="10">
        <v>263200</v>
      </c>
      <c r="C70" s="40">
        <v>291</v>
      </c>
    </row>
    <row r="76" spans="1:5" x14ac:dyDescent="0.3">
      <c r="E76">
        <v>7</v>
      </c>
    </row>
    <row r="77" spans="1:5" x14ac:dyDescent="0.3">
      <c r="A77">
        <v>7</v>
      </c>
      <c r="E77" t="s">
        <v>45</v>
      </c>
    </row>
    <row r="78" spans="1:5" x14ac:dyDescent="0.3">
      <c r="A78" s="8" t="s">
        <v>39</v>
      </c>
      <c r="B78" t="s">
        <v>43</v>
      </c>
      <c r="E78" s="40">
        <v>365</v>
      </c>
    </row>
    <row r="79" spans="1:5" x14ac:dyDescent="0.3">
      <c r="A79" s="9" t="s">
        <v>11</v>
      </c>
      <c r="B79" s="10">
        <v>1134.3589743589744</v>
      </c>
    </row>
    <row r="80" spans="1:5" x14ac:dyDescent="0.3">
      <c r="A80" s="12" t="s">
        <v>10</v>
      </c>
      <c r="B80" s="10">
        <v>1301.219512195122</v>
      </c>
    </row>
    <row r="81" spans="1:7" x14ac:dyDescent="0.3">
      <c r="A81" s="12" t="s">
        <v>12</v>
      </c>
      <c r="B81" s="10">
        <v>1053.6585365853659</v>
      </c>
    </row>
    <row r="82" spans="1:7" x14ac:dyDescent="0.3">
      <c r="A82" s="12" t="s">
        <v>15</v>
      </c>
      <c r="B82" s="10">
        <v>1000</v>
      </c>
    </row>
    <row r="83" spans="1:7" x14ac:dyDescent="0.3">
      <c r="A83" s="12" t="s">
        <v>14</v>
      </c>
      <c r="B83" s="10">
        <v>983.72093023255809</v>
      </c>
      <c r="E83">
        <v>7</v>
      </c>
    </row>
    <row r="84" spans="1:7" x14ac:dyDescent="0.3">
      <c r="A84" s="9" t="s">
        <v>20</v>
      </c>
      <c r="B84" s="10">
        <v>1046.25</v>
      </c>
      <c r="E84" t="s">
        <v>43</v>
      </c>
    </row>
    <row r="85" spans="1:7" x14ac:dyDescent="0.3">
      <c r="A85" s="12" t="s">
        <v>21</v>
      </c>
      <c r="B85" s="10">
        <v>1263.1578947368421</v>
      </c>
      <c r="E85" s="10">
        <v>961.23287671232879</v>
      </c>
    </row>
    <row r="86" spans="1:7" x14ac:dyDescent="0.3">
      <c r="A86" s="12" t="s">
        <v>19</v>
      </c>
      <c r="B86" s="10">
        <v>850</v>
      </c>
    </row>
    <row r="87" spans="1:7" x14ac:dyDescent="0.3">
      <c r="A87" s="9" t="s">
        <v>17</v>
      </c>
      <c r="B87" s="10">
        <v>690.1098901098901</v>
      </c>
    </row>
    <row r="88" spans="1:7" x14ac:dyDescent="0.3">
      <c r="A88" s="12" t="s">
        <v>16</v>
      </c>
      <c r="B88" s="10">
        <v>904.3478260869565</v>
      </c>
    </row>
    <row r="89" spans="1:7" x14ac:dyDescent="0.3">
      <c r="A89" s="12" t="s">
        <v>18</v>
      </c>
      <c r="B89" s="10">
        <v>617.64705882352939</v>
      </c>
      <c r="E89">
        <v>7</v>
      </c>
    </row>
    <row r="90" spans="1:7" x14ac:dyDescent="0.3">
      <c r="A90" s="9" t="s">
        <v>23</v>
      </c>
      <c r="B90" s="10">
        <v>641.02564102564099</v>
      </c>
      <c r="E90" s="8" t="s">
        <v>39</v>
      </c>
      <c r="G90" t="s">
        <v>46</v>
      </c>
    </row>
    <row r="91" spans="1:7" x14ac:dyDescent="0.3">
      <c r="A91" s="12" t="s">
        <v>22</v>
      </c>
      <c r="B91" s="10">
        <v>647.61904761904759</v>
      </c>
      <c r="E91" s="9" t="s">
        <v>24</v>
      </c>
      <c r="G91">
        <f>COUNTA(E91:E100)</f>
        <v>10</v>
      </c>
    </row>
    <row r="92" spans="1:7" x14ac:dyDescent="0.3">
      <c r="A92" s="12" t="s">
        <v>24</v>
      </c>
      <c r="B92" s="10">
        <v>633.33333333333337</v>
      </c>
      <c r="E92" s="9" t="s">
        <v>12</v>
      </c>
    </row>
    <row r="93" spans="1:7" x14ac:dyDescent="0.3">
      <c r="A93" s="9" t="s">
        <v>40</v>
      </c>
      <c r="B93" s="10">
        <v>961.23287671232879</v>
      </c>
      <c r="E93" s="9" t="s">
        <v>15</v>
      </c>
    </row>
    <row r="94" spans="1:7" x14ac:dyDescent="0.3">
      <c r="E94" s="9" t="s">
        <v>10</v>
      </c>
    </row>
    <row r="95" spans="1:7" x14ac:dyDescent="0.3">
      <c r="E95" s="9" t="s">
        <v>14</v>
      </c>
    </row>
    <row r="96" spans="1:7" x14ac:dyDescent="0.3">
      <c r="E96" s="9" t="s">
        <v>19</v>
      </c>
    </row>
    <row r="97" spans="1:5" x14ac:dyDescent="0.3">
      <c r="E97" s="9" t="s">
        <v>21</v>
      </c>
    </row>
    <row r="98" spans="1:5" x14ac:dyDescent="0.3">
      <c r="E98" s="9" t="s">
        <v>16</v>
      </c>
    </row>
    <row r="99" spans="1:5" x14ac:dyDescent="0.3">
      <c r="A99" t="s">
        <v>44</v>
      </c>
      <c r="E99" s="9" t="s">
        <v>18</v>
      </c>
    </row>
    <row r="100" spans="1:5" x14ac:dyDescent="0.3">
      <c r="A100" s="8" t="s">
        <v>39</v>
      </c>
      <c r="B100" t="s">
        <v>38</v>
      </c>
      <c r="E100" s="9" t="s">
        <v>22</v>
      </c>
    </row>
    <row r="101" spans="1:5" x14ac:dyDescent="0.3">
      <c r="A101" s="9" t="s">
        <v>11</v>
      </c>
      <c r="B101" s="10">
        <v>221200</v>
      </c>
      <c r="E101" s="9" t="s">
        <v>40</v>
      </c>
    </row>
    <row r="102" spans="1:5" x14ac:dyDescent="0.3">
      <c r="A102" s="9" t="s">
        <v>17</v>
      </c>
      <c r="B102" s="10">
        <v>62800</v>
      </c>
    </row>
    <row r="103" spans="1:5" x14ac:dyDescent="0.3">
      <c r="A103" s="9" t="s">
        <v>40</v>
      </c>
      <c r="B103" s="10">
        <v>284000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zoomScale="46" zoomScaleNormal="46" workbookViewId="0">
      <selection activeCell="AX11" sqref="AX11"/>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2EF35-3597-4DB8-887C-721A9C6B8E4E}">
  <dimension ref="A1:M226"/>
  <sheetViews>
    <sheetView topLeftCell="G204" workbookViewId="0">
      <selection activeCell="I221" sqref="I221"/>
    </sheetView>
  </sheetViews>
  <sheetFormatPr defaultColWidth="32.5546875" defaultRowHeight="14.4" x14ac:dyDescent="0.3"/>
  <cols>
    <col min="1" max="1" width="18.33203125" bestFit="1" customWidth="1"/>
    <col min="2" max="3" width="19.88671875" bestFit="1" customWidth="1"/>
    <col min="4" max="5" width="10.77734375" bestFit="1" customWidth="1"/>
    <col min="6" max="6" width="23.109375" bestFit="1" customWidth="1"/>
    <col min="7" max="7" width="35.77734375" bestFit="1" customWidth="1"/>
    <col min="8" max="8" width="23.109375" bestFit="1" customWidth="1"/>
    <col min="9" max="9" width="15.77734375" bestFit="1" customWidth="1"/>
    <col min="10" max="10" width="18.88671875" bestFit="1" customWidth="1"/>
    <col min="11" max="11" width="24.21875" bestFit="1" customWidth="1"/>
    <col min="12" max="12" width="14.44140625" bestFit="1" customWidth="1"/>
    <col min="13" max="13" width="18.88671875" bestFit="1" customWidth="1"/>
  </cols>
  <sheetData>
    <row r="1" spans="1:10" x14ac:dyDescent="0.3">
      <c r="I1" s="26" t="s">
        <v>121</v>
      </c>
    </row>
    <row r="2" spans="1:10" x14ac:dyDescent="0.3">
      <c r="A2" s="26" t="s">
        <v>120</v>
      </c>
      <c r="I2" t="s">
        <v>103</v>
      </c>
    </row>
    <row r="3" spans="1:10" x14ac:dyDescent="0.3">
      <c r="A3" t="s">
        <v>103</v>
      </c>
      <c r="I3" s="23">
        <v>350850</v>
      </c>
    </row>
    <row r="4" spans="1:10" x14ac:dyDescent="0.3">
      <c r="A4" s="58">
        <v>350850</v>
      </c>
    </row>
    <row r="5" spans="1:10" x14ac:dyDescent="0.3">
      <c r="I5" s="26" t="s">
        <v>122</v>
      </c>
    </row>
    <row r="6" spans="1:10" x14ac:dyDescent="0.3">
      <c r="A6" s="26" t="s">
        <v>104</v>
      </c>
      <c r="I6" s="8" t="s">
        <v>39</v>
      </c>
      <c r="J6" t="s">
        <v>118</v>
      </c>
    </row>
    <row r="7" spans="1:10" x14ac:dyDescent="0.3">
      <c r="A7" s="8" t="s">
        <v>39</v>
      </c>
      <c r="B7" t="s">
        <v>103</v>
      </c>
      <c r="I7" s="34" t="s">
        <v>24</v>
      </c>
      <c r="J7" s="30">
        <v>11400</v>
      </c>
    </row>
    <row r="8" spans="1:10" x14ac:dyDescent="0.3">
      <c r="A8" s="9" t="s">
        <v>83</v>
      </c>
      <c r="B8" s="23">
        <v>350850</v>
      </c>
      <c r="I8" s="9" t="s">
        <v>12</v>
      </c>
      <c r="J8" s="23">
        <v>43300</v>
      </c>
    </row>
    <row r="9" spans="1:10" x14ac:dyDescent="0.3">
      <c r="A9" s="46" t="s">
        <v>85</v>
      </c>
      <c r="B9" s="47">
        <v>94050</v>
      </c>
      <c r="I9" s="9" t="s">
        <v>15</v>
      </c>
      <c r="J9" s="23">
        <v>29000</v>
      </c>
    </row>
    <row r="10" spans="1:10" x14ac:dyDescent="0.3">
      <c r="A10" s="29" t="s">
        <v>86</v>
      </c>
      <c r="B10" s="30">
        <v>86000</v>
      </c>
      <c r="I10" s="35" t="s">
        <v>10</v>
      </c>
      <c r="J10" s="28">
        <v>106700</v>
      </c>
    </row>
    <row r="11" spans="1:10" x14ac:dyDescent="0.3">
      <c r="A11" s="12" t="s">
        <v>87</v>
      </c>
      <c r="B11" s="23">
        <v>78350</v>
      </c>
      <c r="I11" s="9" t="s">
        <v>14</v>
      </c>
      <c r="J11" s="23">
        <v>42300</v>
      </c>
    </row>
    <row r="12" spans="1:10" x14ac:dyDescent="0.3">
      <c r="A12" s="12" t="s">
        <v>88</v>
      </c>
      <c r="B12" s="23">
        <v>92450</v>
      </c>
      <c r="I12" s="9" t="s">
        <v>19</v>
      </c>
      <c r="J12" s="23">
        <v>17850</v>
      </c>
    </row>
    <row r="13" spans="1:10" x14ac:dyDescent="0.3">
      <c r="A13" s="9" t="s">
        <v>40</v>
      </c>
      <c r="B13" s="23">
        <v>350850</v>
      </c>
      <c r="I13" s="9" t="s">
        <v>21</v>
      </c>
      <c r="J13" s="23">
        <v>23800</v>
      </c>
    </row>
    <row r="14" spans="1:10" x14ac:dyDescent="0.3">
      <c r="I14" s="9" t="s">
        <v>16</v>
      </c>
      <c r="J14" s="23">
        <v>20800</v>
      </c>
    </row>
    <row r="15" spans="1:10" x14ac:dyDescent="0.3">
      <c r="I15" s="9" t="s">
        <v>18</v>
      </c>
      <c r="J15" s="23">
        <v>42100</v>
      </c>
    </row>
    <row r="16" spans="1:10" x14ac:dyDescent="0.3">
      <c r="I16" s="9" t="s">
        <v>22</v>
      </c>
      <c r="J16" s="23">
        <v>13600</v>
      </c>
    </row>
    <row r="17" spans="1:10" x14ac:dyDescent="0.3">
      <c r="I17" s="9" t="s">
        <v>40</v>
      </c>
      <c r="J17" s="23">
        <v>350850</v>
      </c>
    </row>
    <row r="20" spans="1:10" x14ac:dyDescent="0.3">
      <c r="I20" s="26" t="s">
        <v>123</v>
      </c>
    </row>
    <row r="21" spans="1:10" x14ac:dyDescent="0.3">
      <c r="I21" s="8" t="s">
        <v>39</v>
      </c>
      <c r="J21" t="s">
        <v>103</v>
      </c>
    </row>
    <row r="22" spans="1:10" x14ac:dyDescent="0.3">
      <c r="I22" s="34" t="s">
        <v>23</v>
      </c>
      <c r="J22" s="30">
        <v>25000</v>
      </c>
    </row>
    <row r="23" spans="1:10" x14ac:dyDescent="0.3">
      <c r="I23" s="9" t="s">
        <v>11</v>
      </c>
      <c r="J23" s="23">
        <v>221300</v>
      </c>
    </row>
    <row r="24" spans="1:10" x14ac:dyDescent="0.3">
      <c r="I24" s="9" t="s">
        <v>20</v>
      </c>
      <c r="J24" s="23">
        <v>41650</v>
      </c>
    </row>
    <row r="25" spans="1:10" x14ac:dyDescent="0.3">
      <c r="I25" s="35" t="s">
        <v>17</v>
      </c>
      <c r="J25" s="28">
        <v>62900</v>
      </c>
    </row>
    <row r="26" spans="1:10" x14ac:dyDescent="0.3">
      <c r="A26" s="31" t="s">
        <v>106</v>
      </c>
      <c r="C26" t="s">
        <v>135</v>
      </c>
      <c r="I26" s="9" t="s">
        <v>40</v>
      </c>
      <c r="J26" s="23">
        <v>350850</v>
      </c>
    </row>
    <row r="27" spans="1:10" x14ac:dyDescent="0.3">
      <c r="A27" s="8" t="s">
        <v>39</v>
      </c>
      <c r="B27" t="s">
        <v>58</v>
      </c>
      <c r="C27">
        <f>COUNTA(A28:A37)</f>
        <v>10</v>
      </c>
    </row>
    <row r="28" spans="1:10" x14ac:dyDescent="0.3">
      <c r="A28" s="9" t="s">
        <v>24</v>
      </c>
      <c r="B28" s="40">
        <v>18</v>
      </c>
    </row>
    <row r="29" spans="1:10" x14ac:dyDescent="0.3">
      <c r="A29" s="9" t="s">
        <v>12</v>
      </c>
      <c r="B29" s="40">
        <v>41</v>
      </c>
      <c r="I29" s="26" t="s">
        <v>124</v>
      </c>
    </row>
    <row r="30" spans="1:10" x14ac:dyDescent="0.3">
      <c r="A30" s="9" t="s">
        <v>15</v>
      </c>
      <c r="B30" s="40">
        <v>29</v>
      </c>
      <c r="I30" s="8" t="s">
        <v>39</v>
      </c>
      <c r="J30" t="s">
        <v>103</v>
      </c>
    </row>
    <row r="31" spans="1:10" x14ac:dyDescent="0.3">
      <c r="A31" s="9" t="s">
        <v>10</v>
      </c>
      <c r="B31" s="40">
        <v>82</v>
      </c>
      <c r="I31" s="9" t="s">
        <v>83</v>
      </c>
      <c r="J31" s="23">
        <v>350850</v>
      </c>
    </row>
    <row r="32" spans="1:10" x14ac:dyDescent="0.3">
      <c r="A32" s="9" t="s">
        <v>14</v>
      </c>
      <c r="B32" s="40">
        <v>43</v>
      </c>
      <c r="I32" s="42" t="s">
        <v>9</v>
      </c>
      <c r="J32" s="43">
        <v>323500</v>
      </c>
    </row>
    <row r="33" spans="1:10" x14ac:dyDescent="0.3">
      <c r="A33" s="9" t="s">
        <v>19</v>
      </c>
      <c r="B33" s="40">
        <v>21</v>
      </c>
      <c r="I33" s="12" t="s">
        <v>13</v>
      </c>
      <c r="J33" s="23">
        <v>27350</v>
      </c>
    </row>
    <row r="34" spans="1:10" x14ac:dyDescent="0.3">
      <c r="A34" s="9" t="s">
        <v>21</v>
      </c>
      <c r="B34" s="40">
        <v>19</v>
      </c>
      <c r="I34" s="9" t="s">
        <v>40</v>
      </c>
      <c r="J34" s="23">
        <v>350850</v>
      </c>
    </row>
    <row r="35" spans="1:10" x14ac:dyDescent="0.3">
      <c r="A35" s="9" t="s">
        <v>16</v>
      </c>
      <c r="B35" s="40">
        <v>23</v>
      </c>
    </row>
    <row r="36" spans="1:10" x14ac:dyDescent="0.3">
      <c r="A36" s="9" t="s">
        <v>18</v>
      </c>
      <c r="B36" s="40">
        <v>68</v>
      </c>
    </row>
    <row r="37" spans="1:10" x14ac:dyDescent="0.3">
      <c r="A37" s="9" t="s">
        <v>22</v>
      </c>
      <c r="B37" s="40">
        <v>21</v>
      </c>
    </row>
    <row r="38" spans="1:10" x14ac:dyDescent="0.3">
      <c r="A38" s="9" t="s">
        <v>40</v>
      </c>
      <c r="B38" s="40">
        <v>365</v>
      </c>
    </row>
    <row r="43" spans="1:10" x14ac:dyDescent="0.3">
      <c r="I43" s="26" t="s">
        <v>125</v>
      </c>
    </row>
    <row r="44" spans="1:10" x14ac:dyDescent="0.3">
      <c r="I44" s="8" t="s">
        <v>39</v>
      </c>
      <c r="J44" t="s">
        <v>118</v>
      </c>
    </row>
    <row r="45" spans="1:10" x14ac:dyDescent="0.3">
      <c r="A45" s="31" t="s">
        <v>107</v>
      </c>
      <c r="I45" s="9" t="s">
        <v>83</v>
      </c>
      <c r="J45" s="23">
        <v>350850</v>
      </c>
    </row>
    <row r="46" spans="1:10" x14ac:dyDescent="0.3">
      <c r="A46" s="8" t="s">
        <v>39</v>
      </c>
      <c r="B46" t="s">
        <v>84</v>
      </c>
      <c r="I46" s="46" t="s">
        <v>66</v>
      </c>
      <c r="J46" s="47">
        <v>34200</v>
      </c>
    </row>
    <row r="47" spans="1:10" x14ac:dyDescent="0.3">
      <c r="A47" s="9" t="s">
        <v>24</v>
      </c>
      <c r="B47" s="41">
        <v>1.0555555555555556</v>
      </c>
      <c r="I47" s="12" t="s">
        <v>67</v>
      </c>
      <c r="J47" s="23">
        <v>28100</v>
      </c>
    </row>
    <row r="48" spans="1:10" x14ac:dyDescent="0.3">
      <c r="A48" s="9" t="s">
        <v>12</v>
      </c>
      <c r="B48" s="41">
        <v>1.1707317073170731</v>
      </c>
      <c r="I48" s="12" t="s">
        <v>68</v>
      </c>
      <c r="J48" s="23">
        <v>31750</v>
      </c>
    </row>
    <row r="49" spans="1:10" x14ac:dyDescent="0.3">
      <c r="A49" s="9" t="s">
        <v>15</v>
      </c>
      <c r="B49" s="41">
        <v>1</v>
      </c>
      <c r="I49" s="12" t="s">
        <v>69</v>
      </c>
      <c r="J49" s="23">
        <v>25150</v>
      </c>
    </row>
    <row r="50" spans="1:10" x14ac:dyDescent="0.3">
      <c r="A50" s="9" t="s">
        <v>10</v>
      </c>
      <c r="B50" s="41">
        <v>1.1829268292682926</v>
      </c>
      <c r="I50" s="12" t="s">
        <v>70</v>
      </c>
      <c r="J50" s="23">
        <v>30050</v>
      </c>
    </row>
    <row r="51" spans="1:10" x14ac:dyDescent="0.3">
      <c r="A51" s="9" t="s">
        <v>14</v>
      </c>
      <c r="B51" s="41">
        <v>1.0930232558139534</v>
      </c>
      <c r="I51" s="12" t="s">
        <v>71</v>
      </c>
      <c r="J51" s="23">
        <v>30800</v>
      </c>
    </row>
    <row r="52" spans="1:10" x14ac:dyDescent="0.3">
      <c r="A52" s="9" t="s">
        <v>19</v>
      </c>
      <c r="B52" s="41">
        <v>1</v>
      </c>
      <c r="I52" s="12" t="s">
        <v>72</v>
      </c>
      <c r="J52" s="23">
        <v>27150</v>
      </c>
    </row>
    <row r="53" spans="1:10" x14ac:dyDescent="0.3">
      <c r="A53" s="9" t="s">
        <v>21</v>
      </c>
      <c r="B53" s="41">
        <v>1.0526315789473684</v>
      </c>
      <c r="I53" s="29" t="s">
        <v>73</v>
      </c>
      <c r="J53" s="30">
        <v>24150</v>
      </c>
    </row>
    <row r="54" spans="1:10" x14ac:dyDescent="0.3">
      <c r="A54" s="9" t="s">
        <v>16</v>
      </c>
      <c r="B54" s="41">
        <v>1.1304347826086956</v>
      </c>
      <c r="I54" s="12" t="s">
        <v>74</v>
      </c>
      <c r="J54" s="23">
        <v>27050</v>
      </c>
    </row>
    <row r="55" spans="1:10" x14ac:dyDescent="0.3">
      <c r="A55" s="9" t="s">
        <v>18</v>
      </c>
      <c r="B55" s="41">
        <v>1.0294117647058822</v>
      </c>
      <c r="I55" s="12" t="s">
        <v>75</v>
      </c>
      <c r="J55" s="23">
        <v>30250</v>
      </c>
    </row>
    <row r="56" spans="1:10" x14ac:dyDescent="0.3">
      <c r="A56" s="9" t="s">
        <v>22</v>
      </c>
      <c r="B56" s="41">
        <v>1</v>
      </c>
      <c r="I56" s="12" t="s">
        <v>76</v>
      </c>
      <c r="J56" s="23">
        <v>29150</v>
      </c>
    </row>
    <row r="57" spans="1:10" x14ac:dyDescent="0.3">
      <c r="A57" s="9" t="s">
        <v>40</v>
      </c>
      <c r="B57" s="41">
        <v>1.0904109589041096</v>
      </c>
      <c r="I57" s="12" t="s">
        <v>77</v>
      </c>
      <c r="J57" s="23">
        <v>33050</v>
      </c>
    </row>
    <row r="58" spans="1:10" x14ac:dyDescent="0.3">
      <c r="I58" s="9" t="s">
        <v>40</v>
      </c>
      <c r="J58" s="23">
        <v>350850</v>
      </c>
    </row>
    <row r="60" spans="1:10" x14ac:dyDescent="0.3">
      <c r="A60" s="31" t="s">
        <v>108</v>
      </c>
    </row>
    <row r="61" spans="1:10" x14ac:dyDescent="0.3">
      <c r="A61" t="s">
        <v>45</v>
      </c>
    </row>
    <row r="62" spans="1:10" x14ac:dyDescent="0.3">
      <c r="A62" s="36">
        <v>365</v>
      </c>
    </row>
    <row r="65" spans="1:10" x14ac:dyDescent="0.3">
      <c r="A65" s="26" t="s">
        <v>91</v>
      </c>
      <c r="I65" s="26" t="s">
        <v>126</v>
      </c>
    </row>
    <row r="66" spans="1:10" x14ac:dyDescent="0.3">
      <c r="A66" s="8" t="s">
        <v>39</v>
      </c>
      <c r="B66" t="s">
        <v>103</v>
      </c>
      <c r="I66" s="8" t="s">
        <v>39</v>
      </c>
      <c r="J66" t="s">
        <v>118</v>
      </c>
    </row>
    <row r="67" spans="1:10" x14ac:dyDescent="0.3">
      <c r="A67" s="9" t="s">
        <v>83</v>
      </c>
      <c r="B67" s="23">
        <v>350850</v>
      </c>
      <c r="I67" s="9" t="s">
        <v>12</v>
      </c>
      <c r="J67" s="23">
        <v>43300</v>
      </c>
    </row>
    <row r="68" spans="1:10" x14ac:dyDescent="0.3">
      <c r="A68" s="42" t="s">
        <v>9</v>
      </c>
      <c r="B68" s="43">
        <v>323500</v>
      </c>
      <c r="I68" s="9" t="s">
        <v>15</v>
      </c>
      <c r="J68" s="23">
        <v>29000</v>
      </c>
    </row>
    <row r="69" spans="1:10" x14ac:dyDescent="0.3">
      <c r="A69" s="12" t="s">
        <v>13</v>
      </c>
      <c r="B69" s="23">
        <v>27350</v>
      </c>
      <c r="I69" s="44" t="s">
        <v>10</v>
      </c>
      <c r="J69" s="45">
        <v>106700</v>
      </c>
    </row>
    <row r="70" spans="1:10" x14ac:dyDescent="0.3">
      <c r="A70" s="9" t="s">
        <v>40</v>
      </c>
      <c r="B70" s="23">
        <v>350850</v>
      </c>
      <c r="I70" s="9" t="s">
        <v>14</v>
      </c>
      <c r="J70" s="23">
        <v>42300</v>
      </c>
    </row>
    <row r="71" spans="1:10" x14ac:dyDescent="0.3">
      <c r="I71" s="9" t="s">
        <v>18</v>
      </c>
      <c r="J71" s="23">
        <v>42100</v>
      </c>
    </row>
    <row r="72" spans="1:10" x14ac:dyDescent="0.3">
      <c r="I72" s="9" t="s">
        <v>40</v>
      </c>
      <c r="J72" s="23">
        <v>263400</v>
      </c>
    </row>
    <row r="75" spans="1:10" x14ac:dyDescent="0.3">
      <c r="I75" s="26" t="s">
        <v>127</v>
      </c>
    </row>
    <row r="76" spans="1:10" x14ac:dyDescent="0.3">
      <c r="I76" s="8" t="s">
        <v>39</v>
      </c>
      <c r="J76" t="s">
        <v>128</v>
      </c>
    </row>
    <row r="77" spans="1:10" x14ac:dyDescent="0.3">
      <c r="I77" s="9" t="s">
        <v>23</v>
      </c>
      <c r="J77" s="23">
        <v>641.02564102564099</v>
      </c>
    </row>
    <row r="78" spans="1:10" x14ac:dyDescent="0.3">
      <c r="I78" s="29" t="s">
        <v>24</v>
      </c>
      <c r="J78" s="30">
        <v>633.33333333333337</v>
      </c>
    </row>
    <row r="79" spans="1:10" x14ac:dyDescent="0.3">
      <c r="A79" s="26" t="s">
        <v>109</v>
      </c>
      <c r="I79" s="27" t="s">
        <v>22</v>
      </c>
      <c r="J79" s="28">
        <v>647.61904761904759</v>
      </c>
    </row>
    <row r="80" spans="1:10" x14ac:dyDescent="0.3">
      <c r="A80" s="8" t="s">
        <v>39</v>
      </c>
      <c r="B80" t="s">
        <v>103</v>
      </c>
      <c r="I80" s="35" t="s">
        <v>11</v>
      </c>
      <c r="J80" s="28">
        <v>1134.8717948717949</v>
      </c>
    </row>
    <row r="81" spans="1:13" x14ac:dyDescent="0.3">
      <c r="A81" s="34" t="s">
        <v>23</v>
      </c>
      <c r="B81" s="30">
        <v>25000</v>
      </c>
      <c r="I81" s="12" t="s">
        <v>12</v>
      </c>
      <c r="J81" s="23">
        <v>1056.0975609756097</v>
      </c>
    </row>
    <row r="82" spans="1:13" x14ac:dyDescent="0.3">
      <c r="A82" s="9" t="s">
        <v>11</v>
      </c>
      <c r="B82" s="23">
        <v>221300</v>
      </c>
      <c r="I82" s="12" t="s">
        <v>15</v>
      </c>
      <c r="J82" s="23">
        <v>1000</v>
      </c>
    </row>
    <row r="83" spans="1:13" x14ac:dyDescent="0.3">
      <c r="A83" s="9" t="s">
        <v>20</v>
      </c>
      <c r="B83" s="23">
        <v>41650</v>
      </c>
      <c r="I83" s="27" t="s">
        <v>10</v>
      </c>
      <c r="J83" s="28">
        <v>1301.219512195122</v>
      </c>
    </row>
    <row r="84" spans="1:13" x14ac:dyDescent="0.3">
      <c r="A84" s="35" t="s">
        <v>17</v>
      </c>
      <c r="B84" s="28">
        <v>62900</v>
      </c>
      <c r="I84" s="29" t="s">
        <v>14</v>
      </c>
      <c r="J84" s="30">
        <v>983.72093023255809</v>
      </c>
    </row>
    <row r="85" spans="1:13" x14ac:dyDescent="0.3">
      <c r="A85" s="9" t="s">
        <v>40</v>
      </c>
      <c r="B85" s="23">
        <v>350850</v>
      </c>
      <c r="I85" s="9" t="s">
        <v>20</v>
      </c>
      <c r="J85" s="23">
        <v>1041.25</v>
      </c>
    </row>
    <row r="86" spans="1:13" x14ac:dyDescent="0.3">
      <c r="I86" s="29" t="s">
        <v>19</v>
      </c>
      <c r="J86" s="30">
        <v>850</v>
      </c>
    </row>
    <row r="87" spans="1:13" x14ac:dyDescent="0.3">
      <c r="I87" s="27" t="s">
        <v>21</v>
      </c>
      <c r="J87" s="28">
        <v>1252.6315789473683</v>
      </c>
    </row>
    <row r="88" spans="1:13" x14ac:dyDescent="0.3">
      <c r="A88" s="26" t="s">
        <v>117</v>
      </c>
      <c r="I88" s="34" t="s">
        <v>17</v>
      </c>
      <c r="J88" s="30">
        <v>691.20879120879124</v>
      </c>
    </row>
    <row r="89" spans="1:13" x14ac:dyDescent="0.3">
      <c r="A89" s="8" t="s">
        <v>39</v>
      </c>
      <c r="B89" t="s">
        <v>100</v>
      </c>
      <c r="C89" t="s">
        <v>118</v>
      </c>
      <c r="I89" s="27" t="s">
        <v>16</v>
      </c>
      <c r="J89" s="28">
        <v>904.3478260869565</v>
      </c>
    </row>
    <row r="90" spans="1:13" x14ac:dyDescent="0.3">
      <c r="A90" s="34" t="s">
        <v>24</v>
      </c>
      <c r="B90" s="37">
        <v>3.2492518170158184E-2</v>
      </c>
      <c r="C90" s="30">
        <v>11400</v>
      </c>
      <c r="I90" s="29" t="s">
        <v>18</v>
      </c>
      <c r="J90" s="30">
        <v>619.11764705882354</v>
      </c>
    </row>
    <row r="91" spans="1:13" x14ac:dyDescent="0.3">
      <c r="A91" s="9" t="s">
        <v>12</v>
      </c>
      <c r="B91" s="11">
        <v>0.12341456462875873</v>
      </c>
      <c r="C91" s="23">
        <v>43300</v>
      </c>
      <c r="I91" s="9" t="s">
        <v>40</v>
      </c>
      <c r="J91" s="23">
        <v>961.23287671232879</v>
      </c>
    </row>
    <row r="92" spans="1:13" x14ac:dyDescent="0.3">
      <c r="A92" s="9" t="s">
        <v>15</v>
      </c>
      <c r="B92" s="11">
        <v>8.2656405871455035E-2</v>
      </c>
      <c r="C92" s="23">
        <v>29000</v>
      </c>
    </row>
    <row r="93" spans="1:13" x14ac:dyDescent="0.3">
      <c r="A93" s="35" t="s">
        <v>10</v>
      </c>
      <c r="B93" s="38">
        <v>0.30411856918911218</v>
      </c>
      <c r="C93" s="28">
        <v>106700</v>
      </c>
    </row>
    <row r="94" spans="1:13" x14ac:dyDescent="0.3">
      <c r="A94" s="9" t="s">
        <v>14</v>
      </c>
      <c r="B94" s="11">
        <v>0.12056434373663959</v>
      </c>
      <c r="C94" s="23">
        <v>42300</v>
      </c>
      <c r="I94" s="26" t="s">
        <v>129</v>
      </c>
    </row>
    <row r="95" spans="1:13" x14ac:dyDescent="0.3">
      <c r="A95" s="9" t="s">
        <v>19</v>
      </c>
      <c r="B95" s="11">
        <v>5.0876442924326637E-2</v>
      </c>
      <c r="C95" s="23">
        <v>17850</v>
      </c>
      <c r="I95" s="8" t="s">
        <v>39</v>
      </c>
      <c r="J95" t="s">
        <v>118</v>
      </c>
    </row>
    <row r="96" spans="1:13" x14ac:dyDescent="0.3">
      <c r="A96" s="9" t="s">
        <v>21</v>
      </c>
      <c r="B96" s="11">
        <v>6.7835257232435511E-2</v>
      </c>
      <c r="C96" s="23">
        <v>23800</v>
      </c>
      <c r="I96" s="9" t="s">
        <v>66</v>
      </c>
      <c r="J96" s="23">
        <v>34200</v>
      </c>
      <c r="L96" s="8" t="s">
        <v>39</v>
      </c>
      <c r="M96" t="s">
        <v>103</v>
      </c>
    </row>
    <row r="97" spans="1:13" x14ac:dyDescent="0.3">
      <c r="A97" s="9" t="s">
        <v>16</v>
      </c>
      <c r="B97" s="11">
        <v>5.9284594556078096E-2</v>
      </c>
      <c r="C97" s="23">
        <v>20800</v>
      </c>
      <c r="I97" s="12" t="s">
        <v>115</v>
      </c>
      <c r="J97" s="23">
        <v>4700</v>
      </c>
      <c r="L97" s="9" t="s">
        <v>83</v>
      </c>
      <c r="M97" s="23">
        <v>350850</v>
      </c>
    </row>
    <row r="98" spans="1:13" x14ac:dyDescent="0.3">
      <c r="A98" s="9" t="s">
        <v>18</v>
      </c>
      <c r="B98" s="11">
        <v>0.11999429955821576</v>
      </c>
      <c r="C98" s="23">
        <v>42100</v>
      </c>
      <c r="I98" s="12" t="s">
        <v>116</v>
      </c>
      <c r="J98" s="23">
        <v>5100</v>
      </c>
      <c r="L98" s="12" t="s">
        <v>115</v>
      </c>
      <c r="M98" s="23">
        <v>48700</v>
      </c>
    </row>
    <row r="99" spans="1:13" x14ac:dyDescent="0.3">
      <c r="A99" s="9" t="s">
        <v>22</v>
      </c>
      <c r="B99" s="11">
        <v>3.8763004132820293E-2</v>
      </c>
      <c r="C99" s="23">
        <v>13600</v>
      </c>
      <c r="I99" s="12" t="s">
        <v>110</v>
      </c>
      <c r="J99" s="23">
        <v>5100</v>
      </c>
      <c r="L99" s="12" t="s">
        <v>116</v>
      </c>
      <c r="M99" s="23">
        <v>52000</v>
      </c>
    </row>
    <row r="100" spans="1:13" x14ac:dyDescent="0.3">
      <c r="A100" s="9" t="s">
        <v>40</v>
      </c>
      <c r="B100" s="11">
        <v>1</v>
      </c>
      <c r="C100" s="23">
        <v>350850</v>
      </c>
      <c r="I100" s="27" t="s">
        <v>111</v>
      </c>
      <c r="J100" s="28">
        <v>5300</v>
      </c>
      <c r="L100" s="12" t="s">
        <v>110</v>
      </c>
      <c r="M100" s="23">
        <v>51900</v>
      </c>
    </row>
    <row r="101" spans="1:13" x14ac:dyDescent="0.3">
      <c r="I101" s="49" t="s">
        <v>112</v>
      </c>
      <c r="J101" s="45">
        <v>4900</v>
      </c>
      <c r="L101" s="12" t="s">
        <v>111</v>
      </c>
      <c r="M101" s="23">
        <v>50750</v>
      </c>
    </row>
    <row r="102" spans="1:13" x14ac:dyDescent="0.3">
      <c r="I102" s="12" t="s">
        <v>113</v>
      </c>
      <c r="J102" s="23">
        <v>5100</v>
      </c>
      <c r="L102" s="12" t="s">
        <v>112</v>
      </c>
      <c r="M102" s="23">
        <v>49000</v>
      </c>
    </row>
    <row r="103" spans="1:13" x14ac:dyDescent="0.3">
      <c r="A103" s="26" t="s">
        <v>119</v>
      </c>
      <c r="I103" s="29" t="s">
        <v>114</v>
      </c>
      <c r="J103" s="30">
        <v>4000</v>
      </c>
      <c r="L103" s="12" t="s">
        <v>113</v>
      </c>
      <c r="M103" s="23">
        <v>50300</v>
      </c>
    </row>
    <row r="104" spans="1:13" x14ac:dyDescent="0.3">
      <c r="A104" s="8" t="s">
        <v>39</v>
      </c>
      <c r="B104" t="s">
        <v>118</v>
      </c>
      <c r="I104" s="9" t="s">
        <v>67</v>
      </c>
      <c r="J104" s="23">
        <v>28100</v>
      </c>
      <c r="L104" s="12" t="s">
        <v>114</v>
      </c>
      <c r="M104" s="23">
        <v>48200</v>
      </c>
    </row>
    <row r="105" spans="1:13" x14ac:dyDescent="0.3">
      <c r="A105" s="9" t="s">
        <v>12</v>
      </c>
      <c r="B105" s="23">
        <v>43300</v>
      </c>
      <c r="I105" s="9" t="s">
        <v>68</v>
      </c>
      <c r="J105" s="23">
        <v>31750</v>
      </c>
      <c r="L105" s="9" t="s">
        <v>40</v>
      </c>
      <c r="M105" s="23">
        <v>350850</v>
      </c>
    </row>
    <row r="106" spans="1:13" x14ac:dyDescent="0.3">
      <c r="A106" s="9" t="s">
        <v>15</v>
      </c>
      <c r="B106" s="23">
        <v>29000</v>
      </c>
      <c r="I106" s="27" t="s">
        <v>115</v>
      </c>
      <c r="J106" s="28">
        <v>7950</v>
      </c>
    </row>
    <row r="107" spans="1:13" x14ac:dyDescent="0.3">
      <c r="A107" s="44" t="s">
        <v>10</v>
      </c>
      <c r="B107" s="45">
        <v>106700</v>
      </c>
      <c r="I107" s="12" t="s">
        <v>116</v>
      </c>
      <c r="J107" s="23">
        <v>4500</v>
      </c>
    </row>
    <row r="108" spans="1:13" x14ac:dyDescent="0.3">
      <c r="A108" s="9" t="s">
        <v>14</v>
      </c>
      <c r="B108" s="23">
        <v>42300</v>
      </c>
      <c r="I108" s="12" t="s">
        <v>110</v>
      </c>
      <c r="J108" s="23">
        <v>3500</v>
      </c>
    </row>
    <row r="109" spans="1:13" x14ac:dyDescent="0.3">
      <c r="A109" s="9" t="s">
        <v>18</v>
      </c>
      <c r="B109" s="23">
        <v>42100</v>
      </c>
      <c r="I109" s="49" t="s">
        <v>111</v>
      </c>
      <c r="J109" s="45">
        <v>2700</v>
      </c>
    </row>
    <row r="110" spans="1:13" x14ac:dyDescent="0.3">
      <c r="A110" s="9" t="s">
        <v>40</v>
      </c>
      <c r="B110" s="23">
        <v>263400</v>
      </c>
      <c r="I110" s="29" t="s">
        <v>112</v>
      </c>
      <c r="J110" s="30">
        <v>3400</v>
      </c>
    </row>
    <row r="111" spans="1:13" x14ac:dyDescent="0.3">
      <c r="I111" s="12" t="s">
        <v>113</v>
      </c>
      <c r="J111" s="23">
        <v>4100</v>
      </c>
    </row>
    <row r="112" spans="1:13" x14ac:dyDescent="0.3">
      <c r="I112" s="12" t="s">
        <v>114</v>
      </c>
      <c r="J112" s="23">
        <v>5600</v>
      </c>
    </row>
    <row r="113" spans="1:10" x14ac:dyDescent="0.3">
      <c r="A113" s="26" t="s">
        <v>101</v>
      </c>
      <c r="I113" s="9" t="s">
        <v>69</v>
      </c>
      <c r="J113" s="23">
        <v>25150</v>
      </c>
    </row>
    <row r="114" spans="1:10" x14ac:dyDescent="0.3">
      <c r="A114" s="8" t="s">
        <v>39</v>
      </c>
      <c r="B114" t="s">
        <v>118</v>
      </c>
      <c r="I114" s="29" t="s">
        <v>115</v>
      </c>
      <c r="J114" s="30">
        <v>2650</v>
      </c>
    </row>
    <row r="115" spans="1:10" x14ac:dyDescent="0.3">
      <c r="A115" s="9" t="s">
        <v>83</v>
      </c>
      <c r="B115" s="23">
        <v>350850</v>
      </c>
      <c r="I115" s="12" t="s">
        <v>116</v>
      </c>
      <c r="J115" s="23">
        <v>3750</v>
      </c>
    </row>
    <row r="116" spans="1:10" x14ac:dyDescent="0.3">
      <c r="A116" s="46" t="s">
        <v>66</v>
      </c>
      <c r="B116" s="47">
        <v>34200</v>
      </c>
      <c r="I116" s="12" t="s">
        <v>110</v>
      </c>
      <c r="J116" s="23">
        <v>4900</v>
      </c>
    </row>
    <row r="117" spans="1:10" x14ac:dyDescent="0.3">
      <c r="A117" s="12" t="s">
        <v>67</v>
      </c>
      <c r="B117" s="23">
        <v>28100</v>
      </c>
      <c r="I117" s="49" t="s">
        <v>111</v>
      </c>
      <c r="J117" s="45">
        <v>3600</v>
      </c>
    </row>
    <row r="118" spans="1:10" x14ac:dyDescent="0.3">
      <c r="A118" s="12" t="s">
        <v>68</v>
      </c>
      <c r="B118" s="23">
        <v>31750</v>
      </c>
      <c r="I118" s="27" t="s">
        <v>112</v>
      </c>
      <c r="J118" s="28">
        <v>3400</v>
      </c>
    </row>
    <row r="119" spans="1:10" x14ac:dyDescent="0.3">
      <c r="A119" s="12" t="s">
        <v>69</v>
      </c>
      <c r="B119" s="23">
        <v>25150</v>
      </c>
      <c r="I119" s="12" t="s">
        <v>113</v>
      </c>
      <c r="J119" s="23">
        <v>3350</v>
      </c>
    </row>
    <row r="120" spans="1:10" x14ac:dyDescent="0.3">
      <c r="A120" s="12" t="s">
        <v>70</v>
      </c>
      <c r="B120" s="23">
        <v>30050</v>
      </c>
      <c r="I120" s="12" t="s">
        <v>114</v>
      </c>
      <c r="J120" s="23">
        <v>3500</v>
      </c>
    </row>
    <row r="121" spans="1:10" x14ac:dyDescent="0.3">
      <c r="A121" s="12" t="s">
        <v>71</v>
      </c>
      <c r="B121" s="23">
        <v>30800</v>
      </c>
      <c r="I121" s="9" t="s">
        <v>70</v>
      </c>
      <c r="J121" s="23">
        <v>30050</v>
      </c>
    </row>
    <row r="122" spans="1:10" x14ac:dyDescent="0.3">
      <c r="A122" s="12" t="s">
        <v>72</v>
      </c>
      <c r="B122" s="23">
        <v>27150</v>
      </c>
      <c r="I122" s="12" t="s">
        <v>115</v>
      </c>
      <c r="J122" s="23">
        <v>4100</v>
      </c>
    </row>
    <row r="123" spans="1:10" x14ac:dyDescent="0.3">
      <c r="A123" s="29" t="s">
        <v>73</v>
      </c>
      <c r="B123" s="30">
        <v>24150</v>
      </c>
      <c r="I123" s="29" t="s">
        <v>116</v>
      </c>
      <c r="J123" s="30">
        <v>3200</v>
      </c>
    </row>
    <row r="124" spans="1:10" x14ac:dyDescent="0.3">
      <c r="A124" s="12" t="s">
        <v>74</v>
      </c>
      <c r="B124" s="23">
        <v>27050</v>
      </c>
      <c r="I124" s="12" t="s">
        <v>110</v>
      </c>
      <c r="J124" s="23">
        <v>4150</v>
      </c>
    </row>
    <row r="125" spans="1:10" x14ac:dyDescent="0.3">
      <c r="A125" s="12" t="s">
        <v>75</v>
      </c>
      <c r="B125" s="23">
        <v>30250</v>
      </c>
      <c r="I125" s="49" t="s">
        <v>111</v>
      </c>
      <c r="J125" s="45">
        <v>5100</v>
      </c>
    </row>
    <row r="126" spans="1:10" x14ac:dyDescent="0.3">
      <c r="A126" s="12" t="s">
        <v>76</v>
      </c>
      <c r="B126" s="23">
        <v>29150</v>
      </c>
      <c r="I126" s="49" t="s">
        <v>112</v>
      </c>
      <c r="J126" s="45">
        <v>5750</v>
      </c>
    </row>
    <row r="127" spans="1:10" x14ac:dyDescent="0.3">
      <c r="A127" s="12" t="s">
        <v>77</v>
      </c>
      <c r="B127" s="23">
        <v>33050</v>
      </c>
      <c r="I127" s="12" t="s">
        <v>113</v>
      </c>
      <c r="J127" s="23">
        <v>4650</v>
      </c>
    </row>
    <row r="128" spans="1:10" x14ac:dyDescent="0.3">
      <c r="A128" s="9" t="s">
        <v>40</v>
      </c>
      <c r="B128" s="23">
        <v>350850</v>
      </c>
      <c r="I128" s="27" t="s">
        <v>114</v>
      </c>
      <c r="J128" s="28">
        <v>3100</v>
      </c>
    </row>
    <row r="129" spans="9:10" x14ac:dyDescent="0.3">
      <c r="I129" s="9" t="s">
        <v>71</v>
      </c>
      <c r="J129" s="23">
        <v>30800</v>
      </c>
    </row>
    <row r="130" spans="9:10" x14ac:dyDescent="0.3">
      <c r="I130" s="12" t="s">
        <v>115</v>
      </c>
      <c r="J130" s="23">
        <v>5900</v>
      </c>
    </row>
    <row r="131" spans="9:10" x14ac:dyDescent="0.3">
      <c r="I131" s="12" t="s">
        <v>116</v>
      </c>
      <c r="J131" s="23">
        <v>3600</v>
      </c>
    </row>
    <row r="132" spans="9:10" x14ac:dyDescent="0.3">
      <c r="I132" s="27" t="s">
        <v>110</v>
      </c>
      <c r="J132" s="28">
        <v>3400</v>
      </c>
    </row>
    <row r="133" spans="9:10" x14ac:dyDescent="0.3">
      <c r="I133" s="49" t="s">
        <v>111</v>
      </c>
      <c r="J133" s="45">
        <v>4300</v>
      </c>
    </row>
    <row r="134" spans="9:10" x14ac:dyDescent="0.3">
      <c r="I134" s="29" t="s">
        <v>112</v>
      </c>
      <c r="J134" s="30">
        <v>3400</v>
      </c>
    </row>
    <row r="135" spans="9:10" x14ac:dyDescent="0.3">
      <c r="I135" s="12" t="s">
        <v>113</v>
      </c>
      <c r="J135" s="23">
        <v>3500</v>
      </c>
    </row>
    <row r="136" spans="9:10" x14ac:dyDescent="0.3">
      <c r="I136" s="12" t="s">
        <v>114</v>
      </c>
      <c r="J136" s="23">
        <v>6700</v>
      </c>
    </row>
    <row r="137" spans="9:10" x14ac:dyDescent="0.3">
      <c r="I137" s="9" t="s">
        <v>72</v>
      </c>
      <c r="J137" s="23">
        <v>27150</v>
      </c>
    </row>
    <row r="138" spans="9:10" x14ac:dyDescent="0.3">
      <c r="I138" s="29" t="s">
        <v>115</v>
      </c>
      <c r="J138" s="30">
        <v>2600</v>
      </c>
    </row>
    <row r="139" spans="9:10" x14ac:dyDescent="0.3">
      <c r="I139" s="12" t="s">
        <v>116</v>
      </c>
      <c r="J139" s="23">
        <v>4700</v>
      </c>
    </row>
    <row r="140" spans="9:10" x14ac:dyDescent="0.3">
      <c r="I140" s="12" t="s">
        <v>110</v>
      </c>
      <c r="J140" s="23">
        <v>3800</v>
      </c>
    </row>
    <row r="141" spans="9:10" x14ac:dyDescent="0.3">
      <c r="I141" s="49" t="s">
        <v>111</v>
      </c>
      <c r="J141" s="45">
        <v>5200</v>
      </c>
    </row>
    <row r="142" spans="9:10" x14ac:dyDescent="0.3">
      <c r="I142" s="49" t="s">
        <v>112</v>
      </c>
      <c r="J142" s="45">
        <v>3900</v>
      </c>
    </row>
    <row r="143" spans="9:10" x14ac:dyDescent="0.3">
      <c r="I143" s="27" t="s">
        <v>113</v>
      </c>
      <c r="J143" s="28">
        <v>3800</v>
      </c>
    </row>
    <row r="144" spans="9:10" x14ac:dyDescent="0.3">
      <c r="I144" s="12" t="s">
        <v>114</v>
      </c>
      <c r="J144" s="23">
        <v>3150</v>
      </c>
    </row>
    <row r="145" spans="1:10" x14ac:dyDescent="0.3">
      <c r="I145" s="9" t="s">
        <v>73</v>
      </c>
      <c r="J145" s="23">
        <v>24150</v>
      </c>
    </row>
    <row r="146" spans="1:10" x14ac:dyDescent="0.3">
      <c r="I146" s="12" t="s">
        <v>115</v>
      </c>
      <c r="J146" s="23">
        <v>2850</v>
      </c>
    </row>
    <row r="147" spans="1:10" x14ac:dyDescent="0.3">
      <c r="I147" s="27" t="s">
        <v>116</v>
      </c>
      <c r="J147" s="28">
        <v>3400</v>
      </c>
    </row>
    <row r="148" spans="1:10" x14ac:dyDescent="0.3">
      <c r="I148" s="12" t="s">
        <v>110</v>
      </c>
      <c r="J148" s="23">
        <v>3450</v>
      </c>
    </row>
    <row r="149" spans="1:10" x14ac:dyDescent="0.3">
      <c r="I149" s="49" t="s">
        <v>111</v>
      </c>
      <c r="J149" s="45">
        <v>3400</v>
      </c>
    </row>
    <row r="150" spans="1:10" x14ac:dyDescent="0.3">
      <c r="I150" s="29" t="s">
        <v>112</v>
      </c>
      <c r="J150" s="30">
        <v>3450</v>
      </c>
    </row>
    <row r="151" spans="1:10" x14ac:dyDescent="0.3">
      <c r="I151" s="12" t="s">
        <v>113</v>
      </c>
      <c r="J151" s="23">
        <v>3400</v>
      </c>
    </row>
    <row r="152" spans="1:10" x14ac:dyDescent="0.3">
      <c r="I152" s="12" t="s">
        <v>114</v>
      </c>
      <c r="J152" s="23">
        <v>4200</v>
      </c>
    </row>
    <row r="153" spans="1:10" x14ac:dyDescent="0.3">
      <c r="I153" s="9" t="s">
        <v>74</v>
      </c>
      <c r="J153" s="23">
        <v>27050</v>
      </c>
    </row>
    <row r="154" spans="1:10" x14ac:dyDescent="0.3">
      <c r="I154" s="12" t="s">
        <v>115</v>
      </c>
      <c r="J154" s="23">
        <v>4300</v>
      </c>
    </row>
    <row r="155" spans="1:10" x14ac:dyDescent="0.3">
      <c r="I155" s="29" t="s">
        <v>116</v>
      </c>
      <c r="J155" s="30">
        <v>4050</v>
      </c>
    </row>
    <row r="156" spans="1:10" x14ac:dyDescent="0.3">
      <c r="A156" s="26" t="s">
        <v>101</v>
      </c>
      <c r="I156" s="12" t="s">
        <v>110</v>
      </c>
      <c r="J156" s="23">
        <v>3800</v>
      </c>
    </row>
    <row r="157" spans="1:10" x14ac:dyDescent="0.3">
      <c r="A157" s="8" t="s">
        <v>118</v>
      </c>
      <c r="B157" s="8" t="s">
        <v>92</v>
      </c>
      <c r="I157" s="27" t="s">
        <v>111</v>
      </c>
      <c r="J157" s="28">
        <v>3200</v>
      </c>
    </row>
    <row r="158" spans="1:10" x14ac:dyDescent="0.3">
      <c r="A158" s="8" t="s">
        <v>39</v>
      </c>
      <c r="B158" t="s">
        <v>83</v>
      </c>
      <c r="C158" t="s">
        <v>40</v>
      </c>
      <c r="I158" s="49" t="s">
        <v>112</v>
      </c>
      <c r="J158" s="45">
        <v>3500</v>
      </c>
    </row>
    <row r="159" spans="1:10" x14ac:dyDescent="0.3">
      <c r="A159" s="48" t="s">
        <v>66</v>
      </c>
      <c r="B159" s="47">
        <v>34200</v>
      </c>
      <c r="C159" s="23">
        <v>34200</v>
      </c>
      <c r="I159" s="12" t="s">
        <v>113</v>
      </c>
      <c r="J159" s="23">
        <v>4900</v>
      </c>
    </row>
    <row r="160" spans="1:10" x14ac:dyDescent="0.3">
      <c r="A160" s="9" t="s">
        <v>67</v>
      </c>
      <c r="B160" s="23">
        <v>28100</v>
      </c>
      <c r="C160" s="23">
        <v>28100</v>
      </c>
      <c r="I160" s="12" t="s">
        <v>114</v>
      </c>
      <c r="J160" s="23">
        <v>3300</v>
      </c>
    </row>
    <row r="161" spans="1:10" x14ac:dyDescent="0.3">
      <c r="A161" s="48" t="s">
        <v>68</v>
      </c>
      <c r="B161" s="23">
        <v>31750</v>
      </c>
      <c r="C161" s="23">
        <v>31750</v>
      </c>
      <c r="I161" s="9" t="s">
        <v>75</v>
      </c>
      <c r="J161" s="23">
        <v>30250</v>
      </c>
    </row>
    <row r="162" spans="1:10" x14ac:dyDescent="0.3">
      <c r="A162" s="34" t="s">
        <v>69</v>
      </c>
      <c r="B162" s="23">
        <v>25150</v>
      </c>
      <c r="C162" s="23">
        <v>25150</v>
      </c>
      <c r="I162" s="29" t="s">
        <v>115</v>
      </c>
      <c r="J162" s="30">
        <v>3000</v>
      </c>
    </row>
    <row r="163" spans="1:10" x14ac:dyDescent="0.3">
      <c r="A163" s="9" t="s">
        <v>70</v>
      </c>
      <c r="B163" s="23">
        <v>30050</v>
      </c>
      <c r="C163" s="23">
        <v>30050</v>
      </c>
      <c r="I163" s="12" t="s">
        <v>116</v>
      </c>
      <c r="J163" s="23">
        <v>4600</v>
      </c>
    </row>
    <row r="164" spans="1:10" x14ac:dyDescent="0.3">
      <c r="A164" s="9" t="s">
        <v>71</v>
      </c>
      <c r="B164" s="23">
        <v>30800</v>
      </c>
      <c r="C164" s="23">
        <v>30800</v>
      </c>
      <c r="I164" s="27" t="s">
        <v>110</v>
      </c>
      <c r="J164" s="28">
        <v>6550</v>
      </c>
    </row>
    <row r="165" spans="1:10" x14ac:dyDescent="0.3">
      <c r="A165" s="9" t="s">
        <v>72</v>
      </c>
      <c r="B165" s="23">
        <v>27150</v>
      </c>
      <c r="C165" s="23">
        <v>27150</v>
      </c>
      <c r="I165" s="49" t="s">
        <v>111</v>
      </c>
      <c r="J165" s="45">
        <v>5000</v>
      </c>
    </row>
    <row r="166" spans="1:10" x14ac:dyDescent="0.3">
      <c r="A166" s="34" t="s">
        <v>73</v>
      </c>
      <c r="B166" s="30">
        <v>24150</v>
      </c>
      <c r="C166" s="23">
        <v>24150</v>
      </c>
      <c r="I166" s="49" t="s">
        <v>112</v>
      </c>
      <c r="J166" s="45">
        <v>4100</v>
      </c>
    </row>
    <row r="167" spans="1:10" x14ac:dyDescent="0.3">
      <c r="A167" s="9" t="s">
        <v>74</v>
      </c>
      <c r="B167" s="23">
        <v>27050</v>
      </c>
      <c r="C167" s="23">
        <v>27050</v>
      </c>
      <c r="I167" s="12" t="s">
        <v>113</v>
      </c>
      <c r="J167" s="23">
        <v>3500</v>
      </c>
    </row>
    <row r="168" spans="1:10" x14ac:dyDescent="0.3">
      <c r="A168" s="48" t="s">
        <v>75</v>
      </c>
      <c r="B168" s="23">
        <v>30250</v>
      </c>
      <c r="C168" s="23">
        <v>30250</v>
      </c>
      <c r="I168" s="12" t="s">
        <v>114</v>
      </c>
      <c r="J168" s="23">
        <v>3500</v>
      </c>
    </row>
    <row r="169" spans="1:10" x14ac:dyDescent="0.3">
      <c r="A169" s="34" t="s">
        <v>76</v>
      </c>
      <c r="B169" s="23">
        <v>29150</v>
      </c>
      <c r="C169" s="23">
        <v>29150</v>
      </c>
      <c r="I169" s="9" t="s">
        <v>76</v>
      </c>
      <c r="J169" s="23">
        <v>29150</v>
      </c>
    </row>
    <row r="170" spans="1:10" x14ac:dyDescent="0.3">
      <c r="A170" s="9" t="s">
        <v>77</v>
      </c>
      <c r="B170" s="23">
        <v>33050</v>
      </c>
      <c r="C170" s="23">
        <v>33050</v>
      </c>
      <c r="I170" s="12" t="s">
        <v>115</v>
      </c>
      <c r="J170" s="23">
        <v>3600</v>
      </c>
    </row>
    <row r="171" spans="1:10" x14ac:dyDescent="0.3">
      <c r="A171" s="9" t="s">
        <v>40</v>
      </c>
      <c r="B171" s="23">
        <v>350850</v>
      </c>
      <c r="C171" s="23">
        <v>350850</v>
      </c>
      <c r="I171" s="12" t="s">
        <v>116</v>
      </c>
      <c r="J171" s="23">
        <v>3600</v>
      </c>
    </row>
    <row r="172" spans="1:10" x14ac:dyDescent="0.3">
      <c r="I172" s="29" t="s">
        <v>110</v>
      </c>
      <c r="J172" s="30">
        <v>3000</v>
      </c>
    </row>
    <row r="173" spans="1:10" x14ac:dyDescent="0.3">
      <c r="I173" s="49" t="s">
        <v>111</v>
      </c>
      <c r="J173" s="45">
        <v>4750</v>
      </c>
    </row>
    <row r="174" spans="1:10" x14ac:dyDescent="0.3">
      <c r="A174" s="26" t="s">
        <v>102</v>
      </c>
      <c r="I174" s="49" t="s">
        <v>112</v>
      </c>
      <c r="J174" s="45">
        <v>3900</v>
      </c>
    </row>
    <row r="175" spans="1:10" x14ac:dyDescent="0.3">
      <c r="A175" s="8" t="s">
        <v>39</v>
      </c>
      <c r="B175" t="s">
        <v>118</v>
      </c>
      <c r="I175" s="27" t="s">
        <v>113</v>
      </c>
      <c r="J175" s="28">
        <v>6600</v>
      </c>
    </row>
    <row r="176" spans="1:10" x14ac:dyDescent="0.3">
      <c r="A176" s="9" t="s">
        <v>115</v>
      </c>
      <c r="B176" s="23">
        <v>48700</v>
      </c>
      <c r="I176" s="12" t="s">
        <v>114</v>
      </c>
      <c r="J176" s="23">
        <v>3700</v>
      </c>
    </row>
    <row r="177" spans="1:10" x14ac:dyDescent="0.3">
      <c r="A177" s="9" t="s">
        <v>116</v>
      </c>
      <c r="B177" s="23">
        <v>52000</v>
      </c>
      <c r="I177" s="9" t="s">
        <v>77</v>
      </c>
      <c r="J177" s="23">
        <v>33050</v>
      </c>
    </row>
    <row r="178" spans="1:10" x14ac:dyDescent="0.3">
      <c r="A178" s="9" t="s">
        <v>110</v>
      </c>
      <c r="B178" s="23">
        <v>51900</v>
      </c>
      <c r="I178" s="9" t="s">
        <v>40</v>
      </c>
      <c r="J178" s="23">
        <v>350850</v>
      </c>
    </row>
    <row r="179" spans="1:10" x14ac:dyDescent="0.3">
      <c r="A179" s="35" t="s">
        <v>111</v>
      </c>
      <c r="B179" s="28">
        <v>50750</v>
      </c>
    </row>
    <row r="180" spans="1:10" x14ac:dyDescent="0.3">
      <c r="A180" s="34" t="s">
        <v>112</v>
      </c>
      <c r="B180" s="30">
        <v>49000</v>
      </c>
    </row>
    <row r="181" spans="1:10" x14ac:dyDescent="0.3">
      <c r="A181" s="9" t="s">
        <v>113</v>
      </c>
      <c r="B181" s="23">
        <v>50300</v>
      </c>
    </row>
    <row r="182" spans="1:10" x14ac:dyDescent="0.3">
      <c r="A182" s="9" t="s">
        <v>114</v>
      </c>
      <c r="B182" s="23">
        <v>48200</v>
      </c>
    </row>
    <row r="183" spans="1:10" x14ac:dyDescent="0.3">
      <c r="A183" s="9" t="s">
        <v>40</v>
      </c>
      <c r="B183" s="23">
        <v>350850</v>
      </c>
    </row>
    <row r="188" spans="1:10" x14ac:dyDescent="0.3">
      <c r="I188" s="26" t="s">
        <v>130</v>
      </c>
    </row>
    <row r="189" spans="1:10" x14ac:dyDescent="0.3">
      <c r="I189" s="8" t="s">
        <v>39</v>
      </c>
      <c r="J189" t="s">
        <v>131</v>
      </c>
    </row>
    <row r="190" spans="1:10" x14ac:dyDescent="0.3">
      <c r="I190" s="35" t="s">
        <v>24</v>
      </c>
      <c r="J190" s="51">
        <v>289.83333333333331</v>
      </c>
    </row>
    <row r="191" spans="1:10" x14ac:dyDescent="0.3">
      <c r="I191" s="9" t="s">
        <v>12</v>
      </c>
      <c r="J191" s="41">
        <v>133.41463414634146</v>
      </c>
    </row>
    <row r="192" spans="1:10" x14ac:dyDescent="0.3">
      <c r="I192" s="9" t="s">
        <v>15</v>
      </c>
      <c r="J192" s="41">
        <v>198.48275862068965</v>
      </c>
    </row>
    <row r="193" spans="9:11" x14ac:dyDescent="0.3">
      <c r="I193" s="34" t="s">
        <v>10</v>
      </c>
      <c r="J193" s="50">
        <v>163.80487804878049</v>
      </c>
    </row>
    <row r="194" spans="9:11" x14ac:dyDescent="0.3">
      <c r="I194" s="9" t="s">
        <v>14</v>
      </c>
      <c r="J194" s="41">
        <v>185.44186046511629</v>
      </c>
    </row>
    <row r="195" spans="9:11" x14ac:dyDescent="0.3">
      <c r="I195" s="9" t="s">
        <v>19</v>
      </c>
      <c r="J195" s="41">
        <v>184.47619047619048</v>
      </c>
    </row>
    <row r="196" spans="9:11" x14ac:dyDescent="0.3">
      <c r="I196" s="9" t="s">
        <v>21</v>
      </c>
      <c r="J196" s="41">
        <v>202.68421052631578</v>
      </c>
    </row>
    <row r="197" spans="9:11" x14ac:dyDescent="0.3">
      <c r="I197" s="9" t="s">
        <v>16</v>
      </c>
      <c r="J197" s="41">
        <v>155.08695652173913</v>
      </c>
    </row>
    <row r="198" spans="9:11" x14ac:dyDescent="0.3">
      <c r="I198" s="9" t="s">
        <v>18</v>
      </c>
      <c r="J198" s="41">
        <v>186.55882352941177</v>
      </c>
    </row>
    <row r="199" spans="9:11" x14ac:dyDescent="0.3">
      <c r="I199" s="9" t="s">
        <v>22</v>
      </c>
      <c r="J199" s="41">
        <v>236.57142857142858</v>
      </c>
    </row>
    <row r="200" spans="9:11" x14ac:dyDescent="0.3">
      <c r="I200" s="9" t="s">
        <v>40</v>
      </c>
      <c r="J200" s="41">
        <v>183</v>
      </c>
    </row>
    <row r="203" spans="9:11" x14ac:dyDescent="0.3">
      <c r="I203" s="26" t="s">
        <v>132</v>
      </c>
    </row>
    <row r="204" spans="9:11" x14ac:dyDescent="0.3">
      <c r="I204" s="8" t="s">
        <v>39</v>
      </c>
      <c r="J204" t="s">
        <v>45</v>
      </c>
      <c r="K204" t="s">
        <v>133</v>
      </c>
    </row>
    <row r="205" spans="9:11" x14ac:dyDescent="0.3">
      <c r="I205" s="44" t="s">
        <v>10</v>
      </c>
      <c r="J205" s="54">
        <v>82</v>
      </c>
      <c r="K205" s="52">
        <v>106700</v>
      </c>
    </row>
    <row r="206" spans="9:11" x14ac:dyDescent="0.3">
      <c r="I206" s="9" t="s">
        <v>14</v>
      </c>
      <c r="J206" s="40">
        <v>43</v>
      </c>
      <c r="K206" s="23">
        <v>42300</v>
      </c>
    </row>
    <row r="207" spans="9:11" x14ac:dyDescent="0.3">
      <c r="I207" s="9" t="s">
        <v>18</v>
      </c>
      <c r="J207" s="40">
        <v>68</v>
      </c>
      <c r="K207" s="23">
        <v>42100</v>
      </c>
    </row>
    <row r="208" spans="9:11" x14ac:dyDescent="0.3">
      <c r="I208" s="9" t="s">
        <v>12</v>
      </c>
      <c r="J208" s="40">
        <v>41</v>
      </c>
      <c r="K208" s="23">
        <v>36805</v>
      </c>
    </row>
    <row r="209" spans="9:11" x14ac:dyDescent="0.3">
      <c r="I209" s="9" t="s">
        <v>15</v>
      </c>
      <c r="J209" s="40">
        <v>29</v>
      </c>
      <c r="K209" s="23">
        <v>29000</v>
      </c>
    </row>
    <row r="210" spans="9:11" x14ac:dyDescent="0.3">
      <c r="I210" s="9" t="s">
        <v>21</v>
      </c>
      <c r="J210" s="55">
        <v>19</v>
      </c>
      <c r="K210" s="23">
        <v>23800</v>
      </c>
    </row>
    <row r="211" spans="9:11" x14ac:dyDescent="0.3">
      <c r="I211" s="9" t="s">
        <v>16</v>
      </c>
      <c r="J211" s="40">
        <v>23</v>
      </c>
      <c r="K211" s="23">
        <v>20800</v>
      </c>
    </row>
    <row r="212" spans="9:11" x14ac:dyDescent="0.3">
      <c r="I212" s="9" t="s">
        <v>19</v>
      </c>
      <c r="J212" s="40">
        <v>21</v>
      </c>
      <c r="K212" s="23">
        <v>17850</v>
      </c>
    </row>
    <row r="213" spans="9:11" x14ac:dyDescent="0.3">
      <c r="I213" s="9" t="s">
        <v>22</v>
      </c>
      <c r="J213" s="40">
        <v>21</v>
      </c>
      <c r="K213" s="23">
        <v>13600</v>
      </c>
    </row>
    <row r="214" spans="9:11" x14ac:dyDescent="0.3">
      <c r="I214" s="44" t="s">
        <v>24</v>
      </c>
      <c r="J214" s="56">
        <v>18</v>
      </c>
      <c r="K214" s="53">
        <v>11400</v>
      </c>
    </row>
    <row r="215" spans="9:11" x14ac:dyDescent="0.3">
      <c r="I215" s="9" t="s">
        <v>40</v>
      </c>
      <c r="J215" s="40">
        <v>365</v>
      </c>
      <c r="K215" s="23">
        <v>344355</v>
      </c>
    </row>
    <row r="218" spans="9:11" x14ac:dyDescent="0.3">
      <c r="I218" s="26" t="s">
        <v>134</v>
      </c>
    </row>
    <row r="219" spans="9:11" x14ac:dyDescent="0.3">
      <c r="I219" s="8" t="s">
        <v>39</v>
      </c>
      <c r="J219" t="s">
        <v>103</v>
      </c>
    </row>
    <row r="220" spans="9:11" x14ac:dyDescent="0.3">
      <c r="I220" s="9" t="s">
        <v>20</v>
      </c>
      <c r="J220" s="23">
        <v>41650</v>
      </c>
    </row>
    <row r="221" spans="9:11" x14ac:dyDescent="0.3">
      <c r="I221" s="12" t="s">
        <v>19</v>
      </c>
      <c r="J221" s="23">
        <v>17850</v>
      </c>
    </row>
    <row r="222" spans="9:11" x14ac:dyDescent="0.3">
      <c r="I222" s="57" t="s">
        <v>21</v>
      </c>
      <c r="J222" s="52">
        <v>23800</v>
      </c>
    </row>
    <row r="223" spans="9:11" x14ac:dyDescent="0.3">
      <c r="I223" s="9" t="s">
        <v>17</v>
      </c>
      <c r="J223" s="23">
        <v>62900</v>
      </c>
    </row>
    <row r="224" spans="9:11" x14ac:dyDescent="0.3">
      <c r="I224" s="12" t="s">
        <v>16</v>
      </c>
      <c r="J224" s="23">
        <v>20800</v>
      </c>
    </row>
    <row r="225" spans="9:10" x14ac:dyDescent="0.3">
      <c r="I225" s="57" t="s">
        <v>18</v>
      </c>
      <c r="J225" s="52">
        <v>42100</v>
      </c>
    </row>
    <row r="226" spans="9:10" x14ac:dyDescent="0.3">
      <c r="I226" s="9" t="s">
        <v>40</v>
      </c>
      <c r="J226" s="23">
        <v>104550</v>
      </c>
    </row>
  </sheetData>
  <pageMargins left="0.7" right="0.7" top="0.75" bottom="0.75" header="0.3" footer="0.3"/>
  <drawing r:id="rId25"/>
  <extLst>
    <ext xmlns:x14="http://schemas.microsoft.com/office/spreadsheetml/2009/9/main" uri="{05C60535-1F16-4fd2-B633-F4F36F0B64E0}">
      <x14:sparklineGroups xmlns:xm="http://schemas.microsoft.com/office/excel/2006/main">
        <x14:sparklineGroup displayEmptyCellsAs="gap" xr2:uid="{7E5FBC0C-9CC7-4F1E-9820-EC74AAD974FB}">
          <x14:colorSeries rgb="FF376092"/>
          <x14:colorNegative rgb="FFD00000"/>
          <x14:colorAxis rgb="FF000000"/>
          <x14:colorMarkers rgb="FFD00000"/>
          <x14:colorFirst rgb="FFD00000"/>
          <x14:colorLast rgb="FFD00000"/>
          <x14:colorHigh rgb="FFD00000"/>
          <x14:colorLow rgb="FFD00000"/>
          <x14:sparklines>
            <x14:sparkline>
              <xm:f>'KPIs &amp; question answers with PT'!B159:D159</xm:f>
              <xm:sqref>F159</xm:sqref>
            </x14:sparkline>
            <x14:sparkline>
              <xm:f>'KPIs &amp; question answers with PT'!B160:D160</xm:f>
              <xm:sqref>F160</xm:sqref>
            </x14:sparkline>
            <x14:sparkline>
              <xm:f>'KPIs &amp; question answers with PT'!B161:D161</xm:f>
              <xm:sqref>F161</xm:sqref>
            </x14:sparkline>
            <x14:sparkline>
              <xm:f>'KPIs &amp; question answers with PT'!B162:D162</xm:f>
              <xm:sqref>F162</xm:sqref>
            </x14:sparkline>
            <x14:sparkline>
              <xm:f>'KPIs &amp; question answers with PT'!B163:D163</xm:f>
              <xm:sqref>F163</xm:sqref>
            </x14:sparkline>
            <x14:sparkline>
              <xm:f>'KPIs &amp; question answers with PT'!B164:D164</xm:f>
              <xm:sqref>F164</xm:sqref>
            </x14:sparkline>
            <x14:sparkline>
              <xm:f>'KPIs &amp; question answers with PT'!B165:D165</xm:f>
              <xm:sqref>F165</xm:sqref>
            </x14:sparkline>
            <x14:sparkline>
              <xm:f>'KPIs &amp; question answers with PT'!B166:D166</xm:f>
              <xm:sqref>F166</xm:sqref>
            </x14:sparkline>
            <x14:sparkline>
              <xm:f>'KPIs &amp; question answers with PT'!B167:D167</xm:f>
              <xm:sqref>F167</xm:sqref>
            </x14:sparkline>
            <x14:sparkline>
              <xm:f>'KPIs &amp; question answers with PT'!B168:D168</xm:f>
              <xm:sqref>F168</xm:sqref>
            </x14:sparkline>
            <x14:sparkline>
              <xm:f>'KPIs &amp; question answers with PT'!B169:D169</xm:f>
              <xm:sqref>F169</xm:sqref>
            </x14:sparkline>
            <x14:sparkline>
              <xm:f>'KPIs &amp; question answers with PT'!B170:D170</xm:f>
              <xm:sqref>F170</xm:sqref>
            </x14:sparkline>
            <x14:sparkline>
              <xm:f>'KPIs &amp; question answers with PT'!B171:D171</xm:f>
              <xm:sqref>F171</xm:sqref>
            </x14:sparkline>
          </x14:sparklines>
        </x14:sparklineGroup>
        <x14:sparklineGroup displayEmptyCellsAs="gap" xr2:uid="{10800407-7678-40E6-BA06-EA98B6B90EA1}">
          <x14:colorSeries rgb="FF376092"/>
          <x14:colorNegative rgb="FFD00000"/>
          <x14:colorAxis rgb="FF000000"/>
          <x14:colorMarkers rgb="FFD00000"/>
          <x14:colorFirst rgb="FFD00000"/>
          <x14:colorLast rgb="FFD00000"/>
          <x14:colorHigh rgb="FFD00000"/>
          <x14:colorLow rgb="FFD00000"/>
          <x14:sparklines>
            <x14:sparkline>
              <xm:f>'KPIs &amp; question answers with PT'!B159:B159</xm:f>
              <xm:sqref>B159</xm:sqref>
            </x14:sparkline>
            <x14:sparkline>
              <xm:f>'KPIs &amp; question answers with PT'!C159:C159</xm:f>
              <xm:sqref>C159</xm:sqref>
            </x14:sparkline>
            <x14:sparkline>
              <xm:f>'KPIs &amp; question answers with PT'!D159:D159</xm:f>
              <xm:sqref>D159</xm:sqref>
            </x14:sparkline>
          </x14:sparklines>
        </x14:sparklineGroup>
      </x14:sparklineGroups>
    </ext>
    <ext xmlns:x14="http://schemas.microsoft.com/office/spreadsheetml/2009/9/main" uri="{A8765BA9-456A-4dab-B4F3-ACF838C121DE}">
      <x14:slicerList>
        <x14:slicer r:id="rId26"/>
      </x14:slicerList>
    </ext>
    <ext xmlns:x15="http://schemas.microsoft.com/office/spreadsheetml/2010/11/main" uri="{7E03D99C-DC04-49d9-9315-930204A7B6E9}">
      <x15:timelineRefs>
        <x15:timelineRef r:id="rId27"/>
      </x15:timelineRef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98CF5-5B4B-4655-8028-FA1FDFD93716}">
  <dimension ref="A1"/>
  <sheetViews>
    <sheetView showGridLines="0" tabSelected="1" zoomScale="78" workbookViewId="0">
      <selection activeCell="X16" sqref="X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Meta-data</vt:lpstr>
      <vt:lpstr>KPIS</vt:lpstr>
      <vt:lpstr>Detail1</vt:lpstr>
      <vt:lpstr>Detail2</vt:lpstr>
      <vt:lpstr>Detail3</vt:lpstr>
      <vt:lpstr>Detail4</vt:lpstr>
      <vt:lpstr>Detail5</vt:lpstr>
      <vt:lpstr>Detail6</vt:lpstr>
      <vt:lpstr>Raw-data</vt:lpstr>
      <vt:lpstr>Sheet2</vt:lpstr>
      <vt:lpstr>new dash</vt:lpstr>
      <vt:lpstr>Questions</vt:lpstr>
      <vt:lpstr>data cleaning</vt:lpstr>
      <vt:lpstr>Pivot Tables in Excel</vt:lpstr>
      <vt:lpstr>Pivot tables</vt:lpstr>
      <vt:lpstr>Dashboard</vt:lpstr>
      <vt:lpstr>KPIs &amp; question answers with PT</vt:lpstr>
      <vt:lpstr>town team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Sandy Medhat</cp:lastModifiedBy>
  <cp:lastPrinted>2025-07-19T13:23:25Z</cp:lastPrinted>
  <dcterms:created xsi:type="dcterms:W3CDTF">2015-06-05T18:17:20Z</dcterms:created>
  <dcterms:modified xsi:type="dcterms:W3CDTF">2025-07-22T13:49:39Z</dcterms:modified>
</cp:coreProperties>
</file>